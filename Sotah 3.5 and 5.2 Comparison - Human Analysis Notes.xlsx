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ged_with_threshold_flags" sheetId="1" r:id="rId4"/>
  </sheets>
  <definedNames>
    <definedName hidden="1" localSheetId="0" name="_xlnm._FilterDatabase">merged_with_threshold_flags!$A$1:$CF$653</definedName>
  </definedNames>
  <calcPr/>
</workbook>
</file>

<file path=xl/sharedStrings.xml><?xml version="1.0" encoding="utf-8"?>
<sst xmlns="http://schemas.openxmlformats.org/spreadsheetml/2006/main" count="13882" uniqueCount="2843">
  <si>
    <t>model_name__gpt35</t>
  </si>
  <si>
    <t>passage_ref__gpt35</t>
  </si>
  <si>
    <t>sentence_index__gpt35</t>
  </si>
  <si>
    <t>hebrew_text__gpt35</t>
  </si>
  <si>
    <t>human_translation__gpt35</t>
  </si>
  <si>
    <t>Count Words__gpt35</t>
  </si>
  <si>
    <t>original_sentiment_compound__gpt35</t>
  </si>
  <si>
    <t>llm_translation__gpt35</t>
  </si>
  <si>
    <t>GPT3.5_HasHebrew</t>
  </si>
  <si>
    <t>Notes Positive__gpt35</t>
  </si>
  <si>
    <t>Notes Negative__gpt35</t>
  </si>
  <si>
    <t>llm_sentiment_compound__gpt35</t>
  </si>
  <si>
    <t>bleu_score__gpt35</t>
  </si>
  <si>
    <t>ter_score__gpt35</t>
  </si>
  <si>
    <t>ter_percent__gpt35</t>
  </si>
  <si>
    <t>comet_score__gpt35</t>
  </si>
  <si>
    <t>sentence_tfidf_similarity__gpt35</t>
  </si>
  <si>
    <t>original_passage_sentiment_tag__gpt35</t>
  </si>
  <si>
    <t>_join_key</t>
  </si>
  <si>
    <t>Page__gpt5</t>
  </si>
  <si>
    <t>Line__gpt5</t>
  </si>
  <si>
    <t>Hebrew__gpt5</t>
  </si>
  <si>
    <t>Human Translation__gpt5</t>
  </si>
  <si>
    <t>LLM Translation__gpt5</t>
  </si>
  <si>
    <t>Comparison Notes - Herman</t>
  </si>
  <si>
    <t>Comparison Notes - Naaijer</t>
  </si>
  <si>
    <t>GPT5_HasHebrew</t>
  </si>
  <si>
    <t>BLEU Score__gpt5</t>
  </si>
  <si>
    <t>TER Score__gpt5</t>
  </si>
  <si>
    <t>Similarity Score__gpt5</t>
  </si>
  <si>
    <t>LLM Sentiment__gpt5</t>
  </si>
  <si>
    <t>Human Sentiment__gpt5</t>
  </si>
  <si>
    <t>BLEU_thr_10pct__gpt35</t>
  </si>
  <si>
    <t>BLEU_thr_10pct__gpt5</t>
  </si>
  <si>
    <t>BLEU_is_bad_10pct__gpt35</t>
  </si>
  <si>
    <t>BLEU_is_bad_10pct__gpt5</t>
  </si>
  <si>
    <t>TER_thr_10pct__gpt35</t>
  </si>
  <si>
    <t>TER_thr_10pct__gpt5</t>
  </si>
  <si>
    <t>TER_is_bad_10pct__gpt35</t>
  </si>
  <si>
    <t>TER_is_bad_10pct__gpt5</t>
  </si>
  <si>
    <t>BLEU_thr_15pct__gpt35</t>
  </si>
  <si>
    <t>BLEU_thr_15pct__gpt5</t>
  </si>
  <si>
    <t>BLEU_is_bad_15pct__gpt35</t>
  </si>
  <si>
    <t>BLEU_is_bad_15pct__gpt5</t>
  </si>
  <si>
    <t>TER_thr_15pct__gpt35</t>
  </si>
  <si>
    <t>TER_thr_15pct__gpt5</t>
  </si>
  <si>
    <t>TER_is_bad_15pct__gpt35</t>
  </si>
  <si>
    <t>TER_is_bad_15pct__gpt5</t>
  </si>
  <si>
    <t>BLEU_thr_20pct__gpt35</t>
  </si>
  <si>
    <t>BLEU_thr_20pct__gpt5</t>
  </si>
  <si>
    <t>BLEU_is_bad_20pct__gpt35</t>
  </si>
  <si>
    <t>BLEU_is_bad_20pct__gpt5</t>
  </si>
  <si>
    <t>TER_thr_20pct__gpt35</t>
  </si>
  <si>
    <t>TER_thr_20pct__gpt5</t>
  </si>
  <si>
    <t>TER_is_bad_20pct__gpt35</t>
  </si>
  <si>
    <t>TER_is_bad_20pct__gpt5</t>
  </si>
  <si>
    <t>BLEU_thr_25pct__gpt35</t>
  </si>
  <si>
    <t>BLEU_thr_25pct__gpt5</t>
  </si>
  <si>
    <t>BLEU_is_bad_25pct__gpt35</t>
  </si>
  <si>
    <t>BLEU_is_bad_25pct__gpt5</t>
  </si>
  <si>
    <t>TER_thr_25pct__gpt35</t>
  </si>
  <si>
    <t>TER_thr_25pct__gpt5</t>
  </si>
  <si>
    <t>TER_is_bad_25pct__gpt35</t>
  </si>
  <si>
    <t>TER_is_bad_25pct__gpt5</t>
  </si>
  <si>
    <t>BLEU_thr_30pct__gpt35</t>
  </si>
  <si>
    <t>BLEU_thr_30pct__gpt5</t>
  </si>
  <si>
    <t>BLEU_is_bad_30pct__gpt35</t>
  </si>
  <si>
    <t>BLEU_is_bad_30pct__gpt5</t>
  </si>
  <si>
    <t>TER_thr_30pct__gpt35</t>
  </si>
  <si>
    <t>TER_thr_30pct__gpt5</t>
  </si>
  <si>
    <t>TER_is_bad_30pct__gpt35</t>
  </si>
  <si>
    <t>TER_is_bad_30pct__gpt5</t>
  </si>
  <si>
    <t>BLEU_bucket_10pct</t>
  </si>
  <si>
    <t>TER_bucket_10pct</t>
  </si>
  <si>
    <t>BLEU_bucket_15pct</t>
  </si>
  <si>
    <t>TER_bucket_15pct</t>
  </si>
  <si>
    <t>BLEU_bucket_20pct</t>
  </si>
  <si>
    <t>TER_bucket_20pct</t>
  </si>
  <si>
    <t>BLEU_bucket_25pct</t>
  </si>
  <si>
    <t>TER_bucket_25pct</t>
  </si>
  <si>
    <t>BLEU_bucket_30pct</t>
  </si>
  <si>
    <t>TER_bucket_30pct</t>
  </si>
  <si>
    <t>GPT-3.5-Turbo</t>
  </si>
  <si>
    <t>Sotah.9a-9b</t>
  </si>
  <si>
    <t>אַבְשָׁלוֹם נִתְגָּאָה בִּשְׂעָרוֹ — לְפִיכָךְ נִתְלָה בִּשְׂעָרוֹ. וּלְפִי שֶׁבָּא עַל עֶשֶׂר פִּלַגְשֵׁי אָבִיו — לְפִיכָךְ נִתְּנוּ בּוֹ עֶשֶׂר לוֹנְבִיּוֹת, שֶׁנֶּאֱמַר: ״וַיָּסֹבּוּ עֲשָׂרָה אֲנָשִׁים נוֹשְׂאֵי כְּלֵי יוֹאָב״. וּלְפִי שֶׁגָּנַב שָׁלֹשׁ גְּנֵבוֹת: לֵב אָבִיו, וְלֵב בֵּית דִּין, וְלֵב יִשְׂרָאֵל, שֶׁנֶּאֱמַר: ״וַיְגַנֵּב אַבְשָׁלוֹם אֶת לֵב אַנְשֵׁי יִשְׂרָאֵל״ — לְפִיכָךְ נִתְקְעוּ בּוֹ שְׁלֹשָׁה שְׁבָטִים, שֶׁנֶּאֱמַר: ״וַיִּקַּח שְׁלֹשָׁה שְׁבָטִים בְּכַפּוֹ וַיִּתְקָעֵם בְּלֵב אַבְשָׁלוֹם״.</t>
  </si>
  <si>
    <t>Absalom was proud of his hair, therefore he was hanged by his hair. And because he engaged in sexual intercourse with ten of his father’s concubines therefore ten spears [ loneviyyot ] were put, into him, as it is stated: “And ten young men that bore Joab’s armor compassed about And because he stole three thefts The heart of his father, the heart of the court, and the heart of the Jewish people, as it is stated: “So Absalom stole the hearts of the men of Israel” therefore three spears were embedded into as it is stated: And he took three spears in his hand, and thrust them through the heart of Absalom,</t>
  </si>
  <si>
    <t>Talmudic text: Avshalom nitga'ah bis'aro — lefichach nitalah bis'aro. Ulefich sheba al eser pilagshay aviv — lefichach nitnu bo eser lonviyot, shene'emar: "vayasovu asarah anashim nos'ei k'lei Yoav." Ulefich sheganav shalosh geneivot: lev aviv, v'lev beit din, v'lev Yisrael, shene'emar: "vayignev Avshalom et lev anshei Yisrael" — lefichach nitke'u bo shloshah shevatim, shene'emar: "vayikach shloshah shevatim bekappo vayitka'em beleiv Avshalom."</t>
  </si>
  <si>
    <t>on one previous occasions it did effectively translate</t>
  </si>
  <si>
    <t>transliterates</t>
  </si>
  <si>
    <t>negative</t>
  </si>
  <si>
    <t>Avshalom became haughty in his hair — therefore he was hanged by his hair. And because he came upon ten pilagshim of his father — therefore ten lonbiyyot were given into him, as it is said: “And ten men, bearers of the vessels of Yoav, surrounded.” And because he stole three thefts: the heart of his father, and the heart of Beit Din, and the heart of Yisrael, as it is said: “And Avshalom stole the heart of the men of Yisrael” — therefore three shevatim were thrust into him, as it is said: “And he took three shevatim in his palm and thrust them into the heart of Avshalom.”</t>
  </si>
  <si>
    <t>bad_35_only</t>
  </si>
  <si>
    <t>Sotah.11a-11b</t>
  </si>
  <si>
    <t>בִּלְעָם שֶׁיָּעַץ — נֶהֱרַג, אִיּוֹב שֶׁשָּׁתַק — נִידּוֹן בְּיִסּוּרִין. יִתְרוֹ שֶׁבָּרַח — זָכוּ מִבְּנֵי בָנָיו שֶׁיָּשְׁבוּ בְּלִשְׁכַּת הַגָּזִית, שֶׁנֶּאֱמַר: ״וּמִשְׁפְּחוֹת סוֹפְרִים יוֹשְׁבֵי יַעְבֵּץ תִּרְעָתִים שִׁמְעָתִים שׂוּכָתִים הֵמָּה הַקִּינִים הַבָּאִים מֵחַמַּת אֲבִי בֵית רֵכָב״, וּכְתִיב: ״וּבְנֵי קֵינִי חֹתֵן מֹשֶׁה וְגוֹ׳״.</t>
  </si>
  <si>
    <t>Balaam, who advised was killed Job, who was silent was punished by suffering, Yitro, who ran away merited that of his children’s children sat in the Chamber of Hewn Stone, as it is stated: “And the families of scribes who dwelt at Jabez, Tirathites, Shimeathites, and Sucathites, these were the Kenites who descended from Hammath, the father of the house of Rechab” And it is written: “The children of the Kenite, Moses’ father-in-law”</t>
  </si>
  <si>
    <t>Bilam sheya'atz - neharg, Iyov she'shatak - nidon be'yissurin. Yitro she'barach - zachoo mibnei banav she'yashvu be'lishkat hagazit, shene'emar: "U'mishpechot sofrim yoshvei Ya'betz Tiratim shimatim sukhatim hemah hakinnim haba'im me'chamat avi beit rechav," u'chtiv: "U'venei Keini chotein Moshe ve'go."</t>
  </si>
  <si>
    <t>positive</t>
  </si>
  <si>
    <t>Bil‘am who counseled — was killed; Iyov who was silent — was judged with sufferings. Yitro who fled — merited: from the sons of his sons that they sat in the Lishkat ha-Gazit, as it is said: “And the families of scribes, dwellers of Ya‘betz: Tir‘atim, Shim‘atim, Sukhatim; they are the Keini, who come from Hammat, the father of the house of Rekhav”; and it is written: “And the sons of Keini, the father-in-law of Moshe, etc.”.</t>
  </si>
  <si>
    <t>Sotah.3b</t>
  </si>
  <si>
    <t>הָכִי נָמֵי קָאָמַר: תַּלְמוּד לוֹמַר ״בָּהּ״: בָּהּ — וְלֹא בְּקִינּוּי, בָּהּ — וְלֹא בִּסְתִירָה.</t>
  </si>
  <si>
    <t>That is also what he is saying. The verse states: against her [ bah ],” With regard to it [ bah ], but not with regard to warning. With regard to it, but not with regard to seclusion.</t>
  </si>
  <si>
    <t>So did he say: The Talmud teaches "in it": in it - and not in a euphemism, in it - and not in a concealment.</t>
  </si>
  <si>
    <t>So too he is saying: *Talmud* to say “**bah**”: **bah** — and not with a *kinnuy*, **bah** — and not in concealment.</t>
  </si>
  <si>
    <t xml:space="preserve">GPT 5 and the human translation keep items transliterated. </t>
  </si>
  <si>
    <t>both_bad</t>
  </si>
  <si>
    <t>neither_bad</t>
  </si>
  <si>
    <t>הַאי מִ״כִּי מָצָא בָהּ עֶרְוַת דָּבָר״ נָפְקָא? מִ״בָּהּ״ נָפְקָא: בָּהּ — וְלֹא בְּקִינּוּי, בָּהּ — וְלֹא בִּסְתִירָה מִיבְּעֵי לֵיהּ!</t>
  </si>
  <si>
    <t>this derived from: “Because he has found some unseemly matter about her” It is derived from: against her [ bah ]” With regard to it, but not with regard to warning. With regard to it, but not with regard to seclusion. should have</t>
  </si>
  <si>
    <t>This is the case of "if he found in her a matter of nakedness" derived? "In her" derived: in her - and not in betrothal, in her - and not in concealment is required!</t>
  </si>
  <si>
    <t>This “from: ‘because he has found in her ʿervat davar’ ”—does it go out? From “in her” it goes out: “in her”—and not with kinui, “in her”—and not with setirah—he needs it!</t>
  </si>
  <si>
    <t xml:space="preserve">Keeps "ervat davar" which means "nakedness" usually but in this case seems to be translated as "unseemly matter" transliterated. </t>
  </si>
  <si>
    <t>Sotah.19a-21a</t>
  </si>
  <si>
    <t>וְהָכִי קָאָמַר: כׇּל מֵחֲמַת בְּרִיּוּתָא — כְּלָל כְּלָל לָא שָׁתְיָא. מֵחֲמַת רְתִיתָא עַד שֶׁלֹּא קָרַב הַקּוֹמֶץ, דְּאַכַּתִּי לָא אִמְּחוּק מְגִילָּה, אִי נָמֵי אִמְּחוּק מְגִילָּה, דְּשֶׁלֹּא כְּדִין עֲבוּד כֹּהֲנִים דְּמַחֲקִי — מָצְיָ[א] הָדְרָא בָּהּ. מִשֶּׁקָּרַב הַקּוֹמֶץ, דִּבְדִין עֲבוּד כֹּהֲנִים דְּמָחֲקִי — לָא מָצֵי הָדְרָא בָּהּ.</t>
  </si>
  <si>
    <t>And this is what is saying: any in a state of health, she does not drink at all. due to fear, before the handful is sacrificed, when the scroll has not yet been erased; or scroll was erased, the priests acted incorrectly when they erased she can retract Once the handful is sacrificed, in which priests acted correctly when they erased she cannot retract</t>
  </si>
  <si>
    <t>And thus he said: Because of the sake of the creation - a general principle is not set aside. Because of the sake of the thread, until the wick is not reached, for I will not erase the Megillah, or if I will erase the Megillah, for the service of the priests is not done properly - he will find another in it. From when the wick is reached, for the service of the priests is done properly - he will not find another in it.</t>
  </si>
  <si>
    <t>And thus he is saying: All from reason of *beriyyuta* — entirely, entirely she does not drink. From reason of trembling, until that the *kometz* has not drawn near, for still the *megillah* has not been erased; or also, even if the *megillah* has been erased, for not properly the service of the *kohanim* they erase — she is able to go back in it. From when the *kometz* has drawn near, that properly the service of the *kohanim* they erase — she is not able to go back in it.</t>
  </si>
  <si>
    <t>Sotah.17a-17b</t>
  </si>
  <si>
    <t>הֵי דְּגַבֵּי(ה ד)רִיבּוּיָא — רִיבּוּיָא (הִיא), הֵי דְּגַבֵּי(ה ד)מִיעוּטָא — מִיעוּטָא.</t>
  </si>
  <si>
    <t>heh when near an amplifier is an amplifier. heh when near restrictor is a restrictor.</t>
  </si>
  <si>
    <t>Be as the one who multiplies - multiplication (it is), be as the one who diminishes - diminution.</t>
  </si>
  <si>
    <t>That which is with regard to (that of) *ribbuya* — *ribbuya* (it is); that which is with regard to (that of) *mi‘uta* — *mi‘uta*.</t>
  </si>
  <si>
    <t xml:space="preserve">This is a very strange line in the Talmud, unlike any I have ever seen - and the translations are completely off. </t>
  </si>
  <si>
    <t>What does הֵי actually mean?
&lt;I believe it is an actual letter, the letter hey&gt;</t>
  </si>
  <si>
    <t>Sotah.2a-2b</t>
  </si>
  <si>
    <t>גְּמָ׳ מִכְּדֵי תַּנָּא מִנָּזִיר סָלֵיק, מַאי תְּנָא דְּקָא תָּנֵא סוֹטָה?</t>
  </si>
  <si>
    <t>Now, tanna arose from Nazir , What teach that teach Sota</t>
  </si>
  <si>
    <t>A "gemar" from the teaching of the Mishnah of Nazir arises, what is the teaching that he teaches about a Sotah?</t>
  </si>
  <si>
    <t>neutral</t>
  </si>
  <si>
    <t>GEMARA: Since the tanna concluded from Nazir, what is the tanna that he teaches Sotah?</t>
  </si>
  <si>
    <t>תַּלְמוּד לוֹמַר: ״וְעֵד אֵין בָּהּ״, כֹּל שֶׁיֵּשׁ בָּהּ.</t>
  </si>
  <si>
    <t>the verse states: “And there is no witness against her” any that there is against her</t>
  </si>
  <si>
    <t>Talmudic text: "Talmud lomar: 've'ed ein bah', kol sheyesh bah."</t>
  </si>
  <si>
    <t>Talmud to say: “and a witness there is not in her,” all that there is in her.</t>
  </si>
  <si>
    <t>וְלִיטַעְמָיךְ, תִּיקְשֵׁי לָךְ הִיא גּוּפַהּ: מִשֶּׁקָּרַב הַקּוֹמֶץ אֵינָהּ יְכוֹלָה לַחֲזוֹר בָּהּ? וַהֲלֹא בְּדוּקָה וְעוֹמֶדֶת!</t>
  </si>
  <si>
    <t>But according to your reasoning this itself should pose a difficulty for you. can’t she retract once the handful is sacrificed? And isn’t she established as evaluated</t>
  </si>
  <si>
    <t>"And to taste it, it will be difficult for you, it is its body: since the yeast has approached, is it not able to return in it? Is it not clear and standing!"</t>
  </si>
  <si>
    <t>וְלִיטַעְמָיךְ, תִּיקְשֵׁי לָךְ הִיא גּוּפַהּ: And according to your reasoning, it will be difficult for you—this itself: מִשֶּׁקָּרַב הַקּוֹמֶץ אֵינָהּ יְכוֹלָה לַחֲזוֹר בָּהּ? From when the *kometz* was brought near, is she not able to retract from it? וַהֲלֹא בְּדוּקָה וְעוֹמֶדֶת! But behold, it is examined and standing!</t>
  </si>
  <si>
    <t xml:space="preserve">GPT 5 translates every couple of phrases, making the BLUE Score lower. GPT 3.5 confuses the word "reason" with the word "taste" which have similar letters. </t>
  </si>
  <si>
    <t>3.5 puts the whole text between quotes</t>
  </si>
  <si>
    <t>Sotah.30b-31a</t>
  </si>
  <si>
    <t>וּמָר סָבַר: שֵׁנִי עוֹשֶׂה שְׁלִישִׁי בְּחוּלִּין.</t>
  </si>
  <si>
    <t>And Sage, holds can impart to non-sacred items.</t>
  </si>
  <si>
    <t>And Mar said: "The second one does the work of the third on weekdays."</t>
  </si>
  <si>
    <t>And Mar holds: a second makes a third with regard to ḥullin.</t>
  </si>
  <si>
    <t xml:space="preserve">This is a complicated sentence to understand without any commentary. GPT 5 appropriately transliterates "Hullin" which are "non-sacred items." This could be considered a technical term as it does not have a corrolarly in English. </t>
  </si>
  <si>
    <t>Sotah.16a-16b</t>
  </si>
  <si>
    <t>מָה רַבִּי — רַבִּי שְׂעַר הָרַגְלַיִם. מַאי מִיעֵט — מִיעֵט דְּבֵית הַשֶּׁחִי וּדְכוּלֵּיהּ גּוּפֵיהּ.</t>
  </si>
  <si>
    <t>what extend extends pubic hair. What exclude? It excludes armpit hair, and body hair</t>
  </si>
  <si>
    <t>What is "Rabbi"? - Rabbi is the hair of the legs. What is meant by "diminished"? - Diminished is the house of the shin and its hollows.</t>
  </si>
  <si>
    <t>What is meant by “Rabbi”? — Rabbi means the hair of the legs. What did he exclude? — He excluded the hair of the armpit and of his entire body.</t>
  </si>
  <si>
    <t xml:space="preserve">There is euphemistic language being used in the text itself, שְׂעַר הָרַגְלַיִם, which translates directly to "hair of the legs" is really refering to "hair between the legs." the LLMs do not understand this. </t>
  </si>
  <si>
    <t>Yes, nice</t>
  </si>
  <si>
    <t>Sotah.18a-18b</t>
  </si>
  <si>
    <t>בָּעֵי רַב אָשֵׁי: נִשְׁפְּכוּ מֵהֶן וְנִשְׁתַּיְּירוּ מֵהֶן, מַהוּ? תֵּיקוּ.</t>
  </si>
  <si>
    <t>Rav Ashi raised a dilemma: of the spilled and some of it remained what is shall stand</t>
  </si>
  <si>
    <t>Question of Rav Ashe: They poured out from them and they remained from them, what? It shall remain unresolved.</t>
  </si>
  <si>
    <t>בָּעֵי רַב אָשֵׁי: Rav Ashi inquired: נִשְׁפְּכוּ מֵהֶן וְנִשְׁתַּיְּירוּ מֵהֶן, מַהוּ? If some of them were spilled and some of them remained, what is it? תֵּיקוּ. Let it stand.</t>
  </si>
  <si>
    <t>bad_5_only</t>
  </si>
  <si>
    <t>Sotah.4a</t>
  </si>
  <si>
    <t>בָּעֵי רַב אָשֵׁי: חֲזָרָה בָּרוּחַ כִּי הֵיכִי דְּאָזֵיל וַהֲדַר אָתֵי, אוֹ דִילְמָא כִּי הֵיכִי דְּאָזֵיל וְאָתֵי וַהֲדַר קָאֵי בְּדוּכְתֵּיהּ. תֵּיקוּ.</t>
  </si>
  <si>
    <t>Rav Ashi asks: returning by the wind, so that it goes and returns Or perhaps so that it goes and comes back and returns settles in its place. shall stand</t>
  </si>
  <si>
    <t>Ba'ei Rav Ashi: Chazara baruch ki heichi de'azil vahadar atei, o dilma ki heichi de'azil ve'atei vahadar ka'ei beduchteih. Teiku.</t>
  </si>
  <si>
    <t>Rav Ashi inquired: Returning in the wind— is it as it goes and returns, or perhaps as it goes and comes and then stands again in its place? Teiku.</t>
  </si>
  <si>
    <t>הַאי לְדִסְמִיךְ לֵיהּ וְהַאי לְדִסְמִיךְ לֵיהּ.</t>
  </si>
  <si>
    <t>That to that which is adjacent to it. And this to that which is adjacent to it:</t>
  </si>
  <si>
    <t>This one is for his benefit, and this one is for his benefit.</t>
  </si>
  <si>
    <t>This one, to lean it to it; and this one, to lean it to it.</t>
  </si>
  <si>
    <t>Sotah.3a</t>
  </si>
  <si>
    <t>אַלְמָא קָסָבְרִי דְּאָסוּר לְקַנּאוֹת.</t>
  </si>
  <si>
    <t>Apparently, hold that prohibited to issue a warning.</t>
  </si>
  <si>
    <t>The Talmudic text: "Alma kasavri de'asur lekannaot." English translation: "The reason is that they hold that it is forbidden to be zealous."</t>
  </si>
  <si>
    <t>Therefore, they hold that it is prohibited to be zealous.</t>
  </si>
  <si>
    <t>אֶלָּא אָמְרוּ לוֹ, אוּמָּה זוֹ כְּחַיָּה נִמְשְׁלָה: יְהוּדָה — ״גּוּר אַרְיֵה״, דָּן — ״יְהִי דָן נָחָשׁ״, ״נַפְתָּלִי אַיָּלָה שְׁלֻחָה״, ״יִשָּׂשכָר חֲמוֹר גָּרֶם״, יוֹסֵף — ״בְּכוֹר שׁוֹר״, ״בִּנְיָמִין זְאֵב יִטְרָף״.</t>
  </si>
  <si>
    <t>Rather, said to This nation is compared to an animal [ ḥayya ], Judah a lion’s whelp” Dan “Dan shall be a serpent Naphtali “A hind let loose” Issachar “A large-boned donkey” Joseph first bullock” Benjamin “A ravenous wolf”</t>
  </si>
  <si>
    <t>Rather they said to him, what is this that Judah is likened to a lion cub, Dan to a serpent, Naphtali to a swift deer, Issachar to a strong-boned donkey, Joseph to a firstborn ox, and Benjamin to a wolf that tears.</t>
  </si>
  <si>
    <t>Rather, they said to him: This nation is likened to an animal: Yehudah — “A lion’s whelp”; Dan — “Let Dan be a serpent”; “Naftali is a hind let loose”; “Yissakhar is a bony donkey”; Yosef — “Firstborn of his ox”; “Binyamin is a wolf that ravens.”</t>
  </si>
  <si>
    <t>Sotah.4b</t>
  </si>
  <si>
    <t>בִּדְחִטֵּי אוֹ בְּדִשְׂעָרֵי? בְּרַכִּיכָא אוֹ בַּאֲקוֹשָׁא? תֵּיקוּ.</t>
  </si>
  <si>
    <t>where of wheat, or where of barley, where soft, or where hard, shall stand</t>
  </si>
  <si>
    <t>In wheat or in barley? In wine or in vinegar? Teiku.</t>
  </si>
  <si>
    <t>With wheat or with barley? With soft bread or with hard bread? Let it stand.</t>
  </si>
  <si>
    <t>"Teiku" is a technical terms that mean the debate has not been answered and remains. It should have been translitered in this case by GPT 5, though it is one of the few cases wihere GPT 3.5 does maintain a transliterated technical term.</t>
  </si>
  <si>
    <t>Interesting</t>
  </si>
  <si>
    <t>וְכׇל הֵיכָא דִּכְתִיב בְּלָמֶד אָלֶף, ״לֹא״ הוּא? אֶלָּא מֵעַתָּה ״בְּכׇל צָרָתָם לֹא צָר״, דִּכְתִיב בְּלָמֶד אָלֶף, הָכִי נָמֵי דְּ״לֹא״ הוּא?</t>
  </si>
  <si>
    <t>But anywhere that is written lamed alef , is: Not? If that is so, “In all their affliction He was [ lo ] afflicted” where is written lamed alef , so too, does it Not,</t>
  </si>
  <si>
    <t>And all the place where it is written with a "lamed aleph," "lo" is it? Rather from now on "b'kol tzaratam lo tzar," as it is written with a "lamed aleph," so too is it that "lo" is it?</t>
  </si>
  <si>
    <t>And everywhere that it is written with a lamed alef, is it “lo” (not)? But from now, “In all their affliction He was not afflicted,” which is written with a lamed alef, so too is it “lo” (not)?</t>
  </si>
  <si>
    <t>וּמָה עֵדוּת הָרִאשׁוֹנָה, שֶׁאֵין אוֹסַרְתָּהּ אִיסּוּר עוֹלָם — אֵינָהּ מִתְקַיֶּימֶת בְּפָחוֹת מִשְּׁנַיִם, עֵדוּת הָאַחֲרוֹנָה, שֶׁאוֹסַרְתָּהּ אִיסּוּר עוֹלָם — אֵינוֹ דִּין שֶׁלֹּא תִּתְקַיֵּים בְּפָחוֹת מִשְּׁנַיִם?</t>
  </si>
  <si>
    <t>And just as the first testimony which does not forbid her an irrevocable prohibition, is not established with fewer than two the final testimony which forbids her an irrevocable prohibition, is it not logical that it not be established with fewer than two</t>
  </si>
  <si>
    <t>And what is the testimony of the first witness, that if you invalidate it with a permanent prohibition, it is not upheld by less than two witnesses? The testimony of the last witness, that if you invalidate it with a permanent prohibition, it is not a valid judgment unless it is upheld by less than two witnesses?</t>
  </si>
  <si>
    <t>And what of the first testimony, that its prohibition is not a prohibition forever — it does not stand with fewer than two; the latter testimony, that its prohibition is a prohibition forever — is it not דין that it should not stand with fewer than two?</t>
  </si>
  <si>
    <t>״הַמְקַנֵּא״, דִּיעֲבַד — אִין, לְכַתְּחִילָּה — לָא. קָסָבַר תַּנָּא דִּידַן: אָסוּר לְקַנּאוֹת.</t>
  </si>
  <si>
    <t>One who issues a warning after the fact, yes, no, ab initio . the tanna of our holds is prohibited to issue a warning</t>
  </si>
  <si>
    <t>"The one who is zealous," when it is done - yes, initially - no. The Tanna of ours holds: It is forbidden to be zealous.</t>
  </si>
  <si>
    <t>“Ha-mekannei,” de-i’avad — in, le-khatḥillah — la. Kasavar tanna didan: asur le-kanno’ot.</t>
  </si>
  <si>
    <t xml:space="preserve">GPT 5 fully transliterated this text. Many of these are not technical terms. For example, "in" means, "yes" 
I wonder if it got confused by the quotation marks in the first word. </t>
  </si>
  <si>
    <t>Strange, maybe test a translation with 5 without the quotation marks?</t>
  </si>
  <si>
    <t>Sotah.13b</t>
  </si>
  <si>
    <t>מִי לָנוּ גָּדוֹל מִמֹּשֶׁה וְכוּ׳. ״וַיֹּאמֶר ה׳ אֵלַי רַב לָךְ״, אָמַר רַבִּי לֵוִי: בְּ״רַב״ בִּישֵּׂר, בְּ״רַב״ בִּישְּׂרוּהוּ. בְּ״רַב״ בִּישֵּׂר — ״רַב לָכֶם״. בְּ״רַב״ בִּישְּׂרוּהוּ — ״רַב לָךְ״.</t>
  </si>
  <si>
    <t>Who, to us, a greater than Moses, “And the Lord said to me: Let it suffice for you [ rav lakh ]; Rabbi Levi says: proclaimed with “ rav ,” it was proclaimed to him with “ rav ” He proclaimed with “ rav ” “You take too much upon you [ rav lakhem ], it was proclaimed to him with “ rav ,” “Let it suffice for you [ rav lakh ].”</t>
  </si>
  <si>
    <t>Talmudic text: Who is greater than us like Moses, etc. "And Hashem said to me, you have been great," Rabbi Levi said: With "רַב" in straightforwardness, with "רַב" in crookedness. With "רַב" in straightforwardness - "great for you." With "רַב" in crookedness - "great for you."</t>
  </si>
  <si>
    <t>Who have we that is greater for us than Moshe, etc. “And Hashem said to me: Rav lakh,” R. Levi said: with “rav” he brought tidings, with “rav” they brought him tidings. With “rav” he brought tidings — “Rav lakhem.” With “rav” they brought him tidings — “Rav lakh.”</t>
  </si>
  <si>
    <t xml:space="preserve">This is a midrashic word-link: the Gemara is highlighting a pattern where a phrase Moses used in rebuke becomes the phrase used to close the conversation with him. It is difficult to understand without context and the translations do nto quite match up to the meaning, of God using the same phrase to tell Moshe he will not enter the land that Moshe used to tell Korach he has taken too much. </t>
  </si>
  <si>
    <t>Both let rav between quotes in the Hebrew untranslated, interesting.</t>
  </si>
  <si>
    <t>מָה כָּאן כֹּהֵן — אַף לְהַלָּן כֹּהֵן, וּמָה לְהַלָּן בְּעָלִים — אַף כָּאן בְּעָלִים. הָא כֵּיצַד? מַנִּיחַ יָדוֹ תַּחַת יְדֵי הַבְּעָלִים וּמֵנִיף.</t>
  </si>
  <si>
    <t>Just as here, priest so too there, priest And just as there, owner so too here, owner How this places his hand beneath the hands of the owner and waves</t>
  </si>
  <si>
    <t>Here is the English word-for-word translation of the Talmudic text: "What here priest — also there priest, and what there owners — also here owners. How so? Places his hand under the hand of the owners and waves."</t>
  </si>
  <si>
    <t>Just as here it is a *kohen* — so too there it is a *kohen*; and just as there it is the *be’alim* — so too here it is the *be’alim*. But how so? He places his hand under the hands of the *be’alim* and waves.</t>
  </si>
  <si>
    <t>מַאי רִיבָּה — רִיבָּה דְּכוּלֵּיהּ גּוּפֵיהּ, וּמַאי מִיעֵט — מִיעֵט שֵׂיעָר שֶׁבְּתוֹךְ הַחוֹטֶם.</t>
  </si>
  <si>
    <t>What does it include? It includes of all of the body. What does it exclude? It excludes nose hairs,</t>
  </si>
  <si>
    <t>What is a "Ribah"? - Ribah of all its body, and what is "Mi'et"? - Mi'et is the hair within the nostril.</t>
  </si>
  <si>
    <t>מַאי רִיבָּה — What did he include? רִיבָּה דְּכוּלֵּיהּ גּוּפֵיהּ — He included that of his entire body, וּמַאי מִיעֵט — and what did he exclude? מִיעֵט שֵׂיעָר שֶׁבְּתוֹךְ הַחוֹטֶם — He excluded hair that is within the nostril.</t>
  </si>
  <si>
    <t xml:space="preserve">This is correct, GPT 5 translates every couple of phrases, making the BLUE Score lower. </t>
  </si>
  <si>
    <t>Yes, and 3.5 does not translate ribah</t>
  </si>
  <si>
    <t>וְרַבִּי עֲקִיבָא מִ״מֵּהֶם תִּקְנוּ״ נָפְקָא, ״לְעֹלָם בָּהֶם תַּעֲבֹדוּ״ לְמָה לִי — לְחוֹבָה.</t>
  </si>
  <si>
    <t>And Rabbi Akiva derives from “Of them may you buy.” why do I “Of them may you take your bondmen forever” to mandatory</t>
  </si>
  <si>
    <t>Rabbi Akiva said: "From them they established." It emerged, "Forever in them you shall serve." Why do I need it? - For an obligation.</t>
  </si>
  <si>
    <t>does not understand this logic - of "derives" 
neutralizes slavery</t>
  </si>
  <si>
    <t>And Rabbi ʿAkiva—from “from them you shall acquire” it emerges; “forever with them you shall work” why do I need it?—for obligation.</t>
  </si>
  <si>
    <t>הָא לְמִשְׁנָתֵינוּ יֵשׁ לַדָּבָר סוֹף? זִמְנִין דְּלָא אִיסְתַּתַּר וְאָמַר ״אִיסְתַּתַּר״!</t>
  </si>
  <si>
    <t>But according to our mishna, does the matter have an end? times when she did not seclude herself and her husband says: She secluded herself,</t>
  </si>
  <si>
    <t>Here is the translation of the Talmudic text: Talmudic text: Is there an end to our Mishnah's matter? Sometimes it does not resolve, and he said, "It does not resolve!"</t>
  </si>
  <si>
    <t>Is there, for our Mishnah, an end to the matter? Sometimes that he was not hidden, and he said: “I was hidden”!</t>
  </si>
  <si>
    <t xml:space="preserve">It confuses the pronouns - the translation should be talking about her hiding. GPT 3.5 gets the translation incorrect, GPT 5 has the right words but incorrect pronouns. </t>
  </si>
  <si>
    <t>So, this verb is an ithpael or so. How could the model guess this is she instead of he?</t>
  </si>
  <si>
    <t>אֵין נֶאֱמָן בָּהּ?! וְאֶלָּא מַאי בָּעֵי —</t>
  </si>
  <si>
    <t>is not deemed credible with regard to her? But what require</t>
  </si>
  <si>
    <t>There is no faithful in it?! Rather, what does it require —</t>
  </si>
  <si>
    <t>Is he not believed in it?! But rather, what does he require—</t>
  </si>
  <si>
    <t xml:space="preserve">This is an appropriate translation, it just doesnt match with the translation from Sefaria. </t>
  </si>
  <si>
    <t>Yes, no problems.</t>
  </si>
  <si>
    <t>אַדְּרַבָּה: קִינּוּי עָדִיף, שֶׁכֵּן עִיקָּר גָּרַם לָהּ.</t>
  </si>
  <si>
    <t>On the contrary, preferable warning as main cause her</t>
  </si>
  <si>
    <t>Ad Ravah: Kinui adif, sheken ikar garam lah.</t>
  </si>
  <si>
    <t>On the contrary: *kinui* is preferable, for thus the principal cause caused it for her.</t>
  </si>
  <si>
    <t>הַכֹּל שָׁוִין שֶׁאֵין מַתְנֶה עִמָּהּ, לֹא עַל קוֹדֶם שֶׁתִּתְאָרֵס וְלֹא עַל אַחַר שֶׁתִּתְגָּרֵשׁ.</t>
  </si>
  <si>
    <t>All agree that he may stipulate with her neither with regard to before becoming betrothed nor with regard to after she becomes divorced</t>
  </si>
  <si>
    <t>All are equal that there is no gift with her, not on before that she will be betrothed and not on after that she will be divorced.</t>
  </si>
  <si>
    <t>All are in agreement that he does not stipulate with her, neither concerning before she becomes betrothed nor concerning after she becomes divorced.</t>
  </si>
  <si>
    <t>מַאי לָאו בְּהָא קָמִיפַּלְגִי, דְּמָר סָבַר: אֵין שֵׁנִי עוֹשֶׂה שְׁלִישִׁי בְּחוּלִּין,</t>
  </si>
  <si>
    <t>What, is it not disagree with regard to Sage, holds cannot impart to non-sacred items.</t>
  </si>
  <si>
    <t>What is the reason why he does not agree with this? Because Mar holds: One does not make a third category with mundane items.</t>
  </si>
  <si>
    <t>What, is it not in this that they are disputing, that the Master holds: a second does not make a third with regard to ḥullin,</t>
  </si>
  <si>
    <t>בָּעֵי רַב אָשֵׁי: מַהוּ שֶׁיַּתְנֶה אָדָם עַל נִישּׂוּאִין הָאַחֲרוֹנִים? הַשְׁתָּא מִיהָא לָא אֲסִירָה לֵיהּ, אוֹ דִילְמָא זִימְנִין דִּמְגָרֵשׁ לַהּ וַהֲדַר מַהְדַּר לַהּ?</t>
  </si>
  <si>
    <t>Rav Ashi raised a dilemma: What is whether a man may stipulate concerning a later marriage, Now, at least, she is not forbidden to him? Or perhaps sometimes divorces and remarries her,</t>
  </si>
  <si>
    <t>The Talmudic text: Ba'ei Rav Ashi: What should a person give as a gift for the latter marriages? Perhaps he should not give her anything now, or maybe sometimes he divorces her and then remarries her?</t>
  </si>
  <si>
    <t>Baʿei Rav Ashi: What is it that a man should stipulate concerning the later marriage? Now, in any case, she is not forbidden to him; or perhaps, sometimes he divorces her and then goes back and takes her back?</t>
  </si>
  <si>
    <t>אָמַר רַב נַחְמָן בַּר יִצְחָק: כִּי קָא חָשֵׁיב, הֲלָכָה עוֹקֶבֶת מִקְרָא, הָא עוֹקֶבֶת מִדְּרַבָּנַן הִיא.</t>
  </si>
  <si>
    <t>Rabbi Naḥman bar Yitzḥak said: counted halakha supersedes verse. This is supersedes of the Sages.</t>
  </si>
  <si>
    <t>Rav Nachman son of Yitzchak said: When it is being calculated, the Halacha follows the interpretation of the verse, as it follows the interpretation of the Rabbis.</t>
  </si>
  <si>
    <t>אָמַר רַב נַחְמָן בַּר יִצְחָק: Rav Naḥman bar Yitzḥak said: כִּי קָא חָשֵׁיב, when he is counting, הֲלָכָה עוֹקֶבֶת מִקְרָא, halakha that follows Scripture; הָא עוֹקֶבֶת מִדְּרַבָּנַן הִיא, but this one follows from the Rabbis it is.</t>
  </si>
  <si>
    <t>Sotah.14a-14b</t>
  </si>
  <si>
    <t>קָתָנֵי מִיהָא בִּקְלָתוֹת שֶׁל כֶּסֶף וּבִקְלָתוֹת שֶׁל זָהָב! אָמַר רַב פָּפָּא: אֵימָא בְּכֵלִים הָרְאוּיִין לִכְלֵי שָׁרֵת.</t>
  </si>
  <si>
    <t>In any event, teaches in baskets of silver and baskets of gold Rav Pappa said: say in vessels these are suitable to be service vessels</t>
  </si>
  <si>
    <t>It was taught in one place regarding silver vessels and regarding gold vessels! Rav Papa said: Say it is with vessels fit for service.</t>
  </si>
  <si>
    <t>It teaches, in any case, “with *kelatot* of silver and with *kelatot* of gold”! Amar Rav Pappa: Say, with vessels that are fit for *klei sharet*.</t>
  </si>
  <si>
    <t xml:space="preserve">GPT 5 uses transliteration for terms that do not seem to be "technical"  though it may be a rare word and that could be why it is transliterated. Rashi provides the translation of "basekts" in this case. </t>
  </si>
  <si>
    <t>Yes, but it is somewhat strange that 3.5 knows these words.</t>
  </si>
  <si>
    <t>וְרַבִּי עֲקִיבָא מִ״כִּי אִם לִשְׁאֵרוֹ״ נָפְקָא, ״לָהּ יִטַּמָּא״ לְמָה לִי — לְחוֹבָה.</t>
  </si>
  <si>
    <t>And Rabbi Akiva derives from “Except for his kin, why do I “For her may he become impure”? To mandatory.</t>
  </si>
  <si>
    <t>Rabbi Akiva said: "If it is only for his own sake that he went out, why should I be concerned that 'he will become impure' - for an obligation."</t>
  </si>
  <si>
    <t>And Rabbi Akiva—from “except for his kin” it emerges; “for her he shall become impure,” why do I need it?—for obligation.</t>
  </si>
  <si>
    <t>Sotah.12b-13a</t>
  </si>
  <si>
    <t>״זֶה״. אָמַר רַבִּי יוֹחָנָן: מְלַמֵּד שֶׁנִּתְנַבְּאָה שֶׁלֹּא מִדַּעְתָּהּ — זֶה נוֹפֵל, וְאֵין אַחֵר נוֹפֵל.</t>
  </si>
  <si>
    <t>“This [ zeh ] Rabbi Yoḥanan says: teaches that she prophesied unknowingly, This falls, but no other fall</t>
  </si>
  <si>
    <t>"This." Rabbi Yochanan said: It teaches that if a prophecy came without her knowledge - this one falls, and another does not fall.</t>
  </si>
  <si>
    <t>“‘This.’” Amar Rabbi Yoḥanan: It teaches that she prophesied not of her own mind—this one falls, and no other falls.</t>
  </si>
  <si>
    <t>בָּעֵי רַבִּי יִרְמְיָה: מַהוּ שֶׁיַּתְנֶה אָדָם עַל נִישּׂוּאִין הָרִאשׁוֹנִים, עַל נִישּׂוּאֵי אָחִיו, מַהוּ?</t>
  </si>
  <si>
    <t>Rabbi Yirmeya raised a dilemma: what is whether a man may stipulate concerning first marriage? concerning the marriage of his brother, What is</t>
  </si>
  <si>
    <t>Question of Rabbi Yirmeya's son: What should a person give for the first marriages, for the marriages of his brothers, what?</t>
  </si>
  <si>
    <t>Baʿei Rabbi Yirmeya: What is it that a man may stipulate concerning the first marriage, concerning the marriage of his brother—what is it?</t>
  </si>
  <si>
    <t>אִיצְטְרִיךְ, סָלְקָא דַּעְתָּךְ אָמֵינָא: ״עֵד אֵין בָּהּ״ — אֵין נֶאֱמָן בָּהּ.</t>
  </si>
  <si>
    <t>was necessary enter your mind to say “There is no witness against her,” is not deemed credible with regard to her</t>
  </si>
  <si>
    <t>It is necessary, as your mind has concluded, I say: "A witness is not in it" - he is not believed in it.</t>
  </si>
  <si>
    <t>It was necessary; it עולה upon your mind I would say: “a witness there is not in her” — he is not believed regarding her.</t>
  </si>
  <si>
    <t xml:space="preserve">It introduces a new hebrew word - "עולה " is not in the original text. It introduces a Hebrew word in an attempt to exaplin this text, if it enters your mind - and then uses "עולה" which means to come up, like "if it comes upto your mind." </t>
  </si>
  <si>
    <t>olah, very strange.</t>
  </si>
  <si>
    <t>וְתַנָּא קַמָּא נָמֵי, הָכְתִיב ״זֹאת״! וְרַבָּנַן בָּתְרָאֵי נָמֵי, הָא כְתִיב ״תּוֹרַת״!</t>
  </si>
  <si>
    <t>But the first tanna as well, isn’t it written “This,” And the Rabbis later as well, isn’t it written: “The law of</t>
  </si>
  <si>
    <t>And it was taught in the first Tanna's presence, it is written "this"! And the later Rabbis' presence, it is written "Torat"!</t>
  </si>
  <si>
    <t>And the Tanna Kamma also, behold it is written “zot”! And the Rabbanan Batra’ei also, behold it is written “torat”!</t>
  </si>
  <si>
    <t xml:space="preserve">GPT 5 is translitaerating the terms in quoatations, even though these are not technical terms. </t>
  </si>
  <si>
    <t>דִּכְתִיב בֵּיהּ — כְּתִיב בֵּיהּ. וּדְלָא כְּתִיב בֵּיהּ — כְּתִיב בֵּיהּ: ״מַה אִמְּךָ לְבִיָּא בֵּין אֲרָיוֹת רָבָצָה וְגוֹ׳״.</t>
  </si>
  <si>
    <t>where is written with regard to him, is written with regard to him. And where no written with regard to him is written about “How your mother was a lioness; among lions she crouched,</t>
  </si>
  <si>
    <t>It is written in it - it is written in it. And if it is not written in it - it is written in it: "What is your mother like? A lioness among lions, etc."</t>
  </si>
  <si>
    <t>That which is written in it — is written in it. And that which is not written in it — is written in it: “What was your mother, a lioness; among lions she crouched, etc.”.</t>
  </si>
  <si>
    <t>קַשְׁיָא שִׁמּוּשׁ אַשִּׁמּוּשׁ. קַשְׁיָא אֲסָרָהּ אַאֲסָרָהּ!</t>
  </si>
  <si>
    <t>serving difficult, by serving difficult, who prohibited by who prohibited it.</t>
  </si>
  <si>
    <t>A difficult matter, they named it "Ashmush." A difficult matter, he prohibited it, he prohibited it!</t>
  </si>
  <si>
    <t>Difficult: *shimush* upon *shimush*. Difficult: its prohibition upon its prohibition!</t>
  </si>
  <si>
    <t xml:space="preserve">This is a complicated sentence to understand without any commentary. GPT 3.5 added the word "named" which is not in the text itself. </t>
  </si>
  <si>
    <t>Yes, and 5 does not translate shimmush</t>
  </si>
  <si>
    <t>דָּבָר אַחֵר: ״רַב לָךְ״ — רַב יֵשׁ לְךָ, וּמַנּוּ — יְהוֹשֻׁעַ.</t>
  </si>
  <si>
    <t>Alternatively: “ rav lakh ” You have a rav , and who is it? Joshua,</t>
  </si>
  <si>
    <t>Another explanation: "Rav Lach" - you have Rav, and "Manu" - Yehoshua.</t>
  </si>
  <si>
    <t>Another matter: “rav lakh” — a rav you have, and who is it — Yehoshu’a.</t>
  </si>
  <si>
    <t>לָא קַשְׁיָא: הָא — דְּקָהָדְרָא בַּהּ מֵחֲמַת רְתִיתָא, וְהָא — דְּקָהָדְרָא בָּהּ מֵחֲמַת בְּרִיּוּתָא.</t>
  </si>
  <si>
    <t>not difficult; this where she retracts due to fear, And that where she retracts in a state of health.</t>
  </si>
  <si>
    <t>Not difficult: this — that he arranged it due to the wine, and this — that he arranged it due to the health.</t>
  </si>
  <si>
    <t>It is not difficult: this one—where it returns in it on account of trembling, and this one—where it returns in it on account of health.</t>
  </si>
  <si>
    <t>מַתְנִי׳ אֵינוֹ כּוֹתֵב לֹא עַל הַלּוּחַ, וְלֹא עַל הַנְּיָיר, וְלֹא עַל</t>
  </si>
  <si>
    <t>does not write upon tablet, and not upon paper and not upon</t>
  </si>
  <si>
    <t>The Mishnah teaches: One may not write neither on the tablet, nor on the paper, nor on...</t>
  </si>
  <si>
    <t>**Matni׳:** He does not write, neither on the tablet, nor on the paper, nor on the…</t>
  </si>
  <si>
    <t>Sotah.7a-b</t>
  </si>
  <si>
    <t>יֵשׁ לָהּ עֵדִים בִּמְדִינַת הַיָּם!</t>
  </si>
  <si>
    <t>there are witnesses for her in a country overseas</t>
  </si>
  <si>
    <t>"It has witnesses in the maritime province!"</t>
  </si>
  <si>
    <t>There are for her witnesses in the province of the sea!</t>
  </si>
  <si>
    <t>הָתָם אָמַר רַבִּי אֱלִיעֶזֶר: כְּדֵי מְזִיגַת הַכּוֹס, הָכָא: כְּדֵי חֲזָרַת דֶּקֶל! אִידֵּי וְאִידֵּי חַד שִׁיעוּרָא הוּא.</t>
  </si>
  <si>
    <t>There, Rabbi Eliezer says: equivalent for pouring a cup Here, equivalent returning of a palm This and that are one, measure.</t>
  </si>
  <si>
    <t>There, said Rabbi Eliezer: for the purpose of mixing the cup, here: for the purpose of palm frond covering! Both are of the same measure.</t>
  </si>
  <si>
    <t>There, אמר Rabbi Eliezer: “as much as the mixing of the cup”; here: “as much as the returning of a dekel”! Both this and this—it is one measure.</t>
  </si>
  <si>
    <t>וְאִם תִּמְצָא לוֹמַר בָּעֵינַן נָמֵי מְחִיקָה לִשְׁמָהּ, מְחָקָן בִּשְׁתֵּי כוֹסוֹת וְחָזַר וְעֵירְבָן, מַהוּ? מְחִיקָה לִשְׁמָהּ בָּעֵינַן, וְהָאִיכָּא, אוֹ דִילְמָא הָא לָאו דִּידַהּ קָא שָׁתְיָא וְהָא לָאו דִּידַהּ קָא שָׁתְיָא?</t>
  </si>
  <si>
    <t>And if you say we require also erasure for the sake of erased them in two cups and mixed again, what is Do we require erasure for the sake of that is Or perhaps this does not drink her own and that does not drink her own</t>
  </si>
  <si>
    <t>And if you find to say, "We require a designated cup for its name," he designates them with two cups and goes back and mixes. What is the law? We require a designated cup for its name, and where is it? Or perhaps he is drinking for this one and he is drinking for that one?</t>
  </si>
  <si>
    <t>And if you will find to say, we require also erasure for its sake, he erased them in two cups and went back and mixed them, what is it? Erasure for its sake we require, and behold there is; or perhaps, behold this is not hers that she drinks and behold this is not hers that she drinks?</t>
  </si>
  <si>
    <t>וְהָא לֵית לֵיהּ לְרַבִּי מֵאִיר מִכְּלָל לָאו אַתָּה שׁוֹמֵעַ הֵן?</t>
  </si>
  <si>
    <t>But Rabbi Meir does not from a negative you infer a positive</t>
  </si>
  <si>
    <t>And this case does not apply to Rabbi Meir from the category of "you shall surely listen," does it?</t>
  </si>
  <si>
    <t>But behold, does Rabbi Meir not have the principle of “from a כלל ‘no’ you hear a ‘yes’”?</t>
  </si>
  <si>
    <t>This is a very cryptic original text, but it is incorrect in both GPT s</t>
  </si>
  <si>
    <t>kll in hebrew by 5.</t>
  </si>
  <si>
    <t>וְרַבָּנַן בָּתְרָאֵי סָבְרִי: ״זֹאת״ — לְמַעוֹטֵי כּוּלְּהִי, ״תּוֹרַת״ — לְרַבּוֹיֵי שְׁנֵי אֲנָשִׁים וּשְׁנֵי בּוֹעֲלִין.</t>
  </si>
  <si>
    <t>And the Rabbis later hold “this” to exclude all of these “the law of to include two husbands and two paramours,</t>
  </si>
  <si>
    <t>The sages of the later generations hold: "this" - to exclude everything, "Torat" - to include the two men and two women.</t>
  </si>
  <si>
    <t>And the Rabbanan of the later generation hold: “This” — to exclude all of them; “the law of” — to include two men and two cohabiters.</t>
  </si>
  <si>
    <t>הָיְתָה מִתְכַּסָּה בִּלְבָנִים — מְכַסֶּהָ בִּשְׁחוֹרִים. הָיָה עָלֶיהָ כְּלֵי זָהָב</t>
  </si>
  <si>
    <t>she was dressed in white he cover her with black she was wearing gold adornments,</t>
  </si>
  <si>
    <t>She was covered in white - he covers her in black. There were golden vessels upon her.</t>
  </si>
  <si>
    <t>She was covering herself with whites — he covers her with blacks. There were upon her vessels of gold.</t>
  </si>
  <si>
    <t xml:space="preserve">The translation is pretty accurate in both cases, it is just a difference in word choice from the LLM causing the low scores. </t>
  </si>
  <si>
    <t>good</t>
  </si>
  <si>
    <t>Sotah.8a-8b</t>
  </si>
  <si>
    <t>גְּמָ׳ אָמַר רַב יוֹסֵף: אַף עַל גַּב דְּמִדָּה בְּטֵילָה, בַּמִּדָּה לֹא בָּטֵיל.</t>
  </si>
  <si>
    <t>Rav Yosef says: Although the measure has ceased, with a measure has not ceased,</t>
  </si>
  <si>
    <t>Gemara: Rav Yosef said: Even though it is nullified in the mixture, it is not nullified in the measure.</t>
  </si>
  <si>
    <t>GEMARA: Rav Yosef said: Even though the measure is nullified, in the measure it is not nullified.</t>
  </si>
  <si>
    <t xml:space="preserve">The translation from Sefaria does not include the term "Gemara" - the form of the Talmud is such that there are phrases from the Mishna that are then expounded on by the Gemara, so this is a notification from Sefaria that the Mishnaic text ended and the Talmudic text is beginning. </t>
  </si>
  <si>
    <t>Yes, GEMARA is strange, I guess it adds this from its memory</t>
  </si>
  <si>
    <t>״שָׂרֵי מִסִּים״, דָּבָר שֶׁמֵּשִׂים (לְבֵנִים).</t>
  </si>
  <si>
    <t>“Taskmasters [ sarei missim ]” A matter that compels [ shemesim ] bricks,</t>
  </si>
  <si>
    <t>"Princes of spices," a matter that they use (for) stones.</t>
  </si>
  <si>
    <t>“sarei missim,” a matter that they impose (bricks).</t>
  </si>
  <si>
    <t>רַב פָּפָּא אָמַר: כִּי קָא חָשֵׁיב הֲלָכָה עוֹקֶבֶת וְעוֹקֶרֶת, הָא עוֹקֶבֶת וּמוֹסֶפֶת הִיא.</t>
  </si>
  <si>
    <t>Rav Pappa said: counted halakha supersedes and uproots This, supersedes and adds.</t>
  </si>
  <si>
    <t>Rav Papa said: When a halakha is considered as following and uprooting, it is following and adding.</t>
  </si>
  <si>
    <t>Rav Pappa said: When he is counting a halakha that follows and uproots, behold, it is one that follows and adds.</t>
  </si>
  <si>
    <t>הָיוּ עָלֶיהָ כְּלֵי זָהָב וְכוּ׳. פְּשִׁיטָא, הַשְׁתָּא נַוּוֹלֵי מְנַוֵּויל לַהּ, הָנֵי מִיבַּעְיָא? מַהוּ דְּתֵימָא: בְּהָנֵי אִית לַהּ בִּזָּיוֹן טְפֵי, כִּדְאָמְרִי אִינָשֵׁי: שָׁלִיחַ עַרְטִיל וְסָיֵים מְסָאנֵי. קָא מַשְׁמַע לַן.</t>
  </si>
  <si>
    <t>she was wearing gold adornments Isn’t obvious? Now renders her unattractive is it necessary these Lest you say with these she has more degradation, as people say Undressed, naked, and wearing shoes. teaches us</t>
  </si>
  <si>
    <t>They were on it vessels of gold, etc. Obviously, now they are worn out, should they be removed? What is the reason? Because it has excessive adornment, as people say: "A messenger of silk and linen garments is despised." We can infer from this.</t>
  </si>
  <si>
    <t>They were upon her vessels of gold, etc. Obvious; now, he is making her repulsive, these are needed? What is it that you would say: with these, she has more disgrace, as people say: a messenger naked and putting on shoes. It teaches us.</t>
  </si>
  <si>
    <t>אָמַר רַבִּי תַּנְחוּם: ״הִנָּקִי״ כְּתִיב.</t>
  </si>
  <si>
    <t>Rabbi Tanḥum says: It is written: you shall be free [ hinnaki ]”</t>
  </si>
  <si>
    <t>Said Rabbi Tanhum: "Hinnaki" is written.</t>
  </si>
  <si>
    <t>אָמַר רַבִּי תַּנְחוּם: Rabbi Tanḥum said: ״הִנָּקִי״ it is written.</t>
  </si>
  <si>
    <t>אָמַר רַב חִסְדָּא: זְנוּתָא בְּבֵיתָא כִּי קַרְיָא לְשׁוּמְשְׁמָא. וְאָמַר רַב חִסְדָּא: תּוּקְפָּא בְּבֵיתָא כִּי קַרְיָא לְשׁוּמְשְׁמָא. אִידֵּי וְאִידֵּי בְּאִיתְּתָא, אֲבָל בְּגַבְרָא לֵית לַן בַּהּ.</t>
  </si>
  <si>
    <t>Rav Ḥisda says: Licentious in a home like a worm [ karya ] to sesame [ shumeshema ]. And Rav Ḥisda says: Anger in a home like a worm to sesame. this and that, with regard to the woman but with regard to the man, we do not have with regard to it,</t>
  </si>
  <si>
    <t>Rav Ḥisdah said: Immorality in the home is like calling for the demon. And Rav Ḥisdah said: A palm tree in the home is like calling for the demon. Both of them are harmful, but with a man, we are not concerned about it.</t>
  </si>
  <si>
    <t>אָמַר Rav Ḥisda: Z’nuta in the house is like a worm to sesame. וְאָמַר Rav Ḥisda: Tukpa in the house is like a worm to sesame. אִידֵּי וְאִידֵּי—both this and that—are in a woman, but in a man we have not in it.</t>
  </si>
  <si>
    <t>וְרַבָּנַן, הִיא הַנּוֹתֶנֶת: נִדָּה דְּכָרֵת — חֲמִירָא לֵיהּ וּמְהֵימַן. סוֹטָה דְּלָאו — לָא חֲמִירָא לֵיהּ, וְלָא מְהֵימַן.</t>
  </si>
  <si>
    <t>And the Rabbis That provides A menstruating woman by karet . a stringent for him, and he is trusted a sota by a prohibition. not a stringent to him, and he is not trusted</t>
  </si>
  <si>
    <t>The sages, that is the one who gives: a menstruating woman who is subject to karet — he is strict with her and believes her. A sotah who is not — he is not strict with her, and does not believe her.</t>
  </si>
  <si>
    <t>And the Rabbanan, she is the one who gives: Niddah that is of karet — it is severe to him and he is trusted. Sotah that is of a lav — it is not severe to him, and he is not trusted.</t>
  </si>
  <si>
    <t>רַבָּנַן אָמְרִי: רוּחַ טוּמְאָה. רַב אָשֵׁי אָמַר: רוּחַ טׇהֳרָה.</t>
  </si>
  <si>
    <t>The Rabbis say: A spirit of impurity, Rav Ashi says: A spirit of purity,</t>
  </si>
  <si>
    <t>The sages said: impure spirit. Rav Ashi said: pure spirit.</t>
  </si>
  <si>
    <t>Rabbannan amri: a spirit of impurity. Rav Ashi amar: a spirit of purity.</t>
  </si>
  <si>
    <t>תַּלְמוּד לוֹמַר: ״וְעֵד אֵין בָּהּ״, כׇּל עֵדוּת שֶׁיֵּשׁ בָּהּ.</t>
  </si>
  <si>
    <t>the verse states: “And there be no witness against her” any that there is against her</t>
  </si>
  <si>
    <t>The Talmud teaches: "And there is no witness in it," any testimony that contains in it.</t>
  </si>
  <si>
    <t>Talmud to say: “and a witness there is not in her,” any testimony that there is in her.</t>
  </si>
  <si>
    <t>וּמֵאַחַר דְּנָפְקָא לֵיהּ מִ״כִּי כׇל סְאוֹן סֹאֵן בְּרַעַשׁ״, ״בְּסַאסְּאָה בְּשַׁלְּחָהּ תְּרִיבֶנָּה״ לְמָה לִי?</t>
  </si>
  <si>
    <t>And since he derives it from “for every boot stamped with fierceness,” why do I “in full measure, when you send her away, you contend with her”</t>
  </si>
  <si>
    <t>And after he went out, "for all the noise is noise with tumult," "in a tempest, in the sending forth, you will contend with her," why do I need it?</t>
  </si>
  <si>
    <t>And since it went out for him from “For every boot booted with tumult”, “With se’ah, by sending her away, You contend with her” — for what do I need it?</t>
  </si>
  <si>
    <t>קַשְׁיָא לְהוּ לִדְבֵי רַבִּי שֵׁילָא: הַאי ״יָד לְיָד לֹא יִנָּקֶה״, ״יָדִי״ מִיבְּעֵי לֵיהּ!</t>
  </si>
  <si>
    <t>poses a difficulty to the school of Rabbi Sheila: This “Hand to hand, he shall not be unpunished,” It should have My hand,</t>
  </si>
  <si>
    <t>Talmudic text: "Kashya lehu lidvei Rabbi Sheilah: Hai 'yad leyad lo yinnakeh', 'yadi' mibe'eilei leih!" English translation: A difficulty was raised in the study hall of Rabbi Sheilah: This verse "Hand to hand, he will not go unpunished," Proverbs 11:21 - what does 'my hand' imply?</t>
  </si>
  <si>
    <t>It was difficult for them, for the house of Rabbi Sheila: this “Hand to hand he shall not be cleansed,” “my hand” it is required for it!</t>
  </si>
  <si>
    <t>צְרִיכִי, דְּאִי תְּנָא כְּדֵי טוּמְאָה, הֲוָה אָמֵינָא: כְּדֵי טוּמְאָתָהּ וְאַרְצוּתָהּ, קָא מַשְׁמַע לַן כְּדֵי בִיאָה.</t>
  </si>
  <si>
    <t>are necessary, as if taught Equivalent defilement, I would say equivalent her defilement and her appeasement, teaches us equivalent sexual intercourse</t>
  </si>
  <si>
    <t>I need, for if a Tanna says "the size of impurity," I would say: "the size of her impurity and her land," it teaches us the size of entry.</t>
  </si>
  <si>
    <t>Necessary; for if it was taught: enough for tum’ah, I would have said: enough for her tum’ah and her appeasement; it teaches us: enough for bi’ah.</t>
  </si>
  <si>
    <t>אֲמַר לֵיהּ רַב פָּפָּא לְאַבָּיֵי: וְהָא כִּי כְּתִיבָה קִינּוּי, בָּתַר סְתִירָה וְטוּמְאָה הוּא דִּכְתִיבָה!</t>
  </si>
  <si>
    <t>Rav Pappa said to Abaye: But when the warning is written it is written after seclusion and defilement</t>
  </si>
  <si>
    <t>Rav Papa said to Abbaye: But is it not written as a designation, after contradiction and impurity is it written!</t>
  </si>
  <si>
    <t>Rav Pappa said to Abaye: But behold, when kinui is written, it is written after setira and tum’ah!</t>
  </si>
  <si>
    <t>תָּא שְׁמַע: הַכֹּל שָׁוִין שֶׁלֹּא הָיָה מַתְנֶה עִמָּהּ לֹא עַל קוֹדֶם שֶׁתִּתְאָרֵס, וְלֹא עַל אַחַר שֶׁתִּתְגָּרֵשׁ. נִסְתְּרָה לְאֶחָד וְנִטְמֵאת, וְאַחַר כָּךְ יַחְזִירֶנָּה — לֹא הָיָה מַתְנֶה. הָא יַחְזִירֶנָּה וְתִיטָּמֵא, הָכִי נָמֵי דְּמַתְנֵי. שְׁמַע מִינַּהּ.</t>
  </si>
  <si>
    <t>Come hear All agree that he may stipulate with her neither with regard to before becoming betrothed nor with regard to after she becomes divorced secluded herself and became defiled, and afterward took her back he may not stipulate But he remarries her and she becomes defiled, he may indeed stipulate conclude from</t>
  </si>
  <si>
    <t>Come and hear: Everything is equal, that he did not give her a gift neither before she was betrothed, nor after she was divorced. If she was hidden to one and became impure, and afterwards he returns her - he did not give a gift. If he returns her and she becomes impure, so it is fitting that he gives a gift. Learn from this.</t>
  </si>
  <si>
    <t>Come and hear: all are equal that he was not stipulating with her, neither concerning before she shall become betrothed, nor concerning after she shall be divorced. She secluded herself with one and became defiled, and afterward he will take her back — he was not stipulating. But if he will take her back and she will become defiled, so too that he stipulates. Hear from it.</t>
  </si>
  <si>
    <t>בּוֹ בַּיּוֹם דָּרַשׁ רַבִּי עֲקִיבָא וְכוּ׳.</t>
  </si>
  <si>
    <t>On that same day Rabbi Akiva interpreted</t>
  </si>
  <si>
    <t>In it, on that day, Rabbi Akiva expounded, and so forth.</t>
  </si>
  <si>
    <t>On that day darash Rabbi Akiva, etc.</t>
  </si>
  <si>
    <t>אֶלָּא הָא דְּקָתָנֵי ״שׁוֹמֶרֶת יָבָם וּכְנוּסָה״ — הָא מַנִּי רַבִּי עֲקִיבָא הִיא, דְּאָמַר: אֵין קִידּוּשִׁין תּוֹפְסִין בְּחַיָּיבֵי לָאוִין, וּמְשַׁוֵּי לַהּ כִּי עֶרְוָה.</t>
  </si>
  <si>
    <t>But that which is taught Nor as a widow waiting for my yavam nor married whose is this? It is Rabbi Akiva, who says: Betrothal does not take effect for liable for prohibitions And is considered to be a woman forbidden to</t>
  </si>
  <si>
    <t>Rather, this that is taught, "a woman who is waiting for her brother-in-law and is married" - this is according to the opinion of Rabbi Akiva, for he said: betrothals do not take effect with those who are obligated in negative commandments, and he compares it to a case of ervah.</t>
  </si>
  <si>
    <t>Rather, that which it teaches: “shomeret yavam u-khenusah” — this, who is it? It is Rabbi Akiva, for he said: kiddushin do not take effect with chayyavei lavin, and he renders her like an ervah.</t>
  </si>
  <si>
    <t>אִם אָמְרָה ״טְמֵאָה אֲנִי״ וְכוּ׳. שָׁמְעַתְּ מִינַּהּ כּוֹתְבִין שׁוֹבָר.</t>
  </si>
  <si>
    <t>If she says: I am defiled, You learn from this that one writes a receipt</t>
  </si>
  <si>
    <t>If she said, "I am impure," etc. We learn from it that they write a divorce document.</t>
  </si>
  <si>
    <t>IF she said: “Temei’ah I am,” etc. You learn from it: we write a shovar.</t>
  </si>
  <si>
    <t>הַתּוֹרָה אָמְרָה בְּ״עָפָר״, וַהֲלָכָה בְּכׇל דָּבָר. הַתּוֹרָה אָמְרָה בְּ״תַעַר״, וַהֲלָכָה בְּכׇל דָּבָר. הַתּוֹרָה אָמְרָה ״סֵפֶר״, וַהֲלָכָה בְּכׇל דָּבָר.</t>
  </si>
  <si>
    <t>The Torah states: in dust” but the halakha is in anything The Torah states razor but the halakha is with anything. The Torah states: bill [ sefer ] but the halakha is on anything</t>
  </si>
  <si>
    <t>The Torah said with "afar," and the halakha with every matter. The Torah said with "ta'ar," and the halakha with every matter. The Torah said "sefer," and the halakha with every matter.</t>
  </si>
  <si>
    <t>The Torah said with “ʿafar,” and the halakha with every thing. The Torah said with “taʿar,” and the halakha with every thing. The Torah said “sefer,” and the halakha with every thing.</t>
  </si>
  <si>
    <t>Transliteration is similar between GPT 5 and 3.5</t>
  </si>
  <si>
    <t>Yes, I guess they use a transliteration here because there are quotes.</t>
  </si>
  <si>
    <t>אִילֵּימָא מִשּׁוּם דְּאָתְיָין וְקָיְימָין אַקּוּרְבָּנַיְיהוּ, דְּתַנְיָא: אֵין קׇרְבָּנוֹ שֶׁל אָדָם קָרֵב אֶלָּא אִם כֵּן עוֹמֵד עַל גַּבָּיו. אִי הָכִי — זָבִין וְזָבוֹת נָמֵי! אִין הָכִי נָמֵי, וְתַנָּא חֲדָא מִינַּיְיהוּ נְקַט.</t>
  </si>
  <si>
    <t>If we say because for come and stand over their offerings, as it is taught The offering of a person is brought only if he stands over it If that is so, men who experience a gonorrhea-like discharge [ zavim ] and women who experience a discharge of uterine blood after their menstrual period [ zavot ] as well. Yes, it is indeed so, and the tanna cited one of them,</t>
  </si>
  <si>
    <t>Potentially, because they come and establish their sacrifices, as it was taught: A person's offering is not brought unless he stands over it. If so - men and women are also included! If so, they are included, and a certain Mishnah supports them.</t>
  </si>
  <si>
    <t xml:space="preserve">doesnt know what a "zav" is - which is a type of impurity for men and women that comes from bodily discrahge </t>
  </si>
  <si>
    <t>If you say, because they come and stand over their korbanot, as it is taught: A man’s korban is not offered אלא אם כן he stands over it. If so — zavin and zavot also! Yes, so too, and the tanna took one of them.</t>
  </si>
  <si>
    <t>נִסְתְּרָה לְאֶחָד וְנִטְמֵאת, וְאַחַר כָּךְ הֶחְזִירָה — לֹא הָיָה מַתְנֶה עִמָּהּ.</t>
  </si>
  <si>
    <t>she secluded herself and became defiled, and afterward took her back he cannot stipulate with her</t>
  </si>
  <si>
    <t>It was hidden from one and became impure, and afterwards she returned - there was no gift with her.</t>
  </si>
  <si>
    <t>She secluded herself with one and became defiled, and afterward he took her back — he would not stipulate with her.</t>
  </si>
  <si>
    <t>קַשְׁיָא לֵיהּ לְרַבִּי יוֹחָנָן: הַאי ״יָד לְיָד״, ״יָד מִיָּד״ מִיבַּעְיָא לֵיהּ!</t>
  </si>
  <si>
    <t>This poses a difficulty to Rabbi Yoḥanan: This hand to hand” It should have Hand from hand,</t>
  </si>
  <si>
    <t>The question was difficult for Rabbi Yochanan: This "hand to hand," "hand from hand" requires clarification!</t>
  </si>
  <si>
    <t>It was difficult for Rabbi Yoḥanan: this “hand to hand,” “hand from hand” it should have said!</t>
  </si>
  <si>
    <t>וְרַבָּנַן: ״אֶל כֶּלִי״ — דַּוְקָא, ״עָלָיו״ — לְעָרְבָן.</t>
  </si>
  <si>
    <t>And the Rabbis, “In a vessel,” specifically. “Thereto,” to mix</t>
  </si>
  <si>
    <t>The Sages: "To a vessel" - specifically, "upon it" - to mix.</t>
  </si>
  <si>
    <t>And the Rabbanan: “to the vessel” — specifically; “upon it” — to mix them.</t>
  </si>
  <si>
    <t>Sotah.10b</t>
  </si>
  <si>
    <t>״הַכֶּר נָא״. אָמַר רַבִּי חָמָא בְּרַבִּי חֲנִינָא: בְּ״הַכֶּר״ בִּישֵּׂר לְאָבִיו — בְּ״הַכֶּר״ בִּישְּׂרוּהוּ. בְּ״הַכֶּר״ בִּישֵּׂר: ״הַכֶּר נָא הַכְּתֹנֶת בִּנְךָ הִיא״. בְּ״הַכֶּר״ בִּישְּׂרוּהוּ: ״הַכֶּר נָא לְמִי״.</t>
  </si>
  <si>
    <t>Discern, please, Rabbi Ḥama, son of Rabbi Ḥanina, says: With discern informed his father with discern they informed With discern he informed Discern now whether it is your son’s coat With discern they informed him: Discern, please, whose are</t>
  </si>
  <si>
    <t>"The pit, please." Rabbi Ḥama son of Rabbi Ḥanina said: With 'the pit,' he was honest to his father - with 'the pit,' they sold him. With 'the pit,' he was honest: "The pit is your son's tunic." With 'the pit,' they sold him: "To whom is the pit."</t>
  </si>
  <si>
    <t>“Recognize, please.” אמר Rabbi Ḥama be-Rabbi Ḥanina: With “recognize” he informed his father — with “recognize” they informed him. With “recognize” he informed: “Recognize, please, is it your son’s tunic?” With “recognize” they informed him: “Recognize, please, to whom.”</t>
  </si>
  <si>
    <t>וְכׇל הָרוֹצֶה לִרְאוֹת בָּהּ יִרְאֶה וְכוּ׳. הָא גוּפָא קַשְׁיָא. אָמְרַתְּ: כָּל הָרוֹצֶה לִרְאוֹת בָּהּ רוֹאֶה, אַלְמָא לָא שְׁנָא גַּבְרֵי וְלָא שְׁנָא נְשֵׁי, וַהֲדַר תָּנֵי: כׇּל הַנָּשִׁים מוּתָּרוֹת לִרְאוֹתָהּ: נָשִׁים — אִין, אֲנָשִׁים — לָא.</t>
  </si>
  <si>
    <t>And anyone who desires to watch her may watch, This is itself difficult, you say: And anyone who desires to watch her may watch. Apparently, is no difference men and is no difference women; And then teaches: And all of the women are permitted to watch her, women, yes, men, no,</t>
  </si>
  <si>
    <t>Talmudic text: "And all who wish to see in it will see, etc." This is a difficult matter. You said: "All who wish to see in it see," implying that it makes no difference whether it is men or women. And then it teaches: "All women are permitted to see it; women—yes, men—no."</t>
  </si>
  <si>
    <t>“And anyone who wants to see it may see, etc.” This itself is difficult. You said: “Anyone who wants to see it sees,” implying it makes no difference men and it makes no difference women; and then it teaches: “All the women are permitted to see it”: women—yes, men—no.</t>
  </si>
  <si>
    <t>״בֵּין צׇרְעָה וּבֵין אֶשְׁתָּאוֹל״, אָמַר רַבִּי אַסִּי: צׇרְעָה וְאֶשְׁתָּאוֹל שְׁנֵי הָרִים גְּדוֹלִים הָיוּ, וַעֲקָרָן שִׁמְשׁוֹן וּטְחָנָן זֶה בָּזֶה.</t>
  </si>
  <si>
    <t>“Between Zorah and Eshtaol.” Rabbi Asi says: Zorah and Eshtaol were two large mountains, and Samson uprooted them and ground them one against the other.</t>
  </si>
  <si>
    <t>"Between tzara'ah and eshta'ol," Rabbi Assi said: Tzara'ah and eshta'ol were two great mountains, and their main peaks faced each other, Shimson and Tchanan."</t>
  </si>
  <si>
    <t>“ ‘Between Tzor‘ah and between Eshta’ol,’ ” said Rabbi Assi: Tzor‘ah and Eshta’ol were two great mountains, and Shimshon uprooted them and ground them, this into this.</t>
  </si>
  <si>
    <t>הָתָם הֶכְשֵׁר מִצְוָה אִיכָּא, הֲנָאָה לֵיכָּא.</t>
  </si>
  <si>
    <t>There, does accessory to the mitzva there is no benefit</t>
  </si>
  <si>
    <t>There, a valid mitzvah is present, pleasure is not present.</t>
  </si>
  <si>
    <t>There, preparation of a mitzvah there is; benefit there is not.</t>
  </si>
  <si>
    <t>״וַיִּקְנֵהוּ פּוֹטִיפַר סְרִיס פַּרְעֹה״, אָמַר רַב: שֶׁקְּנָאוֹ לְעַצְמוֹ. בָּא (גַּבְרִיאֵל) [מִיכָאֵל] וְסֵירְסוֹ, בָּא גַּבְרִיאֵל וּפֵירְעוֹ. מֵעִיקָּרָא כְּתִיב ״פּוֹטִיפַר״, וּלְבַסּוֹף ״פּוֹטִיפֶרַע״.</t>
  </si>
  <si>
    <t>“And Potiphar, an officer [ seris ] of Pharaoh’s, bought him Rav says: He purchased for himself, Gabriel came and castrated [ seireso ]. Gabriel came and mutilated [ fero ] Initially, it is written “Potiphar” and in the end it is written “Potiphera”</t>
  </si>
  <si>
    <t>"And Potiphar, Pharaoh's eunuch, bought him," Rav said: that he bought him for himself. Came (Gabriel) Michael and his minister, came Gabriel and his minister. Initially it is written 'Potiphar,' and ultimately 'Potiphera.'"</t>
  </si>
  <si>
    <t>An example of this phrase being "bought" and not "acquired'</t>
  </si>
  <si>
    <t>“‘And Potifar, a saris of Par‘oh, bought him’”; Rav said: that he bought him for himself. Came (Gavri’el) Mikha’el and castrated him; came Gavri’el and unbound him. At first it is written “Potifar”, and at the end “Potifera‘”.</t>
  </si>
  <si>
    <t xml:space="preserve">doesnt say mutilated him </t>
  </si>
  <si>
    <t>Nice text. 3.5 and 5 maintain the hebrew syntax, starting the clause with came and then the name, instead of the more natural [NAME] came.</t>
  </si>
  <si>
    <t>אָמַר רַב פָּפָּא, דִּילְמָא לָא הִיא: עַד כָּאן לָא קָאָמַר תַּנָּא קַמָּא הָתָם, אֶלָּא כֵּיוָן דְּאִינְּתִיק לְשׁוּם רָחֵל — לָא הָדְרָא מִינַּתְקָא לְשׁוּם לֵאָה, אֲבָל תּוֹרָה, דִּסְתָמָא כְּתִיבָה — הָכִי נָמֵי דְּמָחֲקִינַן.</t>
  </si>
  <si>
    <t>Rav Pappa said: Perhaps is not so, the first tanna states only there, since it was designated in the name of Rachel, it cannot again be designated in the name of Leah. However, a Torah which is written without specifying indeed we may erase</t>
  </si>
  <si>
    <t>Rav Papa said, perhaps it is not so; until here, the first Tanna did not say there, but once he has been designated for Rachel - he does not return to be designated for Leah, but the Torah, which is generally written - so we establish.</t>
  </si>
  <si>
    <t>אָמַר Rav Pappa, dilma la hi: until here lo ka’amar Tanna Kamma hatam, ella keivan de’intik leshum Rachel — la hadra minatka leshum Leah, aval Torah, distama ketiva — hakhi namei de’meḥakinan.</t>
  </si>
  <si>
    <t xml:space="preserve">GPT 5 fully transliterated which does not make sense as these are not all technical terms. </t>
  </si>
  <si>
    <t>Yes, 5 produces crap here. 3.5 uses the english syntax here "Rav papa said", which I like</t>
  </si>
  <si>
    <t>אֵינָהּ מַסְפֶּקֶת לִשְׁתּוֹת עַד שֶׁפָּנֶיהָ מוֹרִיקוֹת, וְעֵינֶיהָ בּוֹלְטוֹת, וְהִיא מִתְמַלֵּאת גִּידִין. וְהֵם אוֹמְרִים: הוֹצִיאוּהָ [הוֹצִיאוּהָ] שֶׁלֹּא תְּטַמֵּא הָעֲזָרָה.</t>
  </si>
  <si>
    <t>she does not manage to drinking before her face turns green and her eyes bulge, and her full of veins, and say: Remove her, that she does not render the Temple courtyard impure</t>
  </si>
  <si>
    <t>She is not able to drink until her face is pale, her eyes bulging, and her sinews filled. And they say: "Take her out so that the Azarah does not become defiled."</t>
  </si>
  <si>
    <t>She does not suffice to drink until her face becomes greenish, and her eyes protrude, and she becomes filled with veins. And they say: Take her out, take her out, so that she not defile the Azarah.</t>
  </si>
  <si>
    <t>וְרַבִּי יִשְׁמָעֵאל: ״בָּהֶם״ — וְלֹא בְּאַחֵיכֶם.</t>
  </si>
  <si>
    <t>And Rabbi Yishmael “of them,” but not of your brethren,</t>
  </si>
  <si>
    <t>Rabbi Yishmael: "In them" — and not in your brothers.</t>
  </si>
  <si>
    <t>And Rabbi Yishmaʿel: “bahem” — and not with your brothers.</t>
  </si>
  <si>
    <t>אִם אָמְרָה ״טְמֵאָה אֲנִי״ — שׁוֹבֶרֶת כְּתוּבָּתָהּ וְיוֹצֵאת.</t>
  </si>
  <si>
    <t>If she says: I am defiled, a receipt her marriage contract. And she is divorced</t>
  </si>
  <si>
    <t>If she said, "I am impure" - she breaks her document and leaves.</t>
  </si>
  <si>
    <t>If she said, “ṭeme’ah I am” — she breaks her ketubbatah and goes out.</t>
  </si>
  <si>
    <t xml:space="preserve">Gpt 5 transliterates the admission of her guilt - this could be smoothing. GPT 3.5 Doesnt realize that the "ketuba" is a specific document.  </t>
  </si>
  <si>
    <t>Yes, looks like smoothing of teme'ah</t>
  </si>
  <si>
    <t>אֲמַר אַבָּיֵי: כִּי לָיֵיט — לָיֵיט תְּחִילָּה יָרֵךְ, וַהֲדַר בֶּטֶן לָיֵיט, וּמַיָּא כִּי בָּדְקִי — כִּי אוֹרְחַיְיהוּ בָּדְקִי, בֶּטֶן בְּרֵישָׁא וַהֲדַר יָרֵךְ. בִּקְלָלָה נָמֵי כְּתִיב: ״לַצְבּוֹת בֶּטֶן וְלַנְפִּל יָרֵךְ״! הָהוּא דְּמוֹדַע לַהּ כֹּהֵן דְּבֶטֶן בְּרֵישָׁא וַהֲדַר יָרֵךְ, שֶׁלֹּא לְהוֹצִיא לַעַז עַל מַיִם הַמָּרִים.</t>
  </si>
  <si>
    <t>Abaye said When curses he first curses the thigh and then he curses the stomach, but when the water evaluates it evaluates along its way first stomach and then thigh. in curse it is also written: and will cause your belly to swell, and your thigh to fall away” That that the priest notifies her that stomach first and then thigh, so that not cast aspersions on the bitter water.</t>
  </si>
  <si>
    <t>Abaye said: When one takes a drink, first the thigh, and then the stomach takes the drink, and the water, when it is checked, is checked because they check its path, the stomach first and then the thigh. Concerning a curse, it is written: "To swell the stomach and to shrink the thigh!" That one who is accustomed to it, like a priest, the stomach first and then the thigh, so as not to provoke a demon over bitter waters.</t>
  </si>
  <si>
    <t>Amar Abayei: when he curses — he curses first thigh, and afterward belly he curses; but the water when they examine — according to their way they examine, belly at the beginning and afterward thigh. In the curse also it is written: “to swell belly and to cause thigh to fall”! That is that the Kohen informs her that belly at the beginning and afterward thigh, so as not to bring out slander upon the bitter waters.</t>
  </si>
  <si>
    <t xml:space="preserve">This is the description of what will happen to the adulterers body if she has sinned and drinks the bitter water. It is strange that  GPT 5 transliterates 'Amar" </t>
  </si>
  <si>
    <t>וְלָא הִיא: רַקְבּוּבִית יָרָק הוּא דַּהֲוַאי עָפָר, אֵפֶר לָא הֲוַאי עָפָר.</t>
  </si>
  <si>
    <t>But is not so. Decomposed vegetable is become dust, ashes will not become dust.</t>
  </si>
  <si>
    <t>And not this: "Rakbuvit is green, which is dust, but ashes is not dust."</t>
  </si>
  <si>
    <t>And it is not so: it is the rotting of a vegetable that becomes dust; ashes do not become dust.</t>
  </si>
  <si>
    <t>גְּמָ׳ בְּמַאי קָא מִיפַּלְגִי? בְּהַאי קְרָא קָמִיפַּלְגִי: ״וְכָתַב אֶת הָאָלוֹת הָאֵלֶּה הַכֹּהֵן בַּסֵּפֶר״.</t>
  </si>
  <si>
    <t>With regard to what do disagree? They disagree concerning the verse: “And the priest shall write these [ ha’eleh ] curses [ et ha’alot ] in a scroll”</t>
  </si>
  <si>
    <t>Gemara: With what do they argue? With this verse they argue: "And the kohen shall write these curses in the scroll."</t>
  </si>
  <si>
    <t>GEMARA: With what are they disputing? With this verse they are disputing: “And the kohen shall write these curses in the book.”</t>
  </si>
  <si>
    <t>אֶלָּא אֲסָרָהּ אַאֲסָרָהּ קַשְׁיָא! קַשְׁיָא.</t>
  </si>
  <si>
    <t>However, who prohibited who prohibited it difficulty. difficult.</t>
  </si>
  <si>
    <t>Rather, he prohibited it, he prohibited it, difficult! Difficult.</t>
  </si>
  <si>
    <t>Rather, its prohibition upon its prohibition is difficult! Difficult.</t>
  </si>
  <si>
    <t xml:space="preserve">Translation is correct but the initial human translation is in a strange order and therefore it does not match. </t>
  </si>
  <si>
    <t>וְלִיתְנֵי סוֹטָה, וַהֲדַר לִיתְנֵי נָזִיר! אַיְּידֵי דִּתְנָא כְּתוּבּוֹת וּתְנָא ״הַמַּדִּיר״, תְּנָא נְדָרִים. וְאַיְּידֵי דִּתְנָא נְדָרִים — תְּנָא נָזִיר, דְּדָמֵי לִנְדָרִים. וְקָתָנֵי סוֹטָה, כִּדְרַבִּי.</t>
  </si>
  <si>
    <t>But let teach Sota first and then let teach Nazir , Since taught Ketubot , and taught One who vows, taught Nedarim , And since taught Nedarim , taught Nazir , which is similar to Nedarim And teaches Sota , in accordance with of Rabbi</t>
  </si>
  <si>
    <t>The text reads as follows: "And let it teach about the Sotah, and then let it teach about the Nazir! Since it was taught: 'Written' and it was taught: 'One who vows,' it was taught about vows. And since it was taught about vows, it was taught about the Nazir, for they are similar to vows. And it was taught about the Sotah, in accordance with the opinion of Rabbi."</t>
  </si>
  <si>
    <t>And let him teach Sotah, and then let him teach Nazir! Since he taught Ketubbot and taught “ha-Maddir,” he taught Nedarim. And since he taught Nedarim—he taught Nazir, for it is similar to Nedarim. And he teaches Sotah, like Rabbi.</t>
  </si>
  <si>
    <t>וְאִי אַשְׁמְעִינַן כְּדֵי הַעֲרָאָה, הֲוָה אָמֵינָא: כְּדֵי הַעֲרָאָה וְאַרְצוּתָהּ, קָא מַשְׁמַע לַן כְּדֵי טוּמְאָה. וְכַמָּה כְּדֵי [הַעֲרָאָה] — כְּדֵי הַקָּפַת דֶּקֶל.</t>
  </si>
  <si>
    <t>And if taught equivalent initial stage of intercourse, I would say equivalent initial stage of intercourse and her appeasement. teaches us equivalent defilement, And what is the measure equivalent initial stage of intercourse? equivalent circling a palm</t>
  </si>
  <si>
    <t>And if we were to hear the time for seeing, I would say: the time for seeing and its land, it implies to us the time for impurity. And how much is the time for seeing - the time for the bending of a palm branch.</t>
  </si>
  <si>
    <t>And if He had let us hear: *kedei ha’ara’ah*, I would have said: *kedei ha’ara’ah* and its appeasement; it teaches us *kedei tum’ah*. And how much is *kedei* *ha’ara’ah* — *kedei* the encircling of a palm tree.</t>
  </si>
  <si>
    <t xml:space="preserve">GPT 5 transliterates the word intercourse, could be smoothing. GPT 3.5 is entirely wrong. </t>
  </si>
  <si>
    <t>3.5 translates with "seeing". Maybe it sees the verb רָאָה. 5 uses stars here around the untranslated words!</t>
  </si>
  <si>
    <t>סַבְרוּהָ אִידֵּי וְאִידֵּי בְּעִיסָּה רִאשׁוֹנָה, וְחוּלִּין הַטְּבוּלִין לְחַלָּה לָא כְּחַלָּה דָּמוּ.</t>
  </si>
  <si>
    <t>They assumed this and this where dough first- And non-sacred that is untithed with regard to ḥalla , is not like ḥalla</t>
  </si>
  <si>
    <t>They both hold in the case of the first dough, and unconsecrated produce that is dipped for challah is not like challah whose blood is.</t>
  </si>
  <si>
    <t>They thought it: this and this with the first kneading, and ḥullin that are tebulin for ḥallah are not like ḥallah comparable.</t>
  </si>
  <si>
    <t>וְרַבִּי יוֹסֵי: כּוּלְּהוּ כִּדְקָאָמְרַתְּ, ״אֶת״ — לְרַבּוֹת צַוּוֹאוֹת וְקַבָּלוֹת.</t>
  </si>
  <si>
    <t>And Rabbi Yosei It all as you, said; “ et ” to include commands and acceptances,</t>
  </si>
  <si>
    <t>Rabbi Yosei: All of them as you said, "et" - to include commandments and traditions.</t>
  </si>
  <si>
    <t>And Rabbi Yosei: all of them are as you said; “et” — to include commands and acceptances.</t>
  </si>
  <si>
    <t>וְרַבִּי יִשְׁמָעֵאל: אִם כֵּן, לִכְתּוֹב רַחֲמָנָא: ״וְטָבַל בָּהֶם״, ״בְּדַם וּבַמַּיִם״ לְמָה לִי — לְנִיכָּר.</t>
  </si>
  <si>
    <t>And Rabbi Yishmael if so, the Merciful One should have written And dip in them, Why do I in the blood and in the water”? to recognizable</t>
  </si>
  <si>
    <t>Rabbi Yishmael: If so, it should be written: "And he shall dip them," "in blood and in water" - why do I need it? - to distinguish.</t>
  </si>
  <si>
    <t>ignores the רַחֲמָנָא</t>
  </si>
  <si>
    <t>And Rabbi Yishma’el: If so, let the Merciful One write: “and he shall immerse in them”; “in the blood and in the water” — why do I need it? — for recognition.</t>
  </si>
  <si>
    <t>תָּא שְׁמַע, זֶה הַכְּלָל: כֹּל שֶׁתִּיבָּעֵל וְלֹא תְּהֵא אֲסוּרָה לוֹ — לֹא הָיָה מַתְנֶה עִמָּהּ. הָא אֲסִירָה — הָכִי נָמֵי דְּמַתְנֶה. שְׁמַע מִינַּהּ.</t>
  </si>
  <si>
    <t>Come hear This is the principle: every where she would engage in sexual intercourse she would not become forbidden to he may not stipulate with her therefore that he may indeed stipulate she forbidden. conclude from</t>
  </si>
  <si>
    <t>Listen and hear, this is the principle: Anything that becomes betrothed and is not forbidden to him - he did not make a condition with it. If it is forbidden - so it is agreed that he made a condition. Learn from it.</t>
  </si>
  <si>
    <t>Come and hear, this is the principle: any woman who would be cohabited with and would not be forbidden to him — he would not have stipulated with her. But if she is forbidden — so too, that he stipulates. Hear from it.</t>
  </si>
  <si>
    <t>בּוֹ בַּיּוֹם דָּרַשׁ רַבִּי יְהוֹשֻׁעַ בֶּן הוּרְקָנוֹס שֶׁלֹּא עָבַד אִיּוֹב כּוּ׳. וְלִיחְזֵי הַאי ״לֹא״, אִי בְּלָמֶד אָלֶף כְּתִיב — ״לֹא״ הוּא, אִי בְּלָמֶד וָיו כְּתִיב — ״לוֹ״ הוּא?</t>
  </si>
  <si>
    <t>On that same day Rabbi Yehoshua ben Hyrcanus taught that Job served only Let us see whether this lo is written lamed alef , is: not whether it is written lamed vav , is: in Him.</t>
  </si>
  <si>
    <t>In it on the day Rabbi Yehoshua ben Hurkanos expounded that Job did not sin. And to Ezekiel this "לֹא" - if written with an Aleph, it is "לֹא," if written with a Vav, it is "לוֹ"?</t>
  </si>
  <si>
    <t>On that day Rabbi Yehoshua ben Hurkanos expounded that Iyov did not serve, etc. And let us see this “lo”: if it is written with lamed–alef — it is “not”; if it is written with lamed–vav — it is “to him”?</t>
  </si>
  <si>
    <t>וּמֵאַחַר דְּנָפְקָא לֵיהּ מֵ״אַחַת לְאַחַת לִמְצֹא חֶשְׁבּוֹן״, ״כִּי כׇל סְאוֹן סֹאֵן בְּרַעַשׁ״ לְמָה לִי? לְכַמִּדָּה.</t>
  </si>
  <si>
    <t>And since Rabbi derives from: adding one thing to another, to find out the account” why do I “For every boot stamped with fierceness” to by the measure,</t>
  </si>
  <si>
    <t>And after he went out from one to another to find an account, "For every load is with commotion," why do I need it? For measurement.</t>
  </si>
  <si>
    <t>And since that it went out for him from “from one to one to find an account,” “For every boot booting with tumult” why to me? For the measure.</t>
  </si>
  <si>
    <t>Sotah.21b-22a</t>
  </si>
  <si>
    <t>מַאי ״קָטָן שֶׁלֹּא כָּלוּ לוֹ חֳדָשָׁיו״? הָכָא תַּרְגִּימוּ: זֶה תַּלְמִיד חָכָם הַמְבַעֵט בְּרַבּוֹתָיו.</t>
  </si>
  <si>
    <t>What a child whose months were not completed? Here, they interpreted this Torah scholar who scorns his teachers.</t>
  </si>
  <si>
    <t>What is "a minor who has not completed his months"? Here it was explained: This refers to a Torah scholar who argues with his colleagues.</t>
  </si>
  <si>
    <t>What is “a minor whose months were not completed for him”? Here they translated: This is a talmid ḥakham who kicks at his rabbis.</t>
  </si>
  <si>
    <t>וּמִנַּיִן שֶׁכׇּל פְּרוּטָה וּפְרוּטָה מִצְטָרֶפֶת לְחֶשְׁבּוֹן גָּדוֹל — תַּלְמוּד לוֹמַר: ״אַחַת לְאַחַת לִמְצֹא חֶשְׁבּוֹן״.</t>
  </si>
  <si>
    <t>And from where that each and every peruta combine to a great sum, The verse states: adding one thing to another, to find out the account”</t>
  </si>
  <si>
    <t>And from where do we derive that each small coin combines to form a large sum? The Talmud teaches: "One by one to find the total."</t>
  </si>
  <si>
    <t>And from where is it derived that every perutah and perutah joins to a great reckoning — the Talmud says: “one to one to find a reckoning.”</t>
  </si>
  <si>
    <t>וְאֵימָא: ״עָלָיו״ — דַּוְקָא, ״אֶל כֶּלִי״ — שֶׁתְּהֵא חִיּוּתָן בִּכְלִי!</t>
  </si>
  <si>
    <t>But say “Thereto” specifically, in a vessel,” that must run into the vessel</t>
  </si>
  <si>
    <t>And why? "Upon him" - specifically, "into a vessel" - that their livelihood should be in a vessel!</t>
  </si>
  <si>
    <t>And say: “upon it” — specifically, “into a vessel” — that their vitality be in a vessel!</t>
  </si>
  <si>
    <t>וְאִי תְּנָא כְּדֵי בִיאָה, הֲוָה אָמֵינָא: כְּדֵי גְּמַר בִּיאָה, קָא מַשְׁמַע לַן כְּדֵי הַעֲרָאָה.</t>
  </si>
  <si>
    <t>And if taught equivalent sexual intercourse, I would say equivalent completion of intercourse. teaches us equivalent initial stage of intercourse.</t>
  </si>
  <si>
    <t>If a Tanna says "the time for intercourse," I would say: "the time for completion of intercourse," it implies to us "the time for ejaculation."</t>
  </si>
  <si>
    <t>And if he taught: enough time for bi’ah, I would have said: enough time for completion of bi’ah; he teaches us: enough time for ha’ara’ah.</t>
  </si>
  <si>
    <t>וְקַל וָחוֹמֶר לְעֵדוּת הָרִאשׁוֹנָה מֵעַתָּה: וּמָה אִם</t>
  </si>
  <si>
    <t>And from now an a fortiori with regard to the first testimony And just as if</t>
  </si>
  <si>
    <t>And light and heavy for the testimony of the first from now: and what if</t>
  </si>
  <si>
    <t>And an a fortiori to the first testimony from now: and what if</t>
  </si>
  <si>
    <t>וּמַאי אַף עַל פִּי שֶׁאֵין רְאָיָה לַדָּבָר זֵכֶר לַדָּבָר? דִּלְמָא שָׁאנֵי גּוֹיִם, דְּלָא מִפְּקִיד דִּינָא עֲלַיְיהוּ.</t>
  </si>
  <si>
    <t>And what Although there is no proof for the concept an allusion to the concept? perhaps gentiles are different, as judgment is not administered upon them</t>
  </si>
  <si>
    <t>And what is the meaning of "even though there is no visible evidence for the matter, it is a remembrance for the matter"? Perhaps it is different with regard to non-Jews, as the judgment is not placed upon them.</t>
  </si>
  <si>
    <t>And what is: even though there is no proof for the matter, a remembrance for the matter? Perhaps gentiles are different, for judgment is not entrusted upon them.</t>
  </si>
  <si>
    <t>״וַתֹּאמֶר לָהּ בַּת פַּרְעֹה לֵכִי וְגוֹ׳״. אָמַר רַבִּי אֶלְעָזָר: מְלַמֵּד שֶׁהָלְכָה בִּזְרִיזוּת כְּעַלְמָה. רַבִּי שְׁמוּאֵל בַּר נַחְמָנִי אָמַר: ״הָעַלְמָה״ — שֶׁהֶעֱלִימָה אֶת דְּבָרֶיהָ.</t>
  </si>
  <si>
    <t>“And Pharaoh’s daughter said to her: Go. Rabbi Elazar says: teaches that she went quickly like a maiden, Rabbi Shmuel bar Naḥmani says: ha’alma for she hid her words</t>
  </si>
  <si>
    <t>"And she said to her, 'Pharaoh's daughter, go, etc.'" Rabbi Elazar said: It teaches that halacha is in haste like a young woman. Rabbi Shmuel bar Nachmani said: 'The young woman' - who concealed her words.</t>
  </si>
  <si>
    <t>“‘And the daughter of Par‘oh said to her: Go, etc.’” R. El‘azar said: It teaches that she went with alacrity like a young woman. R. Shemu’el bar Naḥmani said: “‘The young woman’—that she concealed her words.”</t>
  </si>
  <si>
    <t>וְתַנְיָא כְּבֵיצָה.</t>
  </si>
  <si>
    <t>And it is taught an egg-bulk,</t>
  </si>
  <si>
    <t>And it was taught in a Baraita: like an egg.</t>
  </si>
  <si>
    <t>And it is taught: like an egg.</t>
  </si>
  <si>
    <t>רַבִּי יְהוֹשֻׁעַ אוֹמֵר: מְקַנֵּא לָהּ עַל פִּי שְׁנַיִם וְכוּ׳. מַאי טַעְמָא דְּרַבִּי יְהוֹשֻׁעַ? אָמַר קְרָא: ״בָּהּ״ — בָּהּ וְלֹא בְּקִינּוּי, ״בָּהּ״ — וְלֹא בִּסְתִירָה.</t>
  </si>
  <si>
    <t>Rabbi Yehoshua says: issues a warning to her based on two What is the reasoning of Rabbi Yehoshua? verse states: against her [ bah ]” With regard to it, but not with regard to warning. With regard to it, but not with regard to seclusion.</t>
  </si>
  <si>
    <t>Rabbi Yehoshua says: He acquires her through the mouth of two, etc. What is the reason for Rabbi Yehoshua's statement? The verse says, "in her" - in her and not through a euphemism, "in her" - and not through concealment.</t>
  </si>
  <si>
    <t>Rabbi Yehoshua says: He warns her on the basis of two, etc. What is the reason of Rabbi Yehoshua? The verse said: “in her” — in her and not in warning; “in her” — and not in seclusion.</t>
  </si>
  <si>
    <t>אֲמַר לֵיהּ: לָאו אָמֵינָא לָךְ לָא תַּפֵּיק נַפְשָׁךְ לְבַר מֵהִילְכְתָא, בְּצִפּוֹר דְּרוֹר שִׁיעֲרוּ רַבָּנַן. אֵין לְךָ גְּדוֹלָה שֶׁמַּדְחֵת אֶת הַמַּיִם, וְאֵין לְךָ קְטַנָּה שֶׁנִּדְחֵית מִפְּנֵי הַמַּיִם.</t>
  </si>
  <si>
    <t>said to him: Haven’t I told you not to take yourself out of the halakha ? The Sages measured with regard to a sparrow. There is no big enough to efface the water, nor is there one small enough to be effaced due to the water.</t>
  </si>
  <si>
    <t>He said to him: I do not believe you, do not endanger your life for a matter of Halakha, like the bird Dror whose feathers the Rabbis have spread. You have no greatness that you can push aside the water, and you have no smallness that you can be pushed aside by the water.</t>
  </si>
  <si>
    <t>He said to him: Did I not say to you, do not take yourself out outside of the halakha? With the tzippor deror the Rabbanan estimated: You have no large one that pushes away the water, and you have no small one that is pushed away because of the water.</t>
  </si>
  <si>
    <t>מִ״וְאִם לֹא שָׁכַב אִישׁ וְגוֹ׳ וְאַתְּ כִּי שָׂטִית תַּחַת אִישֵׁךְ״,</t>
  </si>
  <si>
    <t>from “If no man has lain “But if you have gone astray while under your husband,</t>
  </si>
  <si>
    <t>"If 'and if a man did not lie' etc., 'but you have played the harlot under your husband.'"</t>
  </si>
  <si>
    <t>From: “And if no man lay with you, etc., and you, if you strayed under your husband,”</t>
  </si>
  <si>
    <t>אִשָּׁה פְּרוּשָׁה וְכוּ׳. תָּנוּ רַבָּנַן: בְּתוּלָה צַלְיָינִית, וְאַלְמָנָה שׁוֹבָבִית, וְקָטָן שֶׁלֹּא כָּלוּ לוֹ חֳדָשָׁיו — הֲרֵי אֵלּוּ מְבַלֵּי עוֹלָם.</t>
  </si>
  <si>
    <t>an abstinent woman The Sages taught: A maiden who prays and a neighborly [ shovavit ] widow and a child whose months were not completed, these are who erode the world.</t>
  </si>
  <si>
    <t>A woman who is separated, etc. The Rabbis taught: A virgin who is brazen, and a widow who is wanton, and a minor who has not completed his months - these are considered as those who destroy the world.</t>
  </si>
  <si>
    <t>A separated woman, etc. The Rabbis taught: A virgin who is a *tzalyanit*, and a widow who is a *shovavit*, and a minor whose months have not been completed for him — behold these are destroyers of the world.</t>
  </si>
  <si>
    <t>״וַיַּעֲבִדוּ מִצְרַיִם אֶת בְּנֵי יִשְׂרָאֵל</t>
  </si>
  <si>
    <t>“And the Egyptians made the children of Israel work</t>
  </si>
  <si>
    <t>"And they enslaved Egypt the sons of Israel."</t>
  </si>
  <si>
    <t>“And Egypt enslaved the children of Yisrael.”</t>
  </si>
  <si>
    <t>וְאִם תִּמְצָא לוֹמַר הָא לָאו דִּידַהּ קָא שָׁתְיָא וְהָא לָאו דִּידַהּ קָא שָׁתְיָא, חָזַר וְחִלְּקָן, מַהוּ? יֵשׁ בְּרֵירָה, אוֹ אֵין בְּרֵירָה? תֵּיקוּ.</t>
  </si>
  <si>
    <t>And if you say this one does not drink her own and that one does not drink her own divided them again What is Is there clarification, or is there no clarification? shall stand</t>
  </si>
  <si>
    <t>And if you find to say, "This one is drinking his own wine," and "That one is drinking his own wine," he reconsidered and distinguished between them. What is the ruling? Is there free choice or is there no free choice? The matter remains unresolved.</t>
  </si>
  <si>
    <t>And if you will find to say: this is not of hers that she is drinking, and this is not of hers that she is drinking; he went back and divided them, what is it? There is bererah, or there is no bererah? Teiku.</t>
  </si>
  <si>
    <t xml:space="preserve">doesnt event attempt to translate gemara language - teiku, it is unresolved, is a phrase that can be translated </t>
  </si>
  <si>
    <t>both models find bererah difficult.</t>
  </si>
  <si>
    <t>וְהָתָם מְנָלַן? תְּרֵי קְרָאֵי כְּתִיבִי. כְּתִיב ״עָלָיו״, אַלְמָא אֵפֶר בְּרֵישָׁא, וּכְתִיב ״מַיִם חַיִּים אֶל כֶּלִי״, אַלְמָא מַיִם בְּרֵישָׁא. הָא כֵּיצַד? רָצָה — זֶה נוֹתֵן, רָצָה — זֶה נוֹתֵן.</t>
  </si>
  <si>
    <t>And there, from where do we Two phrases are written It is written “Thereto.” apparently, ashes first. And it is written running water “In a vessel.” Apparently, water first, How these he desires he places it, he desires he places it.</t>
  </si>
  <si>
    <t>And there, how do we derive it? Two verses are written. It is written "upon it," implying ashes first, and it is written "living water into a vessel," implying water first. How so? If one desires - this one may give, if one desires - this one may give.</t>
  </si>
  <si>
    <t>And there, from where do we derive it? Two verses are written. It is written “upon it,” evidently ash at the beginning, and it is written “living water into a vessel,” evidently water at the beginning. How is this? If he wanted—this one he puts; if he wanted—this one he puts.</t>
  </si>
  <si>
    <t>רַבִּי יְהוּדָה הַיְינוּ תַּנָּא קַמָּא! אִיכָּא בֵּינַיְיהוּ ״אֲבָל אָמְרוּ״.</t>
  </si>
  <si>
    <t>Rabbi Yehuda is the first tanna between them But the Sages said</t>
  </si>
  <si>
    <t>Rabbi Yehudah said, that is the first teaching! There is a difference between them, "but they said."</t>
  </si>
  <si>
    <t>רַבִּי יְהוּדָה — Rabbi Yehudah; הַיְינוּ — this is; תַּנָּא קַמָּא — the first tanna! אִיכָּא — there is; בֵּינַיְיהוּ — between them; ״אֲבָל אָמְרוּ״ — “but they said.”</t>
  </si>
  <si>
    <t xml:space="preserve">GPT 5 translates each couple of words, keeping a lot of the Hebrew. </t>
  </si>
  <si>
    <t xml:space="preserve">Yes, 5 treats the translation in a strange way, parallel english and hebrew </t>
  </si>
  <si>
    <t>תְּנַן הָתָם, שֶׁהָיָה בַּדִּין:</t>
  </si>
  <si>
    <t>We learned elsewhere as, by right, should have been</t>
  </si>
  <si>
    <t>We learned there, that he was in judgment:</t>
  </si>
  <si>
    <t>We learned there, that it was in the law:</t>
  </si>
  <si>
    <t>וּמַאן דְּאָמַר מוּתָּר לְקַנּאוֹת, מַהוּ לְשׁוֹן ״קִינּוּי״? אָמַר רַב נַחְמָן בַּר יִצְחָק: אֵין ״קִינּוּי״ אֶלָּא לְשׁוֹן הַתְרָאָה, וְכֵן הוּא אוֹמֵר: ״וַיְקַנֵּא ה׳ לְאַרְצוֹ״.</t>
  </si>
  <si>
    <t>And the one who says permitted to issue a warning, what is term kinnui ? Rav Naḥman bar Yitzḥak says: kinnui nothing other a term of forewarning, and so it says: “Then the Lord warned [ vayekanneh ] concerning His land</t>
  </si>
  <si>
    <t>Talmudic text: And one who says it is permitted to be zealous, what is the meaning of the term "kinui"? Rav Nachman bar Yitzchak said: "Kinui" is nothing but a language of warning, as it says: "And the Lord was zealous for His land."</t>
  </si>
  <si>
    <t>And he who says: It is permitted to warn, what is the language of “qinui”? Rav Naḥman bar Yitzḥak said: “Qinui” is nothing other than a language of warning, and so it says: “And the LORD was jealous for His land.”</t>
  </si>
  <si>
    <t>וְרַבִּי יִשְׁמָעֵאל: לָהּ מִיטַּמֵּא, וְאֵין מִיטַּמֵּא לְאֵיבָרֶיהָ.</t>
  </si>
  <si>
    <t>And Rabbi Yishmael he may become impure for her, but he may not become impure to her limbs.</t>
  </si>
  <si>
    <t>Rabbi Yishmael: for her it is considered impure, but her limbs are not considered impure.</t>
  </si>
  <si>
    <t>And Rabbi Yishmaʿel: to her he becomes impure, and he does not become impure to her limbs.</t>
  </si>
  <si>
    <t>וְאוֹמֵר לְפָנֶיהָ וְכוּ׳. תָּנוּ רַבָּנַן: אוֹמֵר לְפָנֶיהָ דְּבָרִים שֶׁל הַגָּדָה, וּמַעֲשִׂים שֶׁאֵירְעוּ בִּכְתוּבִים הָרִאשׁוֹנִים, כְּגוֹן: ״אֲשֶׁר חֲכָמִים יַגִּידוּ וְלֹא כִחֲדוּ מֵאֲבוֹתָם״.</t>
  </si>
  <si>
    <t>And says in her presence The Sages taught says in her presence words of homiletical and incidents that happened in the early writings. For example, “That wise men told and did not hide from their fathers”</t>
  </si>
  <si>
    <t>And he says before her, etc. The Rabbis taught: He says before her words of Aggadah, and events that occurred in the earlier Scriptures, such as: "Which the wise will declare and not hide from their fathers."</t>
  </si>
  <si>
    <t>AND HE SAYS BEFORE HER, etc. The Rabbis taught: He says before her words of Aggadah, and deeds that occurred in the earlier Writings, such as: “Which wise men tell and have not hidden from their fathers.”</t>
  </si>
  <si>
    <t xml:space="preserve">no reason for the capitalization - that creates a diffference for the translation machine </t>
  </si>
  <si>
    <t>strange, the capitalization</t>
  </si>
  <si>
    <t>אָמַר רַב אָשֵׁי: אָלָה — אִיכָּא, שְׁבוּעָה — לֵיכָּא! אֶלָּא אָמַר רַב אָשֵׁי: ״מַשְׁבִּיעַנִי עָלַיִךְ שֶׁלֹּא נִטְמֵאת, וְאִם נִטְמֵאת יָבוֹאוּ בִּיךְ״.</t>
  </si>
  <si>
    <t>Rav Ashi said: there is a curse there is no oath Rather, Rav Ashi said: I administer an oath to you that you were not defiled and if you were defiled will come upon you.</t>
  </si>
  <si>
    <t>Rav Ashe said: "Alah - ikka, shevuah - leikka! Rather, Rav Ashe said: 'He who adjures me concerning you that you did not become impure, and if you did become impure, may they enter into you.'"</t>
  </si>
  <si>
    <t>אָמַר Rav Ashi: an *alah*—there is; a *shevu‘ah*—there is not! אלא אָמַר Rav Ashi: “You make me swear upon you that you did not become defiled, and if you became defiled, they shall come into you.”</t>
  </si>
  <si>
    <t>מָשָׁל לְאָדָם שֶׁהָיָה מְהַלֵּךְ בְּאִישׁוֹן לַיְלָה וַאֲפֵילָה, וּמִתְיָירֵא מִן הַקּוֹצִים וּמִן הַפְּחָתִים וּמִן הַבַּרְקָנִים, וּמֵחַיָּה רָעָה וּמִן הַלִּסְטִין, וְאֵינוֹ יוֹדֵעַ בְּאֵיזֶה דֶּרֶךְ מְהַלֵּךְ.</t>
  </si>
  <si>
    <t>a parable, to a man who is walking in blackness of night and the darkness, and he is afraid of the thorns, and of the pits, and of the thistles, And of wild animals and of the bandits and he does not know which way he is walking.</t>
  </si>
  <si>
    <t>A parable to a person who was walking in darkness at night and in fog, and was afraid of thorns and pits and scorpions, and of wild beasts and of robbers, and did not know in which way he was walking.</t>
  </si>
  <si>
    <t>A parable of a man who was walking in the blackness of night and darkness, and was afraid of the thorns and of the pits and of the thistles, and of a bad beast and of the bandits, and he does not know on which way he is walking.</t>
  </si>
  <si>
    <t>וְרַבִּי עֲקִיבָא — אִם כֵּן, לִיכְתּוֹב רַחֲמָנָא ״לָהּ״ וְלִישְׁתּוֹק, ״יִטַּמָּא״ לְמָה לִי? שְׁמַע מִינַּהּ.</t>
  </si>
  <si>
    <t>And Rabbi Akiva If so, let the Merciful One write: for her,” and be silent. Why do I “May he become impure”? Learn from</t>
  </si>
  <si>
    <t>Rabbi Akiva - If so, it should have been written "to her" and to be purified, "she shall be defiled," why do I need it? Learn from it.</t>
  </si>
  <si>
    <t>And Rabbi Akiva — if so, let the Merciful One write “to her” and be silent; “he shall become impure” — for what do I need it? Learn from it.</t>
  </si>
  <si>
    <t>וְקַל וָחוֹמֶר לְעֵדוּת הָרִאשׁוֹנָה מֵעַתָּה: וּמָה עֵדוּת הָאַחֲרוֹנָה, שֶׁאוֹסַרְתָּהּ אִיסּוּר עוֹלָם — מִתְקַיֶּימֶת בְּעֵד אֶחָד, עֵדוּת הָרִאשׁוֹנָה, שֶׁאֵין אוֹסַרְתָּהּ אִיסּוּר עוֹלָם — אֵינוֹ דִּין שֶׁתִּתְקַיֵּים בְּעֵד אֶחָד?</t>
  </si>
  <si>
    <t>And now an a fortiori with regard to the first testimony And just as the final testimony which forbids her an irrevocable prohibition, is established with one witness, the first testimony, which does not forbid her an irrevocable prohibition, is it not logical that it should be established with one witness?</t>
  </si>
  <si>
    <t>And light and heavy for the testimony of the first from now: And what is the testimony of the latter, that you prohibit it with a perpetual prohibition — it is upheld by one witness, the testimony of the first, that you do not prohibit it with a perpetual prohibition — is it not a law that can be upheld by one witness?</t>
  </si>
  <si>
    <t>And an a fortiori to the first testimony from now: And just as the later testimony, that you forbid her a prohibition of forever — is upheld with one witness, the first testimony, that you do not forbid her a prohibition of forever — is it not law that it be upheld with one witness?</t>
  </si>
  <si>
    <t>אִי לָאו סְתִירָה, קִינּוּי מִי אִיכָּא? וְאִי לָאו קִינּוּי, סְתִירָה מַאי אַהֲנִי?</t>
  </si>
  <si>
    <t>If no seclusion, is there warning? And if no warning, what effectiveness does seclusion have?</t>
  </si>
  <si>
    <t>If it is not a contradiction, where is there a designation? And if it is not a designation, what relevance does a contradiction have?</t>
  </si>
  <si>
    <t>If not seclusion, is there any warning? And if not warning, what does seclusion avail?</t>
  </si>
  <si>
    <t>Sotah.49a</t>
  </si>
  <si>
    <t>מַתְנִי׳ בְּפוּלְמוּס שֶׁל אַסְפַּסְיָינוּס גָּזְרוּ עַל עַטְרוֹת חֲתָנִים וְעַל הָאִירוּס.</t>
  </si>
  <si>
    <t>In the war [ pulemus ] of Vespasian decreed upon the crowns of bridegrooms, and upon the drums,</t>
  </si>
  <si>
    <t>They taught in Pumbedita of Aspasyanus: They decreed regarding the crowns of grooms and regarding the betrothal.</t>
  </si>
  <si>
    <t>**Mishnah:** In the *pulmus* of *Aspasyanus* they decreed concerning the crowns of bridegrooms and concerning the *irus*.</t>
  </si>
  <si>
    <t>מַאי בֵּינַיְיהוּ? אִיכָּא בֵּינַיְיהוּ רוֹתֶתֶת.</t>
  </si>
  <si>
    <t>What is between them? between them trembling</t>
  </si>
  <si>
    <t>What is the difference between them? There is a difference between them, as it is stated: "Rotevetet."</t>
  </si>
  <si>
    <t>What is the difference between them? There is between them: *rotetet* (trembling).</t>
  </si>
  <si>
    <t>אֶלָּא מֵעַתָּה: ״וְעָבַר לָכֶם כׇּל חָלוּץ״, הָכִי נָמֵי?</t>
  </si>
  <si>
    <t>If that is so, “And every armed man of you will pass over [ ve’avar ] so too</t>
  </si>
  <si>
    <t>Instead, from now on: "And every armed man among you shall pass over," is it thus?</t>
  </si>
  <si>
    <t>Rather, from now: “and every *chalutz* shall pass over for you,” so too?</t>
  </si>
  <si>
    <t xml:space="preserve">transliteration from GPT 5 of "chalutz" which is an armed man - is this for smoothing purposes? </t>
  </si>
  <si>
    <t>chalutz, could be smoothing</t>
  </si>
  <si>
    <t>הָיְתָה מְכוּסָּה לְבָנִים וְכוּ׳. תָּנָא, אִם הָיוּ שְׁחוֹרִים נָאִים לָהּ — מְכַסִּין אוֹתָהּ בְּגָדִים מְכוֹעָרִים.</t>
  </si>
  <si>
    <t>she was dressed in white taught: If black are becoming to her, she is covered in unsightly garments.</t>
  </si>
  <si>
    <t>Talmudic text: If it was covered with white, etc. It was taught: If they were black and pleasing to her, they cover her with ugly garments.</t>
  </si>
  <si>
    <t>SHE WAS COVERED WITH WHITE GARMENTS, etc. It was taught: if black garments were becoming for her — they cover her with ugly garments.</t>
  </si>
  <si>
    <t>CAPITALIZATION</t>
  </si>
  <si>
    <t>אָמַר אַבָּיֵי: הַקָּפָה בָּרֶגֶל, חֲזָרָה בָּרוּחַ.</t>
  </si>
  <si>
    <t>Abaye says: circling by foot, returning by the wind</t>
  </si>
  <si>
    <t>Abbaye said: The cup on the foot, the wind returned.</t>
  </si>
  <si>
    <t>אָמַר אַבָּיֵי: Abaye said: הַקָּפָה בָּרֶגֶל, striking with the foot; חֲזָרָה בָּרוּחַ, returning with the wind.</t>
  </si>
  <si>
    <t>GPT 3.5 seemingly transliterates "kafa" and then uses the word "cup" because that is not a translation of the term. GPT 5 keeps hebrew phrases as part of the translation here. The word "hakafa" does mean to circle, but the root word seems to be confsing GPT 5 into think it is to force. 
Hebrew (verb): לִכְפּוֹת to force / compel
Hebrew (noun): כְּפִיָּה
Aramaic (typical Talmudic phrasing): כָּפִינַן לֵיהּ = “we compel him”</t>
  </si>
  <si>
    <t>אָמַר רַב נַחְמָן בַּר יִצְחָק: דִּילְמָא לָא הִיא, עַד כָּאן לָא קָאָמַר רַבִּי אַחַי בַּר יֹאשִׁיָּה הָתָם אֶלָּא בִּמְגִילָּה, דְּאִיכְּתוּב לְשׁוּם אָלוֹת בָּעוֹלָם. אֲבָל תּוֹרָה, דִּלְהִתְלַמֵּד כְּתִיבָה, הָכִי נָמֵי דְּלָא מָחֲקִינַן.</t>
  </si>
  <si>
    <t>Rav Naḥman bar Yitzḥak said Perhaps is not so. Rabbi Aḥai bar Yoshiya states only there, with regard to scroll as it was written for the purpose of curses in general. However, a Torah which is written to be learned indeed we may not erase</t>
  </si>
  <si>
    <t>Rav Nachman bar Yitzchak said: Perhaps it is not so. Until here, Rabbi Achai bar Yoshiyah did not say that, except in regard to Megillah, for it is written for the sake of curses in the world. But regarding Torah, since it is learned through writing, it is also true that we do not erase.</t>
  </si>
  <si>
    <t>אָמַר Rav Naḥman bar Yitzḥak: Perhaps it is not so; until here Rav Aḥai bar Yo’ashiya said there only with regard to a Megillah, for it is written for the sake of oaths in the world. But Torah, which is written to be learned, so too, that we do not erase.</t>
  </si>
  <si>
    <t>אִיצְטְרִיךְ, סָלְקָא דַּעְתָּךְ אָמֵינָא: סוֹטָה שָׁאנֵי, דְּרַגְלַיִם לְדָבָר, שֶׁהֲרֵי קִינֵּא לָהּ וְנִסְתְּרָה — לִיתְהֵימַן בַּהּ עֵד אֶחָד.</t>
  </si>
  <si>
    <t>was necessary enter your mind to say a sota is different because a basis for the matter. Since issued a warning to her and she secluded one witness should be deemed credible with regard to her.</t>
  </si>
  <si>
    <t>It is necessary, as your mind has concluded, I say: A Sotah is different, for it is a matter of legs, as he was jealous of her and she secluded herself — let one witness be believed in her.</t>
  </si>
  <si>
    <t>It was needed; it עולה upon your mind I would say: Sotah is different, for there are feet for the matter, for behold he warned her and she secluded herself — let one witness not be believed regarding her.</t>
  </si>
  <si>
    <t>וְרַבִּי יִשְׁמָעֵאל? אַיְּידֵי דְּבָעֵי לְמִיכְתַּב ״וְהִיא נִטְמָאָה״ ״וְהִיא לֹא נִטְמָאָה״ — כְּתִיב נָמֵי ״וְקִנֵּא אֶת אִשְׁתּוֹ״.</t>
  </si>
  <si>
    <t>And Rabbi Yishmael Since it needed to write “And she be defiled,” “And she be not defiled,” it is also written: “And he warned his wife,”</t>
  </si>
  <si>
    <t>Rabbi Yishmael? Because he requires it to be written "and she became impure" "and she did not become impure" — it is also written "and he is jealous of his wife."</t>
  </si>
  <si>
    <t>And Rabbi Yishmaʿel? Since that he needed to write “and she became defiled,” “and she did not become defiled” — it is written also “and he warned his wife.”</t>
  </si>
  <si>
    <t>אָמְרוּ: הַנִּיחוּ לוֹ, כְּבוֹדוֹ בִּמְרוּבִּים יוֹתֵר מִבְּמוּעָטִין. וְתוּ אָמְרוּ: הַנִּיחוּ לוֹ, כְּבוֹדוֹ בִּגְדוֹלִים יוֹתֵר מִבִּקְטַנִּים.</t>
  </si>
  <si>
    <t>They said: Leave It is more of an honor for by the many than by the few, And furthermore, they said: Leave It is more of an honor for by the great than by lesser ones</t>
  </si>
  <si>
    <t>They said: Leave it to him, his honor in the majority is greater than in the minority. And some say: Leave it to him, his honor in the great is greater than in the small.</t>
  </si>
  <si>
    <t>They said: Leave him; his honor is with many more than with few. And further they said: Leave him; his honor is with great ones more than with small ones.</t>
  </si>
  <si>
    <t>כִּי פְּלִיגִי בְּאִישׁ אֶחָד וּשְׁנֵי בּוֹעֲלִין, בִּשְׁנֵי אֲנָשִׁים וּבוֹעֵל אֶחָד.</t>
  </si>
  <si>
    <t>They disagree when one husband and two paramours, in two husbands and one paramour,</t>
  </si>
  <si>
    <t>When they argue about one man and two husbands, about two men and one husband.</t>
  </si>
  <si>
    <t>כִּי פְּלִיגִי — for they disagree, בְּאִישׁ אֶחָד וּשְׁנֵי בּוֹעֲלִין — with one man and two bo‘alin, בִּשְׁנֵי אֲנָשִׁים וּבוֹעֵל אֶחָד — with two men and one bo‘el.</t>
  </si>
  <si>
    <t>GPT 5 translates every couple of phrases, making the BLUE Score lower. It also keeps the term "Boal" transliterated. Seems in ths context the phrase "Boel" is the paramour, but "Baal" is husband, which GPT 3.5 is confusing</t>
  </si>
  <si>
    <t>וְכִי תֵּימָא הָכִי נָמֵי, וְהָכְתִיב ״וּמַלְאַךְ פָּנָיו הוֹשִׁיעָם״! אֶלָּא לָאו, מַשְׁמַע הָכִי וּמַשְׁמַע הָכִי.</t>
  </si>
  <si>
    <t>And if you would say indeed but isn’t it written “And the angel of His Presence saved them,” Rather, is it not indicates this and indicates that?</t>
  </si>
  <si>
    <t>And if you will say so, it is stated "and an angel of His presence saved them"! Rather, no, understand it this way and understand it this way.</t>
  </si>
  <si>
    <t>And if you will say: so too here, but is it not written: “And the angel of His presence saved them”!? Rather, is it not: it implies thus and it implies thus.</t>
  </si>
  <si>
    <t>מַאי ״וְדַיּוֹ״? אָמַר רַב אָשֵׁי: אִיצְטְרִיךְ, סָלְקָא דַּעְתָּךְ אָמֵינָא: תִּיבְּעֵי הַגָּשַׁת מִנְחָה גּוּפַהּ, קָמַשְׁמַע לַן.</t>
  </si>
  <si>
    <t>What And is sufficient? Rav Ashi said: was necessary, enter your mind to say: Require to bring the meal-offering itself near teaches us</t>
  </si>
  <si>
    <t>What is "vedayo"? Rav Ashei said: It was necessary, for if you were to say: It requires the offering of a meal-offering itself, it would imply to us.</t>
  </si>
  <si>
    <t>What is “ve-dayyo”? Amar Rav Ashi: it was needed; it עולה upon your mind I would say: it should require the bringing-near of the minḥah itself; it teaches us.</t>
  </si>
  <si>
    <t>Introduces the term "עולה" in GPT 5</t>
  </si>
  <si>
    <t>and apparently vedayo is a problem to translate for both</t>
  </si>
  <si>
    <t>וּרְמִינְהִי ״וְנִסְתְּרָה״, וְכַמָּה שִׁיעוּר סְתִירָה לֹא שָׁמַעְנוּ. כְּשֶׁהוּא אוֹמֵר ״וְהִיא נִטְמָאָה״, הֱוֵי אוֹמֵר — כְּדֵי טוּמְאָה, כְּדֵי בִיאָה, כְּדֵי הַעֲרָאָה, כְּדֵי חֲזָרַת דֶּקֶל, דִּבְרֵי רַבִּי אֱלִיעֶזֶר.</t>
  </si>
  <si>
    <t>And raises a contradiction “And she was secretly” and we have not heard what is the measure seclusion. When it says “And she was defiled you must say equivalent defilement, equivalent sexual intercourse, equivalent initial stage of intercourse, equivalent returning of a palm the statement of Rabbi Eliezer.</t>
  </si>
  <si>
    <t>And they asked: "And it was hidden," and how much is the measure of concealment we have not heard. When he says, "And it became impure," one should say - for the sake of impurity, for the sake of penetration, for the sake of observation, for the sake of the return of the palm tree, the words of Rabbi Eliezer.</t>
  </si>
  <si>
    <t>And raise a contradiction: “and she secluded herself,” and how much is the measure of seclusion we have not heard. When it says “and she became defiled,” you must say — enough for defilement, enough for intercourse, enough for ha‘ara’ah, enough for the turning back of a dekel, the words of Rabbi Eliezer.</t>
  </si>
  <si>
    <t>וְהֵם אוֹמְרִים הוֹצִיאוּהָ וְכוּ׳. מַאי טַעְמָא — דְּדִילְמָא מֵתָה. לְמֵימְרָא דְּמֵת אָסוּר בְּמַחֲנֵה לְוִיָּה?</t>
  </si>
  <si>
    <t>And say: Remove her, What is the reason lest she die Is this to say that a corpse is prohibited in Levite camp</t>
  </si>
  <si>
    <t>"And they say, 'Take her out, etc.' What is the reason? Perhaps she died. To say that if she died, is she prohibited in the camp of Levi?"</t>
  </si>
  <si>
    <t>AND THEY SAY: TAKE HER OUT, etc. What is the reason? — For perhaps she died. Is it to say that a dead person is forbidden in the Camp of Leviyyah?</t>
  </si>
  <si>
    <t>שֶׁהָיָה בַּדִּין: וּמָה אִם עֵדוּת רִאשׁוֹנָה, שֶׁאֵין אוֹסַרְתָּהּ אִיסּוּר עוֹלָם — אֵינָהּ מִתְקַיֶּימֶת בְּפָחוֹת מִשְּׁנַיִם, עֵדוּת אַחֲרוֹנָה, שֶׁאוֹסַרְתָּהּ אִיסּוּר עוֹלָם — אֵינוֹ דִּין שֶׁלֹּא תִּתְקַיֵּים בְּפָחוֹת מִשְּׁנַיִם?</t>
  </si>
  <si>
    <t>as, by right, should have been And just as if the first testimony which does not forbid her an irrevocable prohibition, is not established with fewer than two the final testimony which forbids her an irrevocable prohibition, is it not logical that it not be established with fewer than two</t>
  </si>
  <si>
    <t>In the case of a judgment: And what if the first testimony, which does not render her permanently forbidden - is not upheld by less than two, the last testimony, which renders her permanently forbidden - is not a judgment that is not upheld by less than two?</t>
  </si>
  <si>
    <t>that it was by the law: and what if first testimony, that does not forbid her a prohibition forever — is not established with less than two, later testimony, that forbids her a prohibition forever — is it not law that it not be established with less than two?</t>
  </si>
  <si>
    <t>״לְמַעַן עַנּוֹתוֹ בְּסִבְלוֹתָם״, [״עַנּוֹתָם״ מִיבְּעֵי לֵיהּ]! לְמַעַן עַנּוֹתוֹ לְפַרְעֹה בְּסִבְלוֹתָם דְּיִשְׂרָאֵל.</t>
  </si>
  <si>
    <t>“In order to afflict him with their burdens” It should have “In order to afflict them,” in order to afflict Pharaoh, with the burdens of the Jewish people.</t>
  </si>
  <si>
    <t>"To afflict him in their burdens," It should have said "their affliction"! To afflict him, to Pharaoh, in their burdens of the children of Israel.</t>
  </si>
  <si>
    <t>“‘In order to afflict him with their burdens,’ ‘to afflict them’ it should have said! In order to afflict him—Pharaoh—with the burdens of Yisrael.”</t>
  </si>
  <si>
    <t>בְּפָרֶךְ״, רַבִּי אֶלְעָזָר אָמַר: בְּפֶה רַךְ. רַבִּי שְׁמוּאֵל בַּר נַחְמָנִי אָמַר: בִּפְרִיכָה.</t>
  </si>
  <si>
    <t>with rigor [ befarekh ]” Rabbi Elazar says: With a soft mouth [ bifeh rakh ], Rabbi Shmuel bar Naḥmani says: With crushing [ bifrikha ],</t>
  </si>
  <si>
    <t>In the marketplace, Rabbi Elazar said: with a soft mouth. Rabbi Shmuel bar Nachmani said: with a ripe fig.</t>
  </si>
  <si>
    <t>“Bepharekh”; Rabbi Elʿazar said: with a soft mouth. Rabbi Shemuʾel bar Naḥmani said: with crushing.</t>
  </si>
  <si>
    <t xml:space="preserve">This is correct translations - but the human translation uses transliteration and so the scores dont match up. </t>
  </si>
  <si>
    <t>וּמָה כָּאן הִקְדִּים עָפָר לַמַּיִם — כָּשֵׁר, אַף לְהַלָּן הִקְדִּים עָפָר לַמַּיִם — כָּשֵׁר.</t>
  </si>
  <si>
    <t>And just as here, places the dust before the water, it is fit so too there, places the dust before the water, it is fit.</t>
  </si>
  <si>
    <t>And what here preceded dust to water - valid, so too there, preceded dust to water - valid.</t>
  </si>
  <si>
    <t>And just as here he put the dust before the water — valid, so too there, if he put the dust before the water — valid.</t>
  </si>
  <si>
    <t>מַגִּישָׁהּ בְּקֶרֶן דְּרוֹמִית מַעֲרָבִית כְּנֶגֶד חוּדָּהּ שֶׁל קֶרֶן וְדַיּוֹ. מְנָלַן —</t>
  </si>
  <si>
    <t>brings it near to the southwest horn opposite the corner of the horn. And is sufficient. From where do we</t>
  </si>
  <si>
    <t>He brings it with the horn of the southern-western corner opposite the chamber of the horn and enough. Where do we learn this from?</t>
  </si>
  <si>
    <t>He brings it near at the southwestern corner, opposite the point of the corner, and that suffices. From where do we derive it —</t>
  </si>
  <si>
    <t>אֲמַר לֵיהּ: ״וְעָבַר״ — וּכְבָר עָבַר.</t>
  </si>
  <si>
    <t>said to him “And came [ ve’avar ] And already come</t>
  </si>
  <si>
    <t>He said to him: "And he passed" - and indeed he passed.</t>
  </si>
  <si>
    <t>He said to him: “and he passed” — and he already passed.</t>
  </si>
  <si>
    <t>אִי אָמְרַתְּ בִּשְׁלָמָא אֲסִירָה — מִשּׁוּם הָכִי מַתְנֵה בַּהֲדַהּ, אֶלָּא אִי אָמְרַתְּ לָא אֲסִירָה — הֵיכִי מַתְנֵה בַּהֲדַהּ? וְהָתְנַן, זֶה הַכְּלָל: כֹּל שֶׁאִילּוּ תִּיבָּעֵל וְלֹא תְּהֵא אֲסוּרָה לוֹ — לֹא הָיָה מַתְנֶה עִמָּהּ!</t>
  </si>
  <si>
    <t>Granted, if you say is forbidden due to that may stipulate with But if you say that does not become forbidden, how can stipulate with her? But didn’t we learn this is the principle: every where she would engage in sexual intercourse she would not become forbidden to he may not stipulate with her</t>
  </si>
  <si>
    <t>If you say it is permitted, then why does he give it as a gift? But if you say it is not permitted, how does he give it as a gift? And we learned in the Mishnah: This is the principle: anything that, if it were to be claimed, and it would not be forbidden to him, he did not make a gift of it!</t>
  </si>
  <si>
    <t>If you say, granted, she is *asira* — because of this he stipulates with her; but if you say, she is not *asira* — how does he stipulate with her? And we learned, this is the principle: anything that if she would be cohabited and she would not be forbidden to him — he would not have stipulated with her!</t>
  </si>
  <si>
    <t>כְּתָבָהּ אִיגֶּרֶת — פְּסוּלָה. ״בַּסֵּפֶר״ אָמַר רַחֲמָנָא.</t>
  </si>
  <si>
    <t>If one wrote as a letter, it is unfit, the Merciful One states “In a scroll,”</t>
  </si>
  <si>
    <t>The writing of it, a letter — invalid. "In a book," said the Merciful One.</t>
  </si>
  <si>
    <t>He wrote it as a letter — it is invalid. “In the book,” the Merciful One said.</t>
  </si>
  <si>
    <t>אָמַר רַבִּי זֵירָא אָמַר רַב: שְׁתֵּי שְׁבוּעוֹת הָאֲמוּרוֹת בַּסּוֹטָה. לָמָּה? אַחַת קוֹדֶם שֶׁנִּמְחֲקָה מְגִילָּה, וְאַחַת לְאַחַר שֶׁנִּמְחֲקָה.</t>
  </si>
  <si>
    <t>Rabbi Zeira says Rav says: the two oaths that are stated with regard to the sota : why One before the scroll is erased and one after it is erased.</t>
  </si>
  <si>
    <t>Rabbi Zeira said in the name of Rav: Two weeks mentioned in the Sotah. Why? One before the erasure of the scroll, and one after the erasure.</t>
  </si>
  <si>
    <t>אָמַר רַבִּי זֵירָא אָמַר רַב: Rabbi Zeira said, Rav said: שְׁתֵּי שְׁבוּעוֹת הָאֲמוּרוֹת בַּסּוֹטָה. two oaths that are stated with regard to the Sotah. לָמָּה? why? אַחַת קוֹדֶם שֶׁנִּמְחֲקָה מְגִילָּה, one before the Megillah was erased, וְאַחַת לְאַחַר שֶׁנִּמְחֲקָה. and one after it was erased.</t>
  </si>
  <si>
    <t>וּמִי מָצֵית אָמְרַתְּ דְּאֵין נֶאֱמָן בָּהּ וְשַׁרְיָא? וְהָא מִדִּכְתִיב ״וְהִיא לֹא נִתְפָּשָׂה״ — מִכְּלָל דַּאֲסוּרָה!</t>
  </si>
  <si>
    <t>But how can you say is not deemed credible with regard to her and she permitted But from that it is written: “And she was not taken,” by inference who forbidden</t>
  </si>
  <si>
    <t>And who found saying that it is not reliable and permissible? But it is written, "And she was not caught" - implying that it is prohibited!</t>
  </si>
  <si>
    <t>And can you find to say that he is not believed with regard to her and she is permitted? But הרי from that which is written: “and she was not seized” — by implication that she is forbidden!</t>
  </si>
  <si>
    <t>וְאִם הִשְׁקָהּ וְאַחַר כָּךְ הִקְרִיב אֶת מִנְחָתָהּ — כְּשֵׁרָה.</t>
  </si>
  <si>
    <t>But if forced her to drink and afterward sacrificed her meal-offering, valid.</t>
  </si>
  <si>
    <t>And if he caused her to drink, and afterwards he brought her meal offering - it is valid.</t>
  </si>
  <si>
    <t>And if he gave her to drink, and afterward he brought near her minḥah — it is valid.</t>
  </si>
  <si>
    <t>״וְאַבְשָׁלוֹם לָקַח וַיַּצֶּב לוֹ בְחַיָּיו״. מַאי ״לָקַח״? אָמַר רֵישׁ לָקִישׁ: שֶׁלָּקַח מִקָּח רַע לְעַצְמוֹ. ״אֶת מַצֶּבֶת אֲשֶׁר בְּעֵמֶק הַמֶּלֶךְ וְגוֹ׳״, אָמַר רַבִּי חֲנִינָא בַּר פָּפָּא: בְּעֵצָה עֲמוּקָּה שֶׁל מַלְכּוֹ שֶׁל עוֹלָם,</t>
  </si>
  <si>
    <t>“Now Absalom in his lifetime had taken and reared up for himself What did take? Reish Lakish says: He engaged in a bad transaction for himself “The pillar, which is in the king’s valley [ be’emek hammelekh ].” Rabbi Ḥanina bar Pappa says: in the deep [ amukka ] counsel of the King [ melekh ] of the universe,</t>
  </si>
  <si>
    <t>"And Avshalom took and set up for himself in his lifetime." What is meant by "took"? Reish Lakish said: that he took an evil acquisition for himself. "The pillar which is in the King's Valley, etc." Rabbi Chanina bar Papa said: with deep counsel of the eternal king.</t>
  </si>
  <si>
    <t>“‘And Avshalom took and set up for himself in his lifetime.’” What is “‘took’”? Reish Lakish said: that he took a bad purchase for himself. “‘The monument that is in the King’s Valley, etc.’” Rabbi Ḥanina bar Pappa said: with a deep counsel of the King of the world,</t>
  </si>
  <si>
    <t>חוּץ מִפָּרָשַׁת סוֹטָה בִּלְבַד. רַבִּי יַעֲקֹב אוֹמֵר מִשְּׁמוֹ: חוּץ מִפָּרָשַׁת סוֹטָה שֶׁל מִקְדָּשׁ. מַאי בֵּינַיְיהוּ? אָמַר רַבִּי יִרְמְיָה: לִמְחוֹק לָהּ מִן הַתּוֹרָה אִיכָּא בֵּינַיְיהוּ.</t>
  </si>
  <si>
    <t>except for passage about the sota , Rabbi Ya’akov says in the name of except for sota passage in the Temple. What is between these Rabbi Yirmeya says between them to erase for from a Torah</t>
  </si>
  <si>
    <t>Outside of the portion of the Sotah alone. Rabbi Yaakov says in his name: Outside of the portion of the Sotah of the Temple. What is the difference between them? Rabbi Yirmiyah said: To erase it from the Torah, there is a difference between them.</t>
  </si>
  <si>
    <t>Except from Parashat Sotah alone. Rabbi Ya‘akov says in his name: Except from Parashat Sotah that is of the Mikdash. What is between them? אמר Rabbi Yirmeya: To erase for her from the Torah there is between them.</t>
  </si>
  <si>
    <t>וְרַבִּי אֱלִיעֶזֶר אוֹמֵר: ״בָּהּ״ — וְלֹא בְּקִינּוּי.</t>
  </si>
  <si>
    <t>And Rabbi Eliezer says With regard to it, but not with regard to warning.</t>
  </si>
  <si>
    <t>Rabbi Eliezer says: "bah" - and not by way of euphemism.</t>
  </si>
  <si>
    <t>And Rabbi Eliezer says: “in it” — and not with a substitute-name.</t>
  </si>
  <si>
    <t>נִכְנְסָה עִמּוֹ לְבֵית הַסֵּתֶר וְשָׁהֲתָה עִמּוֹ כְּדֵי טוּמְאָה — אֲסוּרָה לְבֵיתָהּ, וַאֲסוּרָה לֶאֱכוֹל בִּתְרוּמָה. וְאִם מֵת — חוֹלֶצֶת וְלֹא מִתְיַיבֶּמֶת.</t>
  </si>
  <si>
    <t>she entered into a secluded place and remained with enough to defiled, she is forbidden to her home And she is prohibited from partaking of teruma , And if dies she performs ḥalitza and may not enter into levirate marriage,</t>
  </si>
  <si>
    <t>She entered with him into the bridal chamber, and she stayed with him the amount of time required for impurity - she is forbidden to her husband, and forbidden to eat of the heave-offering. And if he dies - she performs the rite of halitzah and does not undergo levirate marriage.</t>
  </si>
  <si>
    <t>She entered with him into the beit ha-seter and stayed with him for the time of tum’ah — she is forbidden to her house, and she is forbidden to eat terumah. And if he died — she performs ḥalitzah and does not perform yibbum.</t>
  </si>
  <si>
    <t>בְּמַאי קָמִיפַּלְגִי? תְּלָתָא קְרָאֵי כְּתִיבִי: ״וְהִשְׁקָה״ קַמָּא, ״וְאַחַר יַשְׁקֶה״, ״וְהִשְׁקָהּ״ בָּתְרָא.</t>
  </si>
  <si>
    <t>With regard to what do disagree Three verses are written The first “And he shall make drink” “And afterward he shall make drink the last “And he shall make her drink”</t>
  </si>
  <si>
    <t>With what does he disagree? Three verses are written: "and he shall cause her to drink" first, "and afterward he shall cause her to drink," "and he shall cause her to drink" last.</t>
  </si>
  <si>
    <t>With what are they disputing? Three verses are written: “and he shall give to drink” the first, “and afterward he shall give to drink,” “and he shall give her to drink” the last.</t>
  </si>
  <si>
    <t>וְנוֹתְנוֹ לְתוֹךְ כְּלִי שָׁרֵת וּמְקַדְּשׁוֹ בִּכְלִי שָׁרֵת. לְמָה לִי? הָא קַדְּשַׁהּ חֲדָא זִימְנָא! מִידֵּי דְּהָוֵה אַדָּם; דָּם, אַף עַל גַּב דְּקַדֵּישְׁתֵּיהּ סַכִּין בְּצַוַּאר בְּהֵמָה, הֲדַר מְקַדֵּישׁ לֵיהּ בִּכְלִי שָׁרֵת, הָכָא נָמֵי לָא שְׁנָא.</t>
  </si>
  <si>
    <t>And he puts into a service vessel and sanctifies it in service vessel. Why do I He has sanctified it once, just as with blood Although the knife sanctifies blood the neck of the animal, sanctifies it again in the service vessel. Here too, it is not different;</t>
  </si>
  <si>
    <t>And he shall place it into a vessel of service and sanctify it in a vessel of service. Why do I need it? This sanctification is only temporary! For as long as a person is involved; blood, even though its sanctity is temporary, if one sanctifies it by slaughtering an animal with a knife at the neck, he then sanctifies it in a vessel of service, here it is not different.</t>
  </si>
  <si>
    <t>And he gives it into a *keli sharet* and sanctifies it with a *keli sharet*. Why do I need this? הרי he sanctified it one time! It is like that which is with blood; blood, even though the knife sanctified it at the neck of the animal, he goes back and sanctifies it with a *keli sharet*; here too, it is not different.</t>
  </si>
  <si>
    <t>אָתְיָא ״יָד״ ״יָד״ מִשְּׁלָמִים. כְּתִיב הָכָא: ״וְלָקַח הַכֹּהֵן מִיַּד הָאִשָּׁה״, וּכְתִיב הָתָם: ״יָדָיו תְּבִיאֶינָה״.</t>
  </si>
  <si>
    <t>derived “hand” “hand” from peace-offering: is written here, “And the priest shall take out of the woman’s hand” and is written there, His own hands shall bring</t>
  </si>
  <si>
    <t>It was taught: "Hand" "hand" from they pay. Written here: "And the priest shall take from the hand of the woman," and written there: "Her hands shall bring."</t>
  </si>
  <si>
    <t>Āt’yā “yad” “yad” miShelamim. Ketiv hakhā: “And the kohen shall take from the hand of the woman”, u’ketiv hatam: “His hands shall bring.”</t>
  </si>
  <si>
    <t>וְאֵינוֹ כּוֹתֵב לֹא בְּקוֹמוֹס וְלֹא בְּקַנְקַנְתּוֹם, וְלֹא בְּכׇל דָּבָר שֶׁרוֹשֵׁם, אֶלָּא בִּדְיוֹ, שֶׁנֶּאֱמַר: ״וּמָחָה״, כְּתָב שֶׁיָּכוֹל לִמָּחוֹת.</t>
  </si>
  <si>
    <t>And may not write with gum [ komos ], and not with iron sulfate [ kankantom ], nor with any substance that makes a mark but with ink as it is stated “And he shall blot a writing that can be erased</t>
  </si>
  <si>
    <t>He does not write neither with a reed nor with a quill, nor with anything that is pointed, but with ink, as it is said: "And he shall blot it out," meaning that he can erase.</t>
  </si>
  <si>
    <t>and he does not write, neither with qomos nor with qanqantom, and not with any thing that makes a mark, but with dyo, as it is said: “and he shall blot out,” a writing that he is able to blot out.</t>
  </si>
  <si>
    <t>הַדִּיפְתְּרָא, אֶלָּא עַל הַמְּגִילָּה, שֶׁנֶּאֱמַר: ״בַּסֵּפֶר״.</t>
  </si>
  <si>
    <t>diftera , rather, on a scroll as is stated: in a scroll”</t>
  </si>
  <si>
    <t>The interpretation, rather on the Megillah, as it is stated: "In the book."</t>
  </si>
  <si>
    <t>ha-Diftera, but only on the Megillah, as it is said: “in the book.”</t>
  </si>
  <si>
    <t>transliteration</t>
  </si>
  <si>
    <t>both use word megillah</t>
  </si>
  <si>
    <t>אֶלָּא אָמַר רַבִּי יוֹחָנָן:</t>
  </si>
  <si>
    <t>Rather Rabbi Yoḥanan says:</t>
  </si>
  <si>
    <t>Rather, Rabbi Yochanan said:</t>
  </si>
  <si>
    <t>Rather, Rabbi Yoḥanan said:</t>
  </si>
  <si>
    <t>הָכִי קָאָמַר לֵיהּ: לָא מִבַּעְיָא בַּחֲסֵירוֹת וִיתֵירוֹת דְּבָקִי אֲנָא, אֶלָּא אֲפִילּוּ לְמֵיחַשׁ לִזְבוּב דְּדִילְמָא אָתֵי וְיָתֵיב אַתָּגֵיהּ דְּדָלֶית וּמָחֵיק לֵיהּ וּמְשַׁוֵּי לֵיהּ רֵישׁ — דָּבָר אֶחָד יֵשׁ לִי שֶׁאֲנִי מֵטִיל לְתוֹךְ הַדְּיוֹ וְקַנְקַנְתּוֹם שְׁמוֹ.</t>
  </si>
  <si>
    <t>This is what is saying to him: It is not necessary in omissions and additions, as I am an expert. Rather, even for concern with regard to a fly lest come and sit on the protrusion of dalet and erase it, rendering it reish , I have a certain substance that I put into the ink and it is called iron sulfate.</t>
  </si>
  <si>
    <t>So he said to him: I do not require the missing and extra ingredients that I have, but even if I am concerned about a fly that perhaps will come and sit on the inkwell, and dip its wing in it and shake its head — I have one thing that I throw into the inkwell and its name is KanKantum.</t>
  </si>
  <si>
    <t>Thus he said to him: It is not necessary to say with respect to ḥaseirot and yeteirot, that I am expert; but even to be concerned for a zevuv, that perhaps it comes and sits upon the tag of the dalet and erases it and makes it a reish — one matter I have that I cast into the ink, and kankantom is its name.</t>
  </si>
  <si>
    <t>וְתַנָּא קַמָּא, הָכְתִיב ״אֹתָהּ״? תַּנָּא קַמָּא — רַבִּי שִׁמְעוֹן הִיא, דְּדָרֵישׁ טַעַם דִּקְרָא, וּמָה טַעַם קָאָמַר: מָה טַעַם ״אוֹתָהּ״ לְבַדָּהּ — כְּדֵי שֶׁלֹּא יְהֵא לִבָּהּ גַּס בַּחֲבֶירְתָּהּ.</t>
  </si>
  <si>
    <t>And the first tanna , isn’t it written “ ota ”? The first tanna is Rabbi Shimon, who interprets the reasons of verses, and he is saying: What is the reason? What is the reason her alone, In order that the heart not be emboldened by the other.</t>
  </si>
  <si>
    <t>Talmudic text: And it was taught in the first Tanna, it is written "her"? It was taught in the first Tanna - Rabbi Shimon, that he expounded the reason of the verse, and what reason did he say: What is the reason for "her" alone - so that her heart should not be arrogant towards her companion.</t>
  </si>
  <si>
    <t>And the Tanna Kamma, is it written “otah”? The Tanna Kamma — it is Rabbi Shim‘on, who expounds the reason of the verse, and what reason did he say: what is the reason “otah” alone — in order that her heart not be haughty toward her fellow.</t>
  </si>
  <si>
    <t>וְקַטְלֵיאוֹת, נְזָמִים וְטַבָּעוֹת — מַעֲבִירִין מִמֶּנָּה, כְּדֵי לְנַוְּולָהּ. וְאַחַר כָּךְ מֵבִיא חֶבֶל מִצְרִי וְקוֹשְׁרוֹ לְמַעְלָה מִדַּדֶּיהָ,</t>
  </si>
  <si>
    <t>or chokers [ katliyot ], nose rings, or rings, they removed them from her in order to render her unattractive. And afterward would bring an Egyptian rope and he would tie it above her breasts.</t>
  </si>
  <si>
    <t>"and katleiota, nezamim and tabaot — remove from it, in order to beautify it. And afterwards brings an Egyptian rope and ties it above its sides,"</t>
  </si>
  <si>
    <t>And *katle’iyot*, *nezamim* and *tabba’ot*—they remove from her, in order to disfigure her. And afterward he brings an Egyptian rope and ties it above her breasts,</t>
  </si>
  <si>
    <t>אָמַר רָבָא: וּדְאִשָּׁה עֲדִיפָא מִדְּאִישׁ, מַאי טַעְמָא — הַאי מְצָרֵף, וְהַאי לָא מְצָרֵף.</t>
  </si>
  <si>
    <t>Rava said: And that the woman is stronger than that the man. What is the reason are joined but they are not joined,</t>
  </si>
  <si>
    <t>Rava said: And a woman is preferable to a man, what is the reason? This one (woman) is a binder, and this one (man) is not a binder.</t>
  </si>
  <si>
    <t>אָמַר רָבָא: Rava said: וּדְאִשָּׁה עֲדִיפָא מִדְּאִישׁ, and that a woman is preferable to a man, מַאי טַעְמָא — what is the reason — הַאי מְצָרֵף, this one combines, וְהַאי לָא מְצָרֵף. and this one does not combine.</t>
  </si>
  <si>
    <t xml:space="preserve">The translation of עֲדִיפָא  is correct as "preferable"  - though in this case, the context of the conversation is, "אָמַר רָבָא: וּדְאִשָּׁה עֲדִיפָא מִדְּאִישׁ
“Rava said: the ‘[fire]’ of a woman is stronger than that of a man" and with this context "preferable" does not make sense. </t>
  </si>
  <si>
    <t>again hebrew and english by 5</t>
  </si>
  <si>
    <t>דִּתְנַן: אֵין מַשְׁקִין שְׁתֵּי סוֹטוֹת כְּאַחַת, וְאֵין מְטַהֲרִין שְׁנֵי מְצוֹרָעִין כְּאַחַת, וְאֵין רוֹצְעִין שְׁנֵי עֲבָדִים כְּאַחַת, וְאֵין עוֹרְפִין שְׁתֵּי עֲגָלוֹת כְּאַחַת, לְפִי שֶׁאֵין עוֹשִׂין מִצְוֹת חֲבִילוֹת חֲבִילוֹת.</t>
  </si>
  <si>
    <t>As we learned Two sota women are not given to drink simultaneously, and two lepers are not purified simultaneously, and two slaves are not pierced simultaneously, and two heifers do not have their necks broken simultaneously, because one does not perform mitzvot in bundles.</t>
  </si>
  <si>
    <t>We learned in a Mishnah: One may not water two rows simultaneously, and one may not purify two lepers simultaneously, and one may not acquit two slaves simultaneously, and one may not break the necks of two calves simultaneously, because they do not perform commandments in bundles.</t>
  </si>
  <si>
    <t>As we learned: One does not give to drink two Sotot as one, and one does not purify two Metzora‘in as one, and one does not pierce two ‘avadim as one, and one does not break the neck of two ‘agalot as one, because one does not do mitzvot bundles, bundles.</t>
  </si>
  <si>
    <t>תַּנְיָא, רַבִּי יְהוּדָה אוֹמֵר, אוֹמֵר הָיָה רַבִּי מֵאִיר: לַכֹּל מְטִילִין קַנְקַנְתּוֹם לְתוֹךְ הַדְּיוֹ,</t>
  </si>
  <si>
    <t>It is taught Rabbi Yehuda says Rabbi Meir would say: Iron sulfate may be put into the ink for all</t>
  </si>
  <si>
    <t>It was taught: Rabbi Yehuda says, Rabbi Meir says: One may place their kankantum for all into the inkwell.</t>
  </si>
  <si>
    <t>It was taught: Rabbi Yehudah says, Rabbi Meir would say: For all, they cast kankantum into the ink,</t>
  </si>
  <si>
    <t>אֵין לִי אֶלָּא סְאָה, מִנַּיִן לְרַבּוֹת תַּרְקַב וַחֲצִי תַּרְקַב, קַב וַחֲצִי קַב, רוֹבַע וַחֲצִי רוֹבַע, תּוֹמֶן וְעוּכְלָא, מִנַּיִן — תַּלְמוּד לוֹמַר: ״כִּי כׇּל סְאוֹן סֹאֵן בְּרַעַשׁ״.</t>
  </si>
  <si>
    <t>I have only a se’a , From where to include a half- se’a [ tarkav ] and a half- tarkav ; a kav and a half- kav ; a quarter- kav and half of a quarter- kav ; an eighth- kav [ toman ] and an ukla , From where The verse states: “For every boot [ sa’on ] stamped with fierceness, Rabbi</t>
  </si>
  <si>
    <t>I have only a se'ah, how do I know to include a tarkav and a half tarkav, a kav and a half kav, a reva and a half reva, tomen and ukhla, how do I know? The Talmud teaches to say: "For every se'ah is shaken with a tempest."</t>
  </si>
  <si>
    <t>I have only *se’ah*; from where to include *tarkav* and half-*tarkav*, *kav* and half-*kav*, *rova* and half-*rova*, *tomen* and *ukhla*—from where? *Talmud* to say: “For every boot, booted with tumult.”</t>
  </si>
  <si>
    <t>וְאַבְרָהָם גּוּפֵיהּ מְנָלַן — דִּכְתִיב ״זֶרַע אַבְרָהָם אֹהֲבִי״.</t>
  </si>
  <si>
    <t>And Abraham himself, from where do we As it is written: “The offspring of Abraham who loved Me”</t>
  </si>
  <si>
    <t>And Abraham, his body, where are they from - as it is written, "The offspring of Abraham, My beloved."</t>
  </si>
  <si>
    <t>And Avraham himself, from where do we know? — as it is written: “the seed of Avraham My beloved.”</t>
  </si>
  <si>
    <t>וּמַאי ״וְאֵשֶׁת אִישׁ נֶפֶשׁ יְקָרָה תָצוּד״? אָמַר רַבִּי חִיָּיא בַּר אַבָּא אָמַר רַבִּי יוֹחָנָן: כׇּל אָדָם שֶׁיֵּשׁ בּוֹ גַּסּוּת הָרוּחַ — לְבַסּוֹף נִכְשָׁל בְּאֵשֶׁת אִישׁ, שֶׁנֶּאֱמַר: ״וְאֵשֶׁת אִישׁ נֶפֶשׁ יְקָרָה תָצוּד״.</t>
  </si>
  <si>
    <t>And what “But the adulteress hunts for the precious life”? Rabbi Ḥiyya bar Abba says Rabbi Yoḥanan says: Any person who has arrogance within him will eventually stumble with an adulteress, as it is stated: “But the adulteress hunts for the precious life,”</t>
  </si>
  <si>
    <t>"What is the meaning of 'And a man's wife, a precious soul, you shall not take'? Rabbi Hiyya bar Abba said in the name of Rabbi Yohanan: Any man who has a haughty spirit within him will ultimately stumble in the matter of another man's wife, as it is stated: 'And a man's wife, a precious soul, you shall not take.'"</t>
  </si>
  <si>
    <t>And what is: “And a man’s wife hunts a precious soul”? Rabbi Ḥiyya bar Abba said Rabbi Yoḥanan said: Any man in whom there is haughtiness of spirit — in the end he stumbles with a man’s wife, as it is said: “And a man’s wife hunts a precious soul.”</t>
  </si>
  <si>
    <t>וְאֵימָא: ״בָּהּ״ וְלֹא בִּסְתִירָה! סְתִירָה אִיתַּקַּשׁ לְטוּמְאָה, דִּכְתִיב: ״וְנִסְתְּרָה וְהִיא נִטְמָאָה״.</t>
  </si>
  <si>
    <t>But say With regard to it, but not with regard to seclusion, seclusion is juxtaposed to defilement as it is written: “And she was defiled secretly”</t>
  </si>
  <si>
    <t>And why not say: "in it" and not "in concealment"! Concealment is connected to impurity, as it is written: "And it was hidden and it became impure."</t>
  </si>
  <si>
    <t>And say: “in it” and not in seclusion! Seclusion is juxtaposed to tum’ah, as it is written: “and she secluded herself and she became defiled.”</t>
  </si>
  <si>
    <t>אָמַר רֵישׁ לָקִישׁ: מָה לְשׁוֹן ״קִינּוּי״ — דָּבָר הַמֵּטִיל קִנְאָה בֵּינָהּ לְבֵין אֲחֵרִים. אַלְמָא קָסָבַר קִינּוּי עַל פִּי עַצְמוֹ, וְכוּלֵּי עָלְמָא לָא יָדְעִי דְּקַנִּי לַהּ, וְאָמְרִי: מַאי דְּקַמָּא דְּקָא בָּדְלָה, וְאָתוּ לְמִיעְבַּד קִנְאָה בַּהֲדַהּ.</t>
  </si>
  <si>
    <t>Reish Lakish says: What term: Warning [ kinnui ]? a matter that causes anger [ kina ] between her and others, Apparently, he holds a warning based on own and everyone else will not know that her husband issued a warning to her, and they will say: What is this before us that she separates herself and they will come to act in anger with her.</t>
  </si>
  <si>
    <t>Reish Lakish said: What is the language of "kinui" - a matter that arouses jealousy between her and others. This implies that he holds that kinui is based on her own mouth, and the entire world does not know that she is jealous, and they say: What was in the beginning that separated, and then jealousy came upon her.</t>
  </si>
  <si>
    <t>אָמַר רֵישׁ לָקִישׁ: Reish Lakish said: מָה לְשׁוֹן ״קִינּוּי״ — what is the language of “kinui” — דָּבָר הַמֵּטִיל קִנְאָה בֵּינָהּ לְבֵין אֲחֵרִים. a matter that casts jealousy between her and others. אַלְמָא קָסָבַר קִינּוּי עַל פִּי עַצְמוֹ, consequently, he holds kinui is by itself, וְכוּלֵּי עָלְמָא לָא יָדְעִי דְּקַנִּי לַהּ, and all the world does not know that he warned her, וְאָמְרִי: and they say: מַאי דְּקַמָּא דְּקָא בָּדְלָה, what is this that she is separating, וְאָתוּ לְמִיעְבַּד קִנְאָה בַּהֲדַהּ. and they come to make jealousy with her.</t>
  </si>
  <si>
    <t>וְהָאִיכָּא נָמֵי עֲפַר כִּיסּוּי הַדָּם!</t>
  </si>
  <si>
    <t>But there is also The dust covering the blood</t>
  </si>
  <si>
    <t>And where is the blood covered with dust!</t>
  </si>
  <si>
    <t>But behold there is also dust for *kisui ha-dam*!</t>
  </si>
  <si>
    <t>כִּי תִּיבְּעֵי לָךְ, אַלִּיבָּא דְּבֵית הִלֵּל דְּאָמְרִי: מָצִינוּ אֵפֶר שֶׁקָּרוּי ״עָפָר״, מַאי? אַף עַל גַּב דְּאִיקְּרִי ״עָפָר״, הָכָא ״בְּקַרְקַע הַמִּשְׁכָּן״ כְּתִיב, אוֹ דִילְמָא הַאי ״בְּקַרְקַע הַמִּשְׁכָּן״ לְכִדְאִיסִי בֶּן יְהוּדָה וּלְכִדְאִיסִי בֶּן מְנַחֵם הוּא דְּאָתֵי?</t>
  </si>
  <si>
    <t>When you raise the dilemma, in accordance with Beit Hillel, who say: We find ashes referred to as dust What Although referred to as dust, here it is written: “On the floor of the Tabernacle,” Or perhaps “on the floor of the Tabernacle” comes in accordance with Isi ben Yehuda or in accordance with Isi ben Menaḥem.</t>
  </si>
  <si>
    <t>When you inquire, according to the opinion of Beit Hillel who say: "We found ashes referred to as 'dust,' what is the reason? Even though it is called 'dust,' here it is written 'on the ground of the Tabernacle.' Or perhaps this 'on the ground of the Tabernacle' is according to the opinion of Ben Yehuda and according to the opinion of Ben Menachem who come?</t>
  </si>
  <si>
    <t>If you should raise a question for yourself, according to Beit Hillel, who say: We have found ashes that are called “dust,” what is the law? Even though it is called “dust,” here “in the ground of the Mishkan” is written; or perhaps this “in the ground of the Mishkan” comes for that of Isi ben Yehudah and for that of Isi ben Menachem?</t>
  </si>
  <si>
    <t>רַבִּי מֵאִיר סָבַר: ״אָלוֹת״ — אָלוֹת מַמָּשׁ. ״הָאָלוֹת״ — לְרַבּוֹת קְלָלוֹת הַבָּאוֹת מֵחֲמַת בְּרָכוֹת. ״אֵלֶּה״ — לְמַעוֹטֵי קְלָלוֹת שֶׁבְּמִשְׁנֵה תוֹרָה. ״הָאֵלֶּה״ — לְמַעוֹטֵי צַוּוֹאוֹת וְקַבָּלוֹת אָמֵן.</t>
  </si>
  <si>
    <t>Rabbi Meir, reasons: “ alot ,” actual curses. “ ha’alot ” to include curses that come on account of blessings, “ eleh ,” to exclude the curses that are in Mishne Torah , “ ha’eleh ” to exclude the commands and the acceptances “amen”</t>
  </si>
  <si>
    <t>Rabbi Meir holds: "Alot" - actual curses. "Ha'alot" - to include additional curses that come as a result of blessings. "Eleh" - to exclude the curses in the Torah. "Ha'eleh" - to exclude commandments and traditions. Amen.</t>
  </si>
  <si>
    <t>Rabbi Me’ir holds: “alot” — alot literally. “ha’alot” — to include curses that come on account of blessings. “elleh” — to exclude curses that are in Mishneh Torah. “ha’elleh” — to exclude commands and acceptances of amen.</t>
  </si>
  <si>
    <t>עַד שֶׁלֹּא קָרַב הַקּוֹמֶץ. רַבִּי שִׁמְעוֹן לְטַעְמֵיהּ, דְּאָמַר: מַקְרִיב אֶת מִנְחָתָהּ וְאַחַר כָּךְ מַשְׁקָהּ.</t>
  </si>
  <si>
    <t>until the handful is sacrificed. Rabbi Shimon to his reasoning as he says sacrifices her meal-offering and afterward forces her to drink.</t>
  </si>
  <si>
    <t>Until the kometz is not brought close. Rabbi Shimon according to his reasoning, as he said: He brings its meal offering and afterwards he gives it to drink.</t>
  </si>
  <si>
    <t>Until the qometz has not been brought near. Rabbi Shim‘on is according to his reasoning, for he said: He brings near her minḥah, and afterward he gives her to drink.</t>
  </si>
  <si>
    <t>אִינִי? וְהָא אָמַר רַב יְהוּדָה אָמַר רַב: אַרְבָּעִים יוֹם קוֹדֶם יְצִירַת הַוָּלָד בַּת קוֹל יוֹצֵאת וְאוֹמֶרֶת: בַּת פְּלוֹנִי לִפְלוֹנִי, בֵּית פְּלוֹנִי לִפְלוֹנִי, שְׂדֵה פְלוֹנִי לִפְלוֹנִי! לָא קַשְׁיָא: הָא — בְּזוּג רִאשׁוֹן, הָא — בְּזוּג שֵׁנִי.</t>
  </si>
  <si>
    <t>Is that so But Rav Yehuda says Rav says: Forty days before an embryo is formed a Divine Voice issues forth and says: The daughter of so-and-so is to so-and-so; such and such a house is to so-and-so; such and such a field is to so-and-so. not difficult. This with regard to a first match [ zivug ], this with regard to a second match.</t>
  </si>
  <si>
    <t>I? But didn't Rav Yehudah say in the name of Rav: Forty days before the formation of the fetus, a heavenly voice emerges and proclaims: The daughter of so-and-so is designated for so-and-so, the house of so-and-so is designated for so-and-so, the field of so-and-so is designated for so-and-so! There is no contradiction: here it refers to the first pairing, there it refers to the second pairing.</t>
  </si>
  <si>
    <t>Is that so? But did not Rav Yehudah say, Rav said: Forty days before the forming of the fetus a bat kol goes out and says: The daughter of so-and-so for so-and-so, the house of so-and-so for so-and-so, the field of so-and-so for so-and-so! It is not difficult: this — with a first match, that — with a second match.</t>
  </si>
  <si>
    <t>דָּרֵשׁ רָבָא: בִּשְׂכַר שֶׁאָמַר אַבְרָהָם אָבִינוּ ״אִם מִחוּט וְעַד שְׂרוֹךְ נַעַל״, זָכוּ בָּנָיו לִשְׁתֵּי מִצְוֹת: חוּט שֶׁל תְּכֵלֶת וּרְצוּעָה שֶׁל תְּפִלִּין.</t>
  </si>
  <si>
    <t>Rava taught: As reward which our Patriarch Abraham said “That a thread nor a shoe strap his children merited two mitzvot: The thread of sky-blue and the strap of phylacteries.</t>
  </si>
  <si>
    <t>Rava expounded: In reward for what our father Abraham said, "from a thread to a shoelace," his sons merited two commandments: the thread of blue and the strap of tefillin.</t>
  </si>
  <si>
    <t>דָּרֵשׁ רָבָא: Rava expounded: בִּשְׂכַר שֶׁאָמַר אַבְרָהָם אָבִינוּ ״אִם מִחוּט וְעַד שְׂרוֹךְ נַעַל״, In reward for that Avraham Avinu said, “If from a thread and until a shoe-strap,” זָכוּ בָּנָיו לִשְׁתֵּי מִצְוֹת: his sons merited two mitzvot: חוּט שֶׁל תְּכֵלֶת וּרְצוּעָה שֶׁל תְּפִלִּין. a thread of tekhelet and a strap of tefillin.</t>
  </si>
  <si>
    <t>The GPT 35 translation is the easiest to understand, though the technical terminology (with the Hebrew phrases included in the GPT 5) are still correct</t>
  </si>
  <si>
    <t>hebrew ad english by 5. 5 uses tekhelet, I guess you see this as technical term</t>
  </si>
  <si>
    <t>עַד שֶׁלֹּא תְּקַבֵּל עָלֶיהָ שְׁבוּעָה. מִישְׁתָּא הוּא דְּלָא שָׁתְיָא, הָא מִיכְתָּב כָּתְבִי לַהּ, וְהָאָמַר רָבָא: מְגִילַּת סוֹטָה שֶׁכְּתָבָהּ קוֹדֶם שֶׁתְּקַבֵּל עָלֶיהָ שְׁבוּעָה — לֹא עָשָׂה וְלֹא כְלוּם! כְּדִי נַסְבַהּ.</t>
  </si>
  <si>
    <t>until she accepts the oath upon herself. it is that does not drink however, is written for her But didn’t Rava say: a scroll of a sota that was written before she accepted the oath upon herself, did nothing, This was cited for no reason,</t>
  </si>
  <si>
    <t>Until she does not accept upon herself an oath. It is a case where she did not drink, this is written to her, and Rava said: The Scroll of the Sotah that was written before she accepts upon herself an oath - it did not accomplish anything! In order to disgrace her.</t>
  </si>
  <si>
    <t>Until she will not accept upon herself an oath. To drink it is that she does not drink; but a writing they write for her, and did not Rava say: A Megillat Sota that he wrote it before she will accept upon herself an oath — he did not do and not anything! In order that he will take her.</t>
  </si>
  <si>
    <t>מָה מָצִינוּ בְּכׇל מָקוֹם מַכְשִׁיר לְמַעְלָה, אַף כָּאן מַכְשִׁיר לְמַעְלָה.</t>
  </si>
  <si>
    <t>Just as we find in every instance facilitating item above so too here, facilitating item above</t>
  </si>
  <si>
    <t>What have we found in every place fit for above, so too here fit for above.</t>
  </si>
  <si>
    <t>What do we find in every place? It renders fit upward; so too here, it renders fit upward.</t>
  </si>
  <si>
    <t>אֵימָא סֵיפָא: יֵשׁ לָהּ זְכוּת הָיְתָה תּוֹלָה לָהּ, אֲתָאן לְרַבָּנַן, דְּאִי רַבִּי שִׁמְעוֹן, הָאָמַר: אֵין זְכוּת תּוֹלָה בַּמַּיִם הַמָּרִים!</t>
  </si>
  <si>
    <t>Say the latter clause she has merit, it delays for her. We arrive at the Rabbis, as, if Rabbi Shimon, didn’t he say: Merit does not delay in the bitter water</t>
  </si>
  <si>
    <t>Talmudic text: "Eima seifa: yesh lah zechut haytah tolah lah, atan l'rabbana, de'ei Rabbi Shimon, ha'amar: ein zechut tolah ba'mayim hamarim!" English translation: "Say the latter clause: she had merit, it was hanging for her, the sages came and said, if Rabbi Shimon, who said: merit does not hang in bitter waters!"</t>
  </si>
  <si>
    <t>Say the latter clause: “She has merit; her merit would suspend for her,” we have come to the Rabbanan; for if it is Rabbi Shim‘on, הרי he said: “Merit does not suspend in the bitter waters!”</t>
  </si>
  <si>
    <t>״אֶת פִּיתוֹם וְאֶת רַעַמְסֵס״. רַב וּשְׁמוּאֵל, חַד אָמַר: פִּיתוֹם שְׁמָהּ, וְלָמָּה נִקְרָא שְׁמָהּ רַעַמְסֵס — שֶׁרִאשׁוֹן רִאשׁוֹן מִתְרוֹסֵס. וְחַד אָמַר: רַעַמְסֵס שְׁמָהּ, וְלָמָּה נִקְרָא שְׁמָהּ פִּיתוֹם — שֶׁרִאשׁוֹן רִאשׁוֹן פִּי תְהוֹם בּוֹלְעוֹ.</t>
  </si>
  <si>
    <t>“Pithom and Raamses” Rav and Shmuel One says Pithom its name, and why was it called Raamses? that they collapsed [ mitroses ] one by one And one says Raamses its name, and why was it called Pithom? the opening of the abyss [ pi tehom ] swallowed one by one, and it sunk into the ground.</t>
  </si>
  <si>
    <t>"The depths and Ramses." Rav and Shmuel, one said: Its name is the depths, and why is its name called Ramses? Because it first swallows. And one said: Ramses is its name, and why is its name called the depths? Because it first swallows the depths."</t>
  </si>
  <si>
    <t>“‘Et Pitom ve’et Ra‘amses.’” Rav uShmuel, chad amar: Pitom shemah, velamah nikra shemah Ra‘amses — sherishon rishon mitroses. Vechad amar: Ra‘amses shemah, velamah nikra shemah Pitom — sherishon rishon pi tehom bol‘o.</t>
  </si>
  <si>
    <t xml:space="preserve">transliteration </t>
  </si>
  <si>
    <t>3.5 translates the name pithom</t>
  </si>
  <si>
    <t>בַּיָּרֵךְ הִתְחִילָּה בַּעֲבֵירָה וְכוּ׳. מְנָא הָנֵי מִילֵּי? אִילֵּימָא מִשּׁוּם דִּכְתִיב: ״בְּתֵת ה׳ אֶת יְרֵכֵךְ נוֹפֶלֶת וְאֶת בִּטְנֵךְ צָבָה״ — וְהָכְתִיב: ״וְצָבְתָה בִטְנָהּ וְנָפְלָה יְרֵכָהּ״?</t>
  </si>
  <si>
    <t>She began her transgression with thigh From where are these matters If we say because it is written when the Lord does make your thigh to fall away, and your belly to swell” but isn’t written “And her belly shall swell, and her thigh shall fall away”</t>
  </si>
  <si>
    <t>Talmudic text: Bayarech hitchilah ba'aveirah v'chu. Menah hanei milei? Ileima mishum dikhtiv: "Betei Hashem et yerechech nofelet v'et bitnech tzavah" - v'hakhtiv: "V'tzavtah bitnah v'nafelah yerechah"? English translation: In the thigh she began with transgression, etc. From where are these matters? If you say because it is written: "When the Lord makes your thigh fall and your belly swell" - and it is written: "Her belly swells and her thigh falls"?</t>
  </si>
  <si>
    <t>**IN THE THIGH it began with the transgression, etc.** From where are these words? If you will say, because it is written: “when HaShem gives your thigh falling and your belly swelling” — but is it not written: “and her belly shall swell and her thigh shall fall”?</t>
  </si>
  <si>
    <t>״וַיְמָרְרוּ אֶת חַיֵּיהֶם בַּעֲבֹדָה קָשָׁה בְּחֹמֶר וּבִלְבֵנִים וְגוֹ׳״, אָמַר רָבָא: בַּתְּחִילָּה ״בְּחוֹמֶר וּבִלְבֵנִים״, וּלְבַסּוֹף ״וּבְכׇל עֲבוֹדָה בַּשָּׂדֶה״.</t>
  </si>
  <si>
    <t>“And they made their lives bitter through hard service, with mortar and brick, Rava says: initially with mortar and bricks, and ultimately “and with every laborious service in the field.”</t>
  </si>
  <si>
    <t>"And they embittered their lives with hard labor, with clay and bricks, etc." Rava said: Initially "with clay and bricks," and ultimately "with all the work in the field."</t>
  </si>
  <si>
    <t>effective translation</t>
  </si>
  <si>
    <t>“‘And they embittered their lives with hard labor, with mortar and with bricks, etc.’;” Amar Rava: at the beginning, “with mortar and with bricks,” and at the end, “and with all labor in the field.”</t>
  </si>
  <si>
    <t>תָּנוּ רַבָּנַן: ״זֹאת תּוֹרַת הַקְּנָאֹת״, מְלַמֵּד שֶׁהָאִשָּׁה שׁוֹתָה וְשׁוֹנָה.</t>
  </si>
  <si>
    <t>The Sages taught: “This is the law of jealousy” teaches that the woman drinks and repeats,</t>
  </si>
  <si>
    <t>The sages taught: "This is the Torah of jealousy," teaches that a woman drinks and changes.</t>
  </si>
  <si>
    <t>It was taught by the Rabbis: “This is the law of the qena’ot,” teaches that the woman drinks and repeats.</t>
  </si>
  <si>
    <t>וְרַבִּי יְהוּדָה: ״זֹאת״ — לְמַעוֹטֵי תַּרְתֵּי, ״תּוֹרַת״ — לְרַבּוֹת תַּרְתֵּי. ״זֹאת״ לְמַעוֹטֵי תַּרְתֵּי — אִישׁ אֶחָד וּבוֹעֵל אֶחָד, אִישׁ אֶחָד וּשְׁנֵי בּוֹעֲלִין, ״תּוֹרַת״ — לְרַבּוֹיֵי תַּרְתֵּי, שְׁנֵי אֲנָשִׁים וּבוֹעֵל אֶחָד, שְׁנֵי אֲנָשִׁים וּשְׁנֵי בּוֹעֲלִין.</t>
  </si>
  <si>
    <t>And Rabbi Yehuda “this” to exclude two “the law of to include two. “this” to exclude two one husband and one paramour one husband and two paramours. “the law of to include two two husbands and one paramour, two husbands and two paramours.</t>
  </si>
  <si>
    <t>Rabbi Yehuda: "This" — to exclude two, "instruction" — to include two. "This" to exclude two — one man and one woman, one man and two women, "instruction" — to include two, two men and one woman, two men and two women.</t>
  </si>
  <si>
    <t>And Rabbi Yehudah: “This” — to exclude two; “Torat” — to include two. “This” to exclude two — one man and one bo’el, one man and two bo’alin; “Torat” — to include two, two men and one bo’el, two men and two bo’alin.</t>
  </si>
  <si>
    <t>אִיצְטְרִיךְ, סָלְקָא דַּעְתָּךְ אָמֵינָא: אֵין נֶאֱמָן בָּהּ — עַד דְּאִיכָּא תְּרֵי, וּבִתְרֵי נָמֵי ״הִיא דְּלֹא נִתְפָּשָׂה״, קָא מַשְׁמַע לַן.</t>
  </si>
  <si>
    <t>was necessary enter your mind to say is not deemed credible with regard to her, until there are two and with two witnesses as well, it is when she was not seized teaches us</t>
  </si>
  <si>
    <t>It is necessary, as your mind has raised: "He is not trustworthy in it" - until there are two, and with two, the phrase "she who was not caught" implies to us.</t>
  </si>
  <si>
    <t>אִיצְטְרִיךְ, it was necessary; סָלְקָא דַּעְתָּךְ אָמֵינָא: it עולה upon your mind, I would say: אֵין נֶאֱמָן בָּהּ — he is not believed about her — עַד דְּאִיכָּא תְּרֵי, until that there are two, וּבִתְרֵי נָמֵי ״הִיא דְּלֹא נִתְפָּשָׂה״, and with two also: “she that was not seized,” קָא מַשְׁמַע לַן. it comes to teach us.</t>
  </si>
  <si>
    <t xml:space="preserve">This is keeping many of the technical terms, like "סָלְקָא דַּעְתָּךְ" in Hebrew, but then it also translates them, for example, אֵין נֶאֱמָן בָּהּ — he is not believed about her. It is doing the same thing wtih the Hebrew word "To come up" - introducing a Hebrew word to "translate" the text. </t>
  </si>
  <si>
    <t>Yes, maybe some strange guardrail, again it comes with 'olah. So far there are sentences with correct translations, with new hebrew words, with hebrew transliterated in Latin script and untranslated hebrew with english translations together with the Hebrew</t>
  </si>
  <si>
    <t>״יְרָא אֶת ה׳ בְּנִי וָמֶלֶךְ עִם שׁוֹנִים אַל תִּתְעָרָב״, אָמַר רַבִּי יִצְחָק: אֵלּוּ שֶׁשּׁוֹנִים הֲלָכוֹת. פְּשִׁיטָא! מַהוּ דְּתֵימָא — שׁוֹנִין בְּחֵטְא, וְכִדְרַב הוּנָא. דְּאָמַר רַב הוּנָא: כֵּיוָן שֶׁעָבַר אָדָם עֲבֵירָה וְשָׁנָה בָּהּ — הוּתְּרָה לוֹ, קָא מַשְׁמַע לַן.</t>
  </si>
  <si>
    <t>“My son, fear the Lord and the king; and meddle not with those who are repeating” Rabbi Yitzḥak says: These are who repeatedly learn halakhot Isn’t obvious? lest you say repeatedly sins, and in accordance with Rav Huna, as Rav Huna says: Once a person committed a transgression and repeated it, it became permitted for him. teaches us</t>
  </si>
  <si>
    <t>"Talmudic text: 'Fear Hashem, my son, and the king, and do not mix with those who change.' Rabbi Yitzchak said: These are the laws of changing. It is obvious! What might you have thought? That they change with sin, as Rav Huna said: For Rav Huna said: Once a person commits a sin and repeats it, it becomes permitted to him, as it is evident to us."</t>
  </si>
  <si>
    <t>“‘Fear Hashem, my son, and the king; with shonim do not mingle’” — said Rabbi Yitzḥak: these are those who shonim halakhot. Obvious! What is it that you would say — shonim in sin, and as Rav Huna. For Rav Huna said: since a man transgressed a transgression and repeated it — it was permitted to him; it teaches us.</t>
  </si>
  <si>
    <t>בִּשְׁלָמָא יְהוּדָה דְּאוֹדִי, כִּי הֵיכִי דְּלֹא תִּישָּׂרֵף תָּמָר. אֶלָּא רְאוּבֵן, לְמָה לֵיהּ דְּאוֹדִי? וְהָאָמַר רַב שֵׁשֶׁת: חֲצִיף עֲלַי דִּמְפָרֵיט חֶטְאֵיהּ? כִּי הֵיכִי דְּלָא לִיחַשְׁדוּ אֲחוֹהִי.</t>
  </si>
  <si>
    <t>Granted, Judah, that he admitted in order that Tamar not be burned But why did Reuben admit But didn’t Rav Sheshet say: I who specifies his sins brazen, in order that his brothers should not be suspected</t>
  </si>
  <si>
    <t>In truth, Judah of Odai, how so that the date palm should not be burned? Rather, Reuben, why is it that it should be burned? And Rav Sheshet said: Is it not enough for him that he transgresses his sins? How so that his brothers should not suspect him.</t>
  </si>
  <si>
    <t>Granted, Yehudah who confessed, so that Tamar should not be burned. But Re’uven, for what did he need to confess? But did not Rav Sheshet say: Is he insolent toward me, that he details his sins? So that his brothers should not suspect him.</t>
  </si>
  <si>
    <t>אָמַר אַבָּיֵי: שֶׁמָּא תִּפְרוֹס נִדָּה. לְמֵימְרָא דְּבִיעֲתוּתָא מְרַפְּיָא? אִין, דִּכְתִיב: ״וַתִּתְחַלְחַל הַמַּלְכָּה מְאֹד״, וְאָמַר רַב: שֶׁפֵּירְסָה נִדָּה. וְהָא אֲנַן תְּנַן: חֲרָדָה מְסַלֶּקֶת דָּמִים! פַּחְדָּא צָמֵית, בִּיעֲתוּתָא מְרַפְּיָא.</t>
  </si>
  <si>
    <t>Abaye said: lest begin to menstruate, Is this to say that fear causes relaxation Yes, as it is written: “And the Queen was exceedingly pained” and Rav says: she began to menstruate. But didn’t we learn trepidation eliminates blood? Trepidation contracts fear relaxes</t>
  </si>
  <si>
    <t>Abaye said: Perhaps she will spread menstrual impurity. Is it to say that the fear of miscarriage is effective? No, as it is written: "And the queen became greatly alarmed," and Rav said: She spread menstrual impurity. But do we not learn: Fear removes blood! Fear of death is effective, but the fear of miscarriage is not.</t>
  </si>
  <si>
    <t>אָמַר אַבָּיֵי: Abaye said: שֶׁמָּא תִּפְרוֹס נִדָּה. perhaps she will begin Nidda. לְמֵימְרָא דְּבִיעֲתוּתָא מְרַפְּיָא? Is it to say that fright loosens? אִין, Yes, דִּכְתִיב: as it is written: ״וַתִּתְחַלְחַל הַמַּלְכָּה מְאֹד״, “And the queen was exceedingly terrified,” וְאָמַר רַב: and Rav said: שֶׁפֵּירְסָה נִדָּה. that she began Nidda. וְהָא אֲנַן תְּנַן: But did we not learn: חֲרָדָה מְסַלֶּקֶת דָּמִים! trembling removes blood! פַּחְדָּא צָמֵית, fear contracts, בִּיעֲתוּתָא מְרַפְּיָא. fright loosens.</t>
  </si>
  <si>
    <t>תַּלְמִידֵי חֲכָמִים — אִין, כּוּלֵּי עָלְמָא — לָא. לֵימָא מְסַיַּיע לֵיהּ לְאִידַּךְ דְּרַב, דְּאָמַר רַב יְהוּדָה אָמַר רַב: לֹא שָׁנוּ אֶלָּא כְּשֵׁרִין, אֲבָל פְּרוּצִין, אֲפִילּוּ עֲשָׂרָה נָמֵי לָא. מַעֲשֶׂה הָיָה וְהוֹצִיאוּהָ עֲשָׂרָה בְּמִטָּה.</t>
  </si>
  <si>
    <t>Torah scholars, yes; anyone no. Let us say supports another of Rav, as Rav Yehuda says Rav says: they taught only to fit But those of loose morals, not even with ten There was an incident and ten carried out on a bier,</t>
  </si>
  <si>
    <t>Students of the sages — yes, everyone else — no. Let us say that he assists the other opinion of Rav, for Rav Yehudah said in the name of Rav: They only did not specify regarding kosher ones, but regarding non-kosher ones, even ten are not permitted. There was an incident, and they took it out with ten people in a bed.</t>
  </si>
  <si>
    <t>Talmidei Ḥakhamim — yes; all the world — no. Let us say he supports that other one of Rav, as Rav Yehuda said Rav said: They taught only fit ones, but licentious ones, even ten also no. An incident was, and ten took her out on a bed.</t>
  </si>
  <si>
    <t>תַּנָּא קַמָּא סָבַר: ״תּוֹרַת״ — לְרַבּוֹיֵי כּוּלְּהִי, ״זֹאת״ — לְמַעוֹטֵי אִישׁ אֶחָד וּבוֹעֵל אֶחָד.</t>
  </si>
  <si>
    <t>The first tanna holds “the law of to include all of these “this” to exclude one husband and one paramour,</t>
  </si>
  <si>
    <t>The first Tanna holds: "Torat" - to include all, "zot" - to exclude one man and one woman.</t>
  </si>
  <si>
    <t>Tanna qamma holds: “torat” — to include all of them; “zot” — to exclude one man and one cohabiter.</t>
  </si>
  <si>
    <t>מַתְנִי׳ עַל מָה הִיא אוֹמֶרֶת ״אָמֵן״ ״אָמֵן״ — אָמֵן עַל הָאָלָה, אָמֵן עַל הַשְּׁבוּעָה. אָמֵן מֵאִישׁ זֶה, אָמֵן מֵאִישׁ אַחֵר. אָמֵן שֶׁלֹּא שָׂטִיתִי אֲרוּסָה וּנְשׂוּאָה</t>
  </si>
  <si>
    <t>With regard to what does she say: “Amen, amen” Amen on the curse, amen on the oath, Amen with this man amen with another man. Amen that I did not stray betrothed nor married,</t>
  </si>
  <si>
    <t>The Mishnah teaches: On what does she say "Amen, Amen"? "Amen" for a curse, "Amen" for an oath. "Amen" from this man, "Amen" from another man. "Amen" that I did not seduce a betrothed maiden or a married woman.</t>
  </si>
  <si>
    <t>**Mishnah:** Over what does she say “amen”? “Amen” — amen over the imprecation, amen over the oath. Amen from this man, amen from another man. Amen that I did not go astray as an arusah and as a nesu’ah.</t>
  </si>
  <si>
    <t>וְרַבִּי יְהוּדָה — כּוּלְּהוּ בְּמִיעוּטֵי דָּרֵישׁ לְהוּ. ״אָלוֹת״ — אָלוֹת מַמָּשׁ. ״הָאָלוֹת״ — לְמַעוֹטֵי קְלָלוֹת הַבָּאוֹת מֵחֲמַת בְּרָכוֹת. ״אֵלֶּה״ — לְמַעוֹטֵי קְלָלוֹת שֶׁבְּמִשְׁנֵה תוֹרָה. ״הָאֵלֶּה״ — לְמַעוֹטֵי צַוּוֹאוֹת וְקַבָּלוֹת.</t>
  </si>
  <si>
    <t>And Rabbi Yehuda, he interprets all of as exclusionary: “ alot ” actual curses “ ha’alot ” to exclude curses that come on account of blessings. “ eleh ” to exclude the curses in Mishne Torah . “ ha’eleh ” to exclude commands and acceptances</t>
  </si>
  <si>
    <t>Rabbi Yehuda - all of them in the minority of interpretation to him. "Curses" - actual curses. "The curses" - to exclude the lighter curses that come as a result of blessings. "These" - to exclude the curses in the Mishnah Torah. "The these" - to exclude commandments and traditions.</t>
  </si>
  <si>
    <t>And Rabbi Yehudah — all of them he expounds by exclusions. “Alot” — alot ממש. “Ha’alot” — to exclude the curses that come because of blessings. “Elleh” — to exclude the curses that are in Mishneh Torah. “Ha’elleh” — to exclude commands and acceptances.</t>
  </si>
  <si>
    <t>עַד דְּאִיכָּא תְּרֵי? לִישְׁתּוֹק קְרָא מִינֵּיהּ. דְּאָתְיָא ״דָּבָר״ ״דָּבָר״ מִמָּמוֹן. וַאֲנָא יָדַעְנָא, מִידֵּי דְּהָוֵה אַכׇּל עֵדֻיוֹת שֶׁבַּתּוֹרָה!</t>
  </si>
  <si>
    <t>until there are two witnesses let the verse be silent from as is derived from “matter” “matter” monetary matters. And I know just as it does in all testimony in the Torah.</t>
  </si>
  <si>
    <t>Until there are two? To silence a verse from it. For it is stated "word" "word" from money. And I know, since he was eating testimonies in the Torah!</t>
  </si>
  <si>
    <t>Until that there are two? Let the verse be silent from it. For it comes: “davar” “davar” from mamon. And I know: a thing that is like all testimonies that are in the Torah!</t>
  </si>
  <si>
    <t>בִּשְׁלָמָא בִּיהוּדָה אַשְׁכְּחַן דְּאוֹדִי, דִּכְתִיב: ״וַיַּכֵּר יְהוּדָה וַיֹּאמֶר צָדְקָה מִמֶּנִּי״, אֶלָּא רְאוּבֵן מְנָלַן דְּאוֹדִי?</t>
  </si>
  <si>
    <t>Granted, with regard to Judah we have found that he admitted as it is written: “And Judah acknowledged them and said: She is more righteous than I” But from where do we that Reuben admitted</t>
  </si>
  <si>
    <t>In Shilma by Judah, I found a teaching that says: "And Judah acknowledged and said, 'She is more righteous than I.'" But where do we find that Reuben acknowledged?</t>
  </si>
  <si>
    <t>Granted, in Yehudah we find that he admitted, as it is written: “And Yehudah recognized and said: She is more righteous than I”; but Re’uven, from where do we have that he admitted?</t>
  </si>
  <si>
    <t>וְהָא לָא חֲזוֹ? אָמַר רַבִּי תַּנְחוּם: כָּרֵס נַעֲשָׂה לָהֶן כְּאַסְפַּקְלַרְיָא הַמְּאִירָה וְרָאוּ.</t>
  </si>
  <si>
    <t>But could not see, Rabbi Tanḥum says: stomach was transformed for them like luminous crystal [ aspaklarya ], and they saw</t>
  </si>
  <si>
    <t>The Gemara asks: But did they not see? Rabbi Tanhum said: A miracle was performed for them like the lens of a bright lantern, and they saw.</t>
  </si>
  <si>
    <t>But did they not see? Amar Rabbi Tanḥum: the belly became for them like an *aspaklarya* that shines, and they saw.</t>
  </si>
  <si>
    <t>עַד שֶׁלֹּא נִמְחֲקָה מְגִילָּה. אֶלָּא מַאי מַשְׁקֶה לַהּ? אָמַר רַב אָשֵׁי: לֹא נִצְרְכָה לְשֶׁרִישּׁוּמוֹ נִיכָּר.</t>
  </si>
  <si>
    <t>until the scroll is erased. But what he give her to drink Rav Ashi says: No, is necessary for where the impression is discernible</t>
  </si>
  <si>
    <t>Until the scroll is not erased. But what does one give to her? Rav Ashe said: It did not need to be uprooted to be recognized.</t>
  </si>
  <si>
    <t>Until the Megillah was not erased. But rather, what does he give her to drink? Amar Rav Ashi: It was not needed except for that its impression is recognizable.</t>
  </si>
  <si>
    <t>אָמַר רַב חִסְדָּא: הָא מַנִּי — רַבִּי עֲקִיבָא הִיא, דְּאָמַר: מַקְרִיב אֶת מִנְחָתָהּ וְאַחַר כָּךְ מַשְׁקָהּ, וּבִזְכוּת סָבַר לַהּ כְּרַבָּנַן.</t>
  </si>
  <si>
    <t>Rav Ḥisda said: whose is this It is Rabbi Akiva, who says: sacrifices her meal-offering and afterward forces her to drink. and with regard to merit he holds in accordance with the Rabbis.</t>
  </si>
  <si>
    <t>Rav Ḥisda said: This is the teaching of Rabbi Akiva, as he said: "She should bring her meal offering and then drink," and in the merit of this, he holds like the Rabbis.</t>
  </si>
  <si>
    <t>אָמַר רַב חִסְדָּא: Rav Ḥisda said: הָא מַנִּי — who is this? — רַבִּי עֲקִיבָא הִיא, it is Rabbi Akiva, דְּאָמַר: who said: מַקְרִיב אֶת מִנְחָתָהּ וְאַחַר כָּךְ מַשְׁקָהּ, he offers her meal-offering and afterward gives her to drink, וּבִזְכוּת סָבַר לַהּ כְּרַבָּנַן. and in the merit he held it like the Rabbanan.</t>
  </si>
  <si>
    <t>״וַתֹּאמַרְןָ הַמְיַלְּדוֹת אֶל פַּרְעֹה כִּי לֹא כַנָּשִׁים וְגוֹ׳״. מַאי ״חָיוֹת״? אִילֵימָא חַיּוֹת מַמָּשׁ, אַטּוּ חַיָּה מִי לָא צְרִיכָה חַיָּה אַחֲרִיתִי לְאוֹלוֹדַהּ?</t>
  </si>
  <si>
    <t>“And the midwives said to Pharaoh: Because are not as the women, What “ ḥayot ”? If we say actual midwives is that to say a midwife does not need another midwife to help her give birth?</t>
  </si>
  <si>
    <t>"And the midwives said to Pharaoh, 'Because the Hebrew women are not like the Egyptian women.'" What is meant by "חָיוֹת"? If you say actual animals, then does an animal need another animal to give birth to it?</t>
  </si>
  <si>
    <t>“‘And the midwives said to Par‘oh: For they are not like the women, etc.’” What is “ḥayot”? If we say: actual animals, is that so—does an animal not need another animal to give birth to it?</t>
  </si>
  <si>
    <t>דְּרַבָּנַן אַדְּרַבָּנַן נָמֵי לָא קַשְׁיָא. הָכָא טַעְמָא מַאי? מִשּׁוּם ״וְנִוַּסְּרוּ כׇּל הַנָּשִׁים״. הָתָם — אֵין לְךָ יִיסּוּר גָּדוֹל מִזֶּה.</t>
  </si>
  <si>
    <t>of the Rabbis and of the Rabbis not difficult as well. Here, what is the reason Because that all women may be chastened There, you have no greater chastening than this</t>
  </si>
  <si>
    <t>The sages of the sages, it is not difficult. What is the reason here? Because of "and all the women will be saved." There — you have no greater suffering than this.</t>
  </si>
  <si>
    <t>דְּרַבָּנַן אַדְּרַבָּנַן נָמֵי לָא קַשְׁיָא. Of the Rabbanan against the Rabbanan also it is not difficult. הָכָא טַעְמָא מַאי? מִשּׁוּם ״וְנִוַּסְּרוּ כׇּל הַנָּשִׁים״. Here, the reason—what? Because of “and all the women shall be chastened.” הָתָם — אֵין לְךָ יִיסּוּר גָּדוֹל מִזֶּה. There— you have no chastisement greater than this.</t>
  </si>
  <si>
    <t xml:space="preserve">GPT 5 again keeps the Hebrew terms to show the translation at every couple of words. </t>
  </si>
  <si>
    <t>sigh...</t>
  </si>
  <si>
    <t>וְכַמָּה שִׁיעוּר סְתִירָה? כְּדֵי טוּמְאָה, כְּדֵי בִיאָה, כְּדֵי הַעֲרָאָה.</t>
  </si>
  <si>
    <t>And what is the measure of seclusion, equivalent defilement, equivalent intercourse, equivalent initial stage of intercourse.</t>
  </si>
  <si>
    <t>And how much is the measure of contradiction? The amount for impurity, the amount for intercourse, the amount for sight.</t>
  </si>
  <si>
    <t>And how much is the measure of seclusion? Enough for defilement, enough for intercourse, enough for initial penetration.</t>
  </si>
  <si>
    <t>וּכְבָר שָׁלְחָה מַלְכוּת הָרְשָׁעָה אֵצֶל</t>
  </si>
  <si>
    <t>And the evil monarchy already sent to</t>
  </si>
  <si>
    <t>And as the kingdom of wickedness had already sent to...</t>
  </si>
  <si>
    <t>And already the wicked kingdom sent to אצל</t>
  </si>
  <si>
    <t>הֵיכִי דָּמֵי שְׁבוּעָה שֶׁיֵּשׁ עִמָּהּ אָלָה? אָמַר רַב עַמְרָם אָמַר רַב: ״מַשְׁבִּיעַנִי עָלַיִךְ שֶׁלֹּא נִטְמֵאת, שֶׁאִם נִטְמֵאת יָבוֹאוּ בִּיךְ״.</t>
  </si>
  <si>
    <t>What are the circumstances an oath that has a curse with it? Rav Amram says Rav says: I administer an oath to you that you were not defiled, as, if you were defiled, will come upon you.</t>
  </si>
  <si>
    <t>"How are the oaths of a woman who has with her a curse? Rav Amram said in the name of Rav: 'You shall swear me by you that you have not defiled, for if you have defiled, they shall come upon you.'"</t>
  </si>
  <si>
    <t>What are the circumstances of an oath that has with it an imprecation? Amar Rav Amram amar Rav: “I administer an oath upon you that you did not become defiled, for if you did become defiled, may they come upon you.”</t>
  </si>
  <si>
    <t>״וַיֵּלֶךְ מֹשֶׁה וִיהוֹשֻׁעַ וַיִּתְיַצְּבוּ בְּאֹהֶל מוֹעֵד״. תָּנָא: אוֹתָהּ שַׁבָּת שֶׁל דְּיוֹ זוּגֵי הָיְתָה, נִיטְּלָה רְשׁוּת מִזֶּה, וְנִיתְּנָה לָזֶה.</t>
  </si>
  <si>
    <t>“And Moses and Joshua went, and presented themselves in the Tent of Meeting” taught: That Sabbath was of two pairs [ deyo zugei ], Authority was taken from one and given to the other.</t>
  </si>
  <si>
    <t>"And Moses went, and Joshua, and they stood in the Tent of Meeting." It was taught: On that Sabbath eve, pairs were created, authority was removed from here, and given to there.</t>
  </si>
  <si>
    <t>“‘And Moshe went, and Yehoshu’a, and they stationed themselves in the Tent of Meeting.’ (Devarim 31:14). Tana: that Shabbat was of the day of the pairs; permission was taken from this one, and was given to that one.”</t>
  </si>
  <si>
    <t>וְכׇל הָנֵי לְמָה לִי?</t>
  </si>
  <si>
    <t>And why do I all these</t>
  </si>
  <si>
    <t>And all these, why to me?</t>
  </si>
  <si>
    <t>And all these, for what are they for me?</t>
  </si>
  <si>
    <t>״הָבָה נִתְחַכְּמָה לוֹ״. ״לָהֶם״ מִיבְּעֵי לֵיהּ! אָמַר רַבִּי חָמָא בְּרַבִּי חֲנִינָא: בֹּאוּ וְנֶחְכַּם לְמוֹשִׁיעָן שֶׁל יִשְׂרָאֵל —</t>
  </si>
  <si>
    <t>“Come, let us deal wisely with him [ lo ], He should have With them [ lahem ], Rabbi Ḥama, son of Rabbi Ḥanina, says Come, let us deal wisely with regard to the savior of Israel,</t>
  </si>
  <si>
    <t>"Let us be wise for him." "For them" - who needs it! Rabbi Ḥama son of Rabbi Ḥanina said: Come, let us be wise for the Savior of Israel —</t>
  </si>
  <si>
    <t>“Come, let us deal wisely with him.” “With them” it is required for it! Amar Rabbi Ḥama be-Rabbi Ḥanina: Come and let us deal wisely with the savior of Yisrael —</t>
  </si>
  <si>
    <t>וְנוֹתְנָהּ לִכְלֵי שָׁרֵת, וּמְקַדְּשָׁהּ בִּכְלִי שָׁרֵת. שָׁמְעַתְּ מִינַּהּ — כְּלִי שָׁרֵת אֵין מְקַדְּשִׁין אֶלָּא מִדַּעַת? אֵימָא: נוֹתְנָהּ בִּכְלִי שָׁרֵת לְקַדְּשָׁהּ בִּכְלִי שָׁרֵת.</t>
  </si>
  <si>
    <t>He places it in a service vessel and sanctifies it in service vessel. learn from service vessels can sanctify only with intention? Say: He places it in the service vessel to sanctify it in the service vessel.</t>
  </si>
  <si>
    <t>And she shall place it in the vessels of the service, and sanctify it in the vessels of the service. You heard from it - the vessels of the service only sanctify with intent? Say: She shall place it in the vessels of the service to sanctify it in the vessels of the service.</t>
  </si>
  <si>
    <t>and he gives it to *klei sharet*, and he sanctifies it with a *kli sharet*. you infer from it — *klei sharet* do not sanctify except with intent? say: he gives it in a *kli sharet* to sanctify it with a *kli sharet*.</t>
  </si>
  <si>
    <t>again, 3.5 knows the word. And "place" by 3.5 looks more natural than "give" by 5 here</t>
  </si>
  <si>
    <t>שֶׁקָּרָא וְשָׁנָה וְלֹא שִׁימֵּשׁ תַּלְמִידֵי חֲכָמִים.</t>
  </si>
  <si>
    <t>who read and learned but did not serve Torah scholars</t>
  </si>
  <si>
    <t>He read and repeated but did not understand the students of the sages.</t>
  </si>
  <si>
    <t>that he read and repeated, and did not serve talmidei ḥakhamim.</t>
  </si>
  <si>
    <t>״וְכַאֲשֶׁר יְעַנּוּ אוֹתוֹ כֵּן יִרְבֶּה וְכֵן יִפְרוֹץ״. ״כֵּן רַבּוּ וְכֵן פָּרְצוּ״ מִיבְּעֵי לֵיהּ! אָמַר רֵישׁ לָקִישׁ: רוּחַ הַקֹּדֶשׁ מְבַשַּׂרְתָּן: ״כֵּן יִרְבֶּה וְכֵן יִפְרוֹץ״. ״וַיָּקֻצוּ מִפְּנֵי בְּנֵי יִשְׂרָאֵל״, מְלַמֵּד שֶׁהָיוּ דּוֹמִין בְּעֵינֵיהֶם כְּקוֹצִים.</t>
  </si>
  <si>
    <t>“But the more they afflicted him, the more he would multiply and the more he would spread about” It should have The more they multiplied and the more they spread about, Reish Lakish says: Divine inspiration proclaimed to the more he will multiply and the more he will spread about. “And they became disgusted [ vayyakutzu ] due to the children of Israel.” teaches that appeared in their eyes like thorns [ kotzim ].</t>
  </si>
  <si>
    <t>"And as he afflicted him, so he multiplied and so he broke forth." "So they increased and so they spread out." What does he want with this? Reish Lakish said: The Holy Spirit proclaims: "So he multiplied and so he broke forth." "And they were loathsome before the children of Israel," teaching that they appeared in their eyes like thorns.</t>
  </si>
  <si>
    <t>“‘And as they afflicted him, so he would increase, and so he would spread forth.’ ‘So they increased, and so they spread forth’ it should have said! אמר Reish Lakish: Ru’aḥ ha-Qodesh is announcing them: ‘So he would increase, and so he would spread forth.’ ‘And they were disgusted because of the children of Yisrael,’ teaches that they were resembling in their eyes like thorns.”</t>
  </si>
  <si>
    <t>מַאי טַעְמָא דְּרַבִּי יִשְׁמָעֵאל — אַיְּידֵי דִּכְתִיב ״לֹא תְחַיֶּה כׇּל נְשָׁמָה״, אִיצְטְרִיךְ נָמֵי לְמִיכְתַּב ״לְעֹלָם בָּהֶם תַּעֲבֹדוּ״, לְמִישְׁרֵי אֶחָד מִכׇּל הָאוּמּוֹת שֶׁבָּא עַל הַכְּנַעֲנִית וְהוֹלִיד מִמֶּנָּה בֵּן, שֶׁאַתָּה רַשַּׁאי לִקְנוֹתוֹ.</t>
  </si>
  <si>
    <t>What is the reason of Rabbi Yishmael? Since it is written “You shall save alive nothing that breathes” it was necessary to write: “Of them may you take your bondmen forever” as well, to permit one from any of the nations who engaged in sexual intercourse with a Canaanite woman and she bore him a child. that you are permitted to purchase</t>
  </si>
  <si>
    <t>What is the reason for Rabbi Yishmael's opinion? - Because it is written, "You shall not let any soul live," it was also necessary for it to be written, "You shall serve them forever," to permit marrying one from all the nations that came upon the Canaanite and fathered a son from her, so that you are permitted to acquire him.</t>
  </si>
  <si>
    <t>What is the reason of Rabbi Yishma’el? — Since it is written: “You shall not let live any soul,” it was necessary also to write: “Forever in them you shall serve,” to permit one from all the nations who came upon the Kena’anit and begot from her a son, that you are permitted to acquire him.</t>
  </si>
  <si>
    <t>מִיָּד: ״שְׁמַע ה׳ קוֹל יְהוּדָה״, עָל אֵיבְרֵיהּ לְשָׁפָא. וְלָא הֲוָה קָא מְעַיְּילִין לֵיהּ לִמְתִיבְתָּא דִרְקִיעָא, ״וְאֶל עַמּוֹ תְּבִיאֶנּוּ״. וְלָא הֲוָה קָא יָדַע מִשְׁקַל וּמִטְרַח בִּשְׁמַעְתָּא בַּהֲדֵי רַבָּנַן, ״יָדָיו רָב לוֹ״. לָא הֲוָה קָא סָלְקָא לֵיהּ שְׁמַעְתָּא אַלִּיבָּא דְהִילְכְתָא, ״וְעֵזֶר מִצָּרָיו תִּהְיֶה״.</t>
  </si>
  <si>
    <t>Immediately “Hear, Lord, the voice of Judah” His bones entered sockets [ shafa ], But did not elevate into the heavenly study hall. “And bring him in unto his people” but he did not know to deliberate with the sages. “His hands shall contend for him” he was unable to draw his discussion in accordance with the halakha . “And You shall be a help against his adversaries”</t>
  </si>
  <si>
    <t>Immediately: "Hear, O Lord, the voice of Judah," upon his limbs for healing. And they were not leading him to the bed of the firmament, "And to his people you shall bring him." And he did not know the weight and burden in the matter of hearing in the presence of the sages, "His hands shall be sufficient for him." The matter of hearing did not ascend to him on the way of his walking, "And he shall be a help against his adversaries."</t>
  </si>
  <si>
    <t>Immediately: “Hear, Hashem, the voice of Yehudah”; his limbs entered into healing. And they were not bringing him into the academy of the firmament: “And to his people You shall bring him.” And he was not knowing the weighing and the exertion in the teaching together with the Rabbanan: “His hands are sufficient for him.” His teaching was not ascending for him according to the heart of the halakhah: “And a help from his adversaries You shall be.”</t>
  </si>
  <si>
    <t>״וְיוֹסֵף הוּרַד מִצְרָיְמָה״. אָמַר רַבִּי אֶלְעָזָר: אַל תִּיקְרֵי ״הוּרַד״ אֶלָּא ״הוֹרִיד״, שֶׁהוֹרִיד אִיצְטַגְנִינֵי פַּרְעֹה מִגְּדוּלָּתָן.</t>
  </si>
  <si>
    <t>“And Joseph was brought down [ hurad ] to Egypt” Rabbi Elazar says: Do not read “ hurad ,” but horid , as brought down the astrologers [ itztagninei ] of Pharaoh from their eminence</t>
  </si>
  <si>
    <t>"And Joseph was brought down to Egypt." Rabbi Elazar said: Do not read "brought down" (הוּרַד), but rather "made to descend" (הוֹרִיד), for he made Pharaoh's officers descend from their greatness.</t>
  </si>
  <si>
    <t>“‘And Yosef was brought down to Egypt.’” Amar Rabbi El‘azar: Do not read “hurad” but rather “horid,” for he brought down the itztagninei Par‘oh from their greatness.</t>
  </si>
  <si>
    <t>גְּמָ׳ אָמַר רַב הַמְנוּנָא: שׁוֹמֶרֶת יָבָם שֶׁזִּינְּתָה — אֲסוּרָה לִיבָמָהּ. מִמַּאי — מִדְּקָתָנֵי שׁוֹמֶרֶת יָבָם וּכְנוּסָה.</t>
  </si>
  <si>
    <t>Rav Hamnuna says: a widow awaiting her yavam who committed adultery, she forbidden to her yavam . From where from that teaches: Nor as a widow waiting for my yavam nor married</t>
  </si>
  <si>
    <t>Gemara: Rav Hamnuna said: A yevamah who committed adultery - it is forbidden for her yavam. From where? - From the fact that it is taught "a yevamah who guards herself and is gathered in."</t>
  </si>
  <si>
    <t>GEMARA: Amar Rav Hamnuna: Shomeret yavam that committed harlotry — she is forbidden to her yavam. From where? — from that it teaches: shomeret yavam and kenusah.</t>
  </si>
  <si>
    <t>אָמַר אֲבוּהּ דִּשְׁמוּאֵל: צָרִיךְ שֶׁיִּתֵּן מַר לְתוֹךְ הַמַּיִם. מַאי טַעְמָא — דְּאָמַר קְרָא: ״מֵי הַמָּרִים״, שֶׁמָּרִים כְּבָר.</t>
  </si>
  <si>
    <t>Shmuel’s father says: necessary to put a bitter into the water What is the reason as the verse states: the water of bitterness” that are already bitter</t>
  </si>
  <si>
    <t>Said father of Shmuel: necessary that he give bitter into the water. What reason? - that said verse: "bitter waters," they are already bitter.</t>
  </si>
  <si>
    <t>אָמַר אֲבוּהּ דִּשְׁמוּאֵל: Abbuha d’Shmuel said: צָרִיךְ שֶׁיִּתֵּן מַר לְתוֹךְ הַמַּיִם. it is necessary that he put mar into the water. מַאי טַעְמָא — what is the reason? דְּאָמַר קְרָא: for the verse said: ״מֵי הַמָּרִים״, “the waters of bitterness,” שֶׁמָּרִים כְּבָר. that they are already bitter.</t>
  </si>
  <si>
    <t xml:space="preserve">GPT 5 translates every couple of phrases, making the BLUE Score lower. </t>
  </si>
  <si>
    <t>3.5 uses the Hebrew word order "said father" which is a bit weird.</t>
  </si>
  <si>
    <t>רַבִּי יְהוֹשֻׁעַ אוֹמֵר: עַד שֶׁיִּשְׂאוּ וְיִתְּנוּ בָּהּ מוֹזְרוֹת בַּלְּבָנָה.</t>
  </si>
  <si>
    <t>Rabbi Yehoshua says: until spin by light of the moon discuss her</t>
  </si>
  <si>
    <t>Rabbi Yehoshua says: Until they lift and place in it (the basket) the straps in the moon.</t>
  </si>
  <si>
    <t>Rabbi Yehoshu’a says: until they carry and give in it *mozrot* in the moon.</t>
  </si>
  <si>
    <t>אָמַר רָבָא: הַאי ״נֶפֶשׁ יְקָרָה״ — ״נֶפֶשׁ גְּבוֹהָה״ מִיבְּעֵי לֵיהּ. וְעוֹד: ״הִיא תָּצוּד״ מִיבְּעֵי לֵיהּ! אֶלָּא אָמַר רָבָא: כׇּל הַבָּא עַל אֵשֶׁת אִישׁ, אֲפִילּוּ לָמַד תּוֹרָה דִּכְתִיב בַּהּ ״יְקָרָה הִיא מִפְּנִינִים״, מִכֹּהֵן גָּדוֹל שֶׁנִּכְנָס לִפְנַי וְלִפְנִים, ״הִיא תְּצוּדֶנּוּ״ — לְדִינָהּ שֶׁל גֵּיהִנָּם.</t>
  </si>
  <si>
    <t>Rava said: This “The precious life,” It should have An arrogant life. And further, it should have she hunts Rather, Rava says Anyone who engages in sexual intercourse with an adulteress, even studied Torah, about which it is written: “She is more precious than rubies [ peninim ]” than a High Priest, who enters the innermost sanctum, this will entrap him into the judgment of Gehenna,</t>
  </si>
  <si>
    <t>Rava said: This "precious soul" — it requires a "high soul" for it. And furthermore: "She will pursue him" — it requires her! Rather, Rava said: Anyone who engages in relations with a married woman, even if he has studied Torah, as it is written regarding her, "She is more precious than pearls," for a High Priest who enters before and behind, "She will pursue him" — to her judgment in Gehenna.</t>
  </si>
  <si>
    <t>אָמַר רָבָא: Rava said: הַאי ״נֶפֶשׁ יְקָרָה״ — this “a precious soul” — ״נֶפֶשׁ גְּבוֹהָה״ מִיבְּעֵי לֵיהּ. “a lofty soul” it is required for it. וְעוֹד: and furthermore: ״הִיא תָּצוּד״ מִיבְּעֵי לֵיהּ! “she will hunt” it is required for it! אֶלָּא אָמַר רָבָא: rather, Rava said: כׇּל הַבָּא עַל אֵשֶׁת אִישׁ, anyone who comes upon a married woman, אֲפִילּוּ לָמַד תּוֹרָה even if he learned Torah דִּכְתִיב בַּהּ for it is written about it: ״יְקָרָה הִיא מִפְּנִינִים״, “She is more precious than pearls,” מִכֹּהֵן גָּדוֹל than a Kohen Gadol שֶׁנִּכְנָס לִפְנַי וְלִפְנִים, who enters within and within, ״הִיא תְּצוּדֶנּוּ״ — “she will hunt him” — לְדִינָהּ שֶׁל גֵּיהִנָּם. to the judgment of Gehinnam.</t>
  </si>
  <si>
    <t>תָּנוּ רַבָּנַן, בּוֹ בַּיּוֹם דָּרַשׁ רַבִּי עֲקִיבָא: בְּשָׁעָה שֶׁעָלוּ יִשְׂרָאֵל מִן הַיָּם, נָתְנוּ עֵינֵיהֶם לוֹמַר שִׁירָה. וְכֵיצַד אָמְרוּ שִׁירָה — כְּגָדוֹל הַמַּקְרֶא אֶת הַלֵּל, וְהֵן עוֹנִין אַחֲרָיו רָאשֵׁי פְרָקִים. מֹשֶׁה אָמַר ״אָשִׁירָה לַה׳״, וְהֵן אוֹמְרִים ״אָשִׁירָה לַה׳״, מֹשֶׁה אָמַר ״כִּי גָאֹה גָּאָה״ וְהֵן אוֹמְרִים ״אָשִׁירָה לַה׳״.</t>
  </si>
  <si>
    <t>The Sages taught: On that same day Rabbi Akiva taught at the time that the Jewish people ascended from the sea they set their eyes on reciting a song And how did they recite song? as an adult man reciting hallel and recite after him the chapter headings Moses said: “I will sing unto the Lord” and said “I will sing unto the Lord.” Moses said: “For He is highly exalted” and they said “I will sing unto the Lord.”</t>
  </si>
  <si>
    <t>The Rabbis taught: On that day, Rabbi Akiva expounded: At the time when the Israelites ascended from the sea, they gave their eyes to say a song. And how did they say the song? - Like the leader who recites the Hallel, and they respond after him chapter heads. Moses said, "I will sing to the Lord," and they say, "I will sing to the Lord." Moses said, "For He is highly exalted," and they say, "I will sing to the Lord."</t>
  </si>
  <si>
    <t>The Rabbis taught: On that day Rabbi Akiva expounded: At the hour that Yisrael went up from the sea, they set their eyes to say song. And how did they say song? Like an adult who recites the Hallel, and they answer after him the beginnings of chapters. Moshe said: “I will sing to the LORD,” and they say: “I will sing to the LORD.” Moshe said: “for He has triumphed gloriously,” and they say: “I will sing to the LORD.”</t>
  </si>
  <si>
    <t>אָמַר רַב מָרִי בְּרֵיהּ דְּרַב כָּהֲנָא: דְּכוּלֵּי עָלְמָא אֵין שֵׁנִי עוֹשֶׂה שְׁלִישִׁי בְּחוּלִּין, וְהָכָא בְּחוּלִּין הַטְּבוּלִין לְחַלָּה קָמִיפַּלְגִי. מָר סָבַר: כְּחַלָּה דָּמוּ, וּמָר סָבַר: לָא כְּחַלָּה דָּמוּ.</t>
  </si>
  <si>
    <t>Rav Mari, son of Rav Kahana, said Everyone cannot impart to non-sacred items. But here, they disagree with regard to non-sacred untithed vis-à-vis ḥalla , Sage, holds it is like ḥalla and Sage, holds it is not like ḥalla</t>
  </si>
  <si>
    <t>Rav Mari, son of Rav Kahana, said: In all the world, one does not perform a third immersion with regard to ordinary ritual impurity, and here, with regard to ordinary ritual impurity, the tevulim people who have immersed in a mikvah but are still awaiting nightfall to complete their purification process are in dispute regarding chalalah a type of ritual impurity. Mar holds: It is considered like chalalah, and Mar holds: It is not like chalalah.</t>
  </si>
  <si>
    <t>אָמַר Rav Mari b’reih d’Rav Kahana: that of all the world, a sheni does not make a shelishi with chullin, and here with chullin that are tebulin for challah they are disputing. Mar savar: like challah they are similar, uMar savar: not like challah they are similar.</t>
  </si>
  <si>
    <t xml:space="preserve">There is a lot of transliteration in GPT 5 but it is readable. </t>
  </si>
  <si>
    <t>גְּמָ׳ אֲמַר לֵיהּ רַבִּי אֶלְעָזָר לְרַבִּי יֹאשִׁיָּה דְּדָרֵיהּ: לָא תֵּיתֵב אַכַּרְעָךְ עַד דִּמְפָרְשַׁתְּ לָהּ לְהָא מִילְּתָא: מִנַּיִן לְמִנְחַת סוֹטָה שֶׁטְּעוּנָה תְּנוּפָה? מְנָא לַן?! ״וְהֵנִיף״ כְּתִיב בַּהּ! בִּבְעָלִים, מְנָלַן?</t>
  </si>
  <si>
    <t>Rabbi Elazar said to Rabbi Yoshiya of his generation, You shall not sit on your feet until you explain this matter From where the meal-offering of a sota requires waving? From where do we written with regard to and shall wave From where do we by the owner,</t>
  </si>
  <si>
    <t>Talmudic text: Gemara, Rabbi Elazar said to Rabbi Yoshiyah in his generation: Do not sit down on your heels until you clarify the matter for her: From where do we derive that the meal offering of the suspected adulteress requires waving? Where do we derive it from?! "And he shall wave" is written regarding it! With regards to owners, from where do we derive it?</t>
  </si>
  <si>
    <t>GEMARA: Rabbi Elʿazar said to Rabbi Yoʾshiya of his generation: Do not sit on your legs until you explain to her this matter: From where do we know for the minḥat sota that it requires tenufa? From where do we know? “And he shall wave” is written in it! With the owners, from where do we know?</t>
  </si>
  <si>
    <t>״וְלֹא יָסַף עוֹד לְדַעְתָּה״. אָמַר שְׁמוּאֵל סָבָא חֲמוּהּ דְּרַב שְׁמוּאֵל בַּר אַמֵּי מִשְּׁמֵיהּ דְּרַב שְׁמוּאֵל בַּר אַמֵּי: כֵּיוָן שֶׁיְּדָעָהּ — שׁוּב לֹא פָּסַק מִמֶּנָּה. כְּתִיב הָכָא: ״וְלֹא יָסַף עוֹד לְדַעְתָּה״, וּכְתִיב הָתָם: ״קוֹל גָּדוֹל וְלֹא יָסָף״.</t>
  </si>
  <si>
    <t>“And he knew her [ leda’atah ] again no more [ velo yasaf ],” Shmuel the Elder, father-in-law of Rav Shmuel bar Ami, says in the name of Rav Shmuel bar Ami: once he knew her he did not desist from her again, it is written here: “ Velo yasaf od leda’atah ,” and it is written there with a great voice and it went on no more [ velo yasaf ]”</t>
  </si>
  <si>
    <t>"And he shall not add anymore to her knowledge." Shmuel the Elder said in the name of Shmuel bar Ammi: Once she knew it - she never ceased from it. It is written here: "And he shall not add anymore to her knowledge," and it is written there: "A loud voice and he shall not add."</t>
  </si>
  <si>
    <t>“and he did not yasaf anymore to know her.” Amar Shmuel Sava, the father-in-law of Rav Shmuel bar Ammi, mishmei d’Rav Shmuel bar Ammi: once that he knew her — again he did not cease from her. Ketiv hacha: “and he did not yasaf anymore to know her,” u’ketiv hatam: “a great voice and it did not yasaf.”</t>
  </si>
  <si>
    <t>הֵן תֶּהֱוֵי אַרְכָא לִשְׁלֵוְתָךְ״, וּכְתִיב: ״כֹּלָּא מְטָא עַל נְבוּכַדְנֶצַּר מַלְכָּא״, וּכְתִיב: ״לִקְצָת יַרְחִין תְּרֵי עֲשַׂר״!</t>
  </si>
  <si>
    <t>and then there shall be an extension to your tranquility” And it is written: “All this came upon King Nebuchadnezzar” and it is written “At the end of twelve months”</t>
  </si>
  <si>
    <t>Behold, it will be a length for your welfare," and it is written: "All came upon Nebuchadnezzar the king," and it is written: "For a few years, two twelve"!</t>
  </si>
  <si>
    <t>“hen tehevei arka lishlevetakh”, and it is written: “all this came upon Nevukhadnetzar the king”, and it is written: “at the end of twelve months”!</t>
  </si>
  <si>
    <t>רַבִּי אֱלִיעֶזֶר אוֹמֵר: מְקַנֵּא לָהּ עַל פִּי שְׁנַיִם וְכוּ׳. עַד כָּאן לָא פְּלִיגִי אֶלָּא בְּקִינּוּי וּסְתִירָה, אֲבָל בְּטוּמְאָה — עֵד אֶחָד מְהֵימַן.</t>
  </si>
  <si>
    <t>Rabbi Eliezer says: issue a warning to her based on, two disagree only with regard to warning and seclusion, but with regard to defilement one witness is deemed credible</t>
  </si>
  <si>
    <t>Rabbi Eliezer says: He acquires her based on the testimony of two, etc. Until here they only disagree regarding jealousy and denial, but in regards to impurity - one witness is believed.</t>
  </si>
  <si>
    <t>Rabbi Eliezer says: He warns her on the mouth of two, etc. Until here they did not disagree except with regard to warning and seclusion, but with regard to impurity—one witness is believed.</t>
  </si>
  <si>
    <t>״וְנַעֲרֹתֶיהָ הוֹלְכוֹת וְגוֹ׳״, אָמַר רַבִּי יוֹחָנָן: אֵין הֲלִיכָה זוֹ אֶלָּא לְשׁוֹן מִיתָה, וְכֵן הוּא אוֹמֵר: ״הִנֵּה אָנֹכִי הוֹלֵךְ לָמוּת״.</t>
  </si>
  <si>
    <t>“And her maidens walked [ holekhot ] Rabbi Yoḥanan says: This walking nothing other terminology of death, and similarly it states: “Behold, I am going [ holekh ] to die”</t>
  </si>
  <si>
    <t>"And her maidens walking, etc.," Rabbi Yochanan said: This walking is nothing but a language of death, as it says: "Behold, I am going to die."</t>
  </si>
  <si>
    <t>“‘Ve-na’aroteha holkhot ve-go’,” amar Rabbi Yoḥanan: ein halikha zo ella leshon mita, ve-khen hu omer: “Hineh anokhi holekh lamut.” “‘And her maidens were walking, etc.,’ said Rabbi Yoḥanan: this walking is nothing other than an expression of death, and so it says: ‘Behold, I am going to die.’”</t>
  </si>
  <si>
    <t>וּמִמַּאי מִשּׁוּם דְּחָסָה הוּא? דִּילְמָא כִּי הֵיכִי דְּלֹא תִּימָּחֵק מְגִילָּה! קָסָבַר</t>
  </si>
  <si>
    <t>And from where because is protective Perhaps in order that the scroll will not be erased. holds</t>
  </si>
  <si>
    <t>And from what is it derived that it is due to anger? Perhaps it is in order that the Megillah not be erased! He holds the opinion</t>
  </si>
  <si>
    <t>And from what is it inferred that it is because he was concerned? Perhaps it is so that the megillah not be erased! He holds.</t>
  </si>
  <si>
    <t>רַבִּי אַסִּי אָמַר רַבִּי יוֹחָנָן: זֶה הַמַּשִּׂיא עֵצָה לִמְכּוֹר בִּנְכָסִים מוּעָטִין. דְּאָמַר רַבִּי אַסִּי אָמַר רַבִּי יוֹחָנָן: יְתוֹמִים שֶׁקָּדְמוּ וּמָכְרוּ בִּנְכָסִים מוּעָטִין — מַה שֶּׁמָּכְרוּ מָכְרוּ.</t>
  </si>
  <si>
    <t>Rabbi Asi Rabbi Yoḥanan says: one who provides advice to sell from the small quantity of property as Rabbi Asi says Rabbi Yoḥanan says: orphans who preemptively sold from a small estate, that which they sold, they sold,</t>
  </si>
  <si>
    <t>Rabbi Assi said Rabbi Yochanan: This is one who gives advice to sell small properties. As Rabbi Assi said Rabbi Yochanan: Orphans who came first and sold small properties - whatever they sold, they sold.</t>
  </si>
  <si>
    <t>Rabbi Assi said in the name of Rabbi Yoḥanan: This is the one who gives counsel to sell in scant properties. For Rabbi Assi said in the name of Rabbi Yoḥanan: Orphans who preceded and sold in scant properties — what they sold, is sold.</t>
  </si>
  <si>
    <t>Translations are semantically similar but the words used are different</t>
  </si>
  <si>
    <t>אִיבַּעְיָא לְהוּ: אָמְרָה אֵינִי שׁוֹתָה מֵחֲמַת בְּרִיּוּתָא, וְחָזְרָה וְאָמְרָה שׁוֹתָה אֲנִי, מַהוּ? כֵּיוָן דְּאָמְרָה אֵינִי שׁוֹתָה — טְמֵאָה אֲנִי קָאָמְרָה, וְכֵיוָן דְּאַחְזִיק נַפְשַׁהּ בְּטוּמְאָה, לָא מָצְיָא הָדְרָה בַּהּ. אוֹ דִילְמָא כֵּיוָן דְּאָמְרָה שׁוֹתָה אֲנִי — גַּלִּיָא דַּעְתַּהּ דְּמֵחֲמַת בִּיעֲתוּתָא הוּא דְּאָמְרָה. תֵּיקוּ.</t>
  </si>
  <si>
    <t>A dilemma was raised before she said: I will not drink, while in a state of health, and she retracted and said: I will drink, what is when she said: I will not drink, she said: I am defiled, and since she established herself as defiled she cannot retract Or perhaps when she said: I will drink, she revealed her thoughts that it due to fear that she said shall stand</t>
  </si>
  <si>
    <t>She asked them: She said, "I will not drink because of my modesty," and then she changed her mind and said, "I will drink." What is the ruling? Since she initially said, "I will not drink," she meant, "I am impure," and once she has resolved herself to impurity, she cannot retract. Or perhaps, since she said, "I will drink," it reveals that it was due to her modesty that she initially said so. This matter remains unresolved.</t>
  </si>
  <si>
    <t>They raised a dilemma for them: She said: I do not drink because of health, and she went back and said: I drink, what is it? Since she said: I do not drink — “I am impure” she is saying, and since she established herself in impurity, she is not able to go back on it. Or perhaps, since she said: I drink — it is revealed her mind that because of fear it is that she said. Teiku.</t>
  </si>
  <si>
    <t>לָא קַשְׁיָא: כָּאן — קוֹדֶם שֶׁנִּמְחֲקָה מְגִילָּה. כָּאן — לְאַחַר שֶׁנִּמְחֲקָה מְגִילָּה.</t>
  </si>
  <si>
    <t>not difficult. Here before the scroll was erased, There after the scroll was erased.</t>
  </si>
  <si>
    <t>Not difficult: here - before the Megillah was erased. Here - after the Megillah was erased.</t>
  </si>
  <si>
    <t>It is not difficult: here—before the Megillah was erased. Here—after the Megillah was erased.</t>
  </si>
  <si>
    <t>אוֹ אֵינוֹ אֶלָּא אֲפִילּוּ בְּאֶחָד? תַּלְמוּד לוֹמַר: ״לֹא יָקוּם עֵד אֶחָד בְּאִישׁ״.</t>
  </si>
  <si>
    <t>Or only even one the verse states: “One witness [ ed ] shall not rise up against a man</t>
  </si>
  <si>
    <t>Or is it only even in one? The Talmud teaches: "A single witness shall not stand up against a man."</t>
  </si>
  <si>
    <t>Or is it not, rather, even with one? The Talmud says: “One witness shall not rise up against a man.”</t>
  </si>
  <si>
    <t>אָמַר רָבָא: אָלָה לְחוֹדַהּ קָיְימָא וּשְׁבוּעָה לְחוֹדַהּ קָיְימָא! אֶלָּא אָמַר רָבָא: ״מַשְׁבִּיעַנִי עָלַיִךְ שֶׁאִם נִטְמֵאת יָבוֹאוּ בִּיךְ״.</t>
  </si>
  <si>
    <t>Rava said: the curse stands by itself and the oath stands by itself. Rather, Rava said: I administer an oath to you that if you were defiled, will come upon you.</t>
  </si>
  <si>
    <t>Rava said: "An oath for a specific claim is established, and an oath for a general claim is established!" Rather, Rava said: "He makes me swear concerning you, that if you become defiled, they shall enter into you."</t>
  </si>
  <si>
    <t>אָמַר רָבָא: Rava said: אָלָה לְחוֹדַהּ קָיְימָא וּשְׁבוּעָה לְחוֹדַהּ קָיְימָא! an *alah* by itself stands, and a *shevu‘ah* by itself stands! אֶלָּא אָמַר רָבָא: Rather, Rava said: ״מַשְׁבִּיעַנִי עָלַיִךְ שֶׁאִם נִטְמֵאת יָבוֹאוּ בִּיךְ״. “He administers an oath to me concerning you, that if you became defiled, they will come upon you.”</t>
  </si>
  <si>
    <t>דָּבָר אַחֵר: ״רַב לָךְ״, שֶׁלֹּא יֹאמְרוּ: הָרַב כַּמָּה קָשֶׁה, וְתַלְמִיד כַּמָּה סָרְבָן. וְכׇל כָּךְ לָמָּה? תָּנָא דְּבֵי רַבִּי יִשְׁמָעֵאל: לְפוּם גַּמְלָא שִׁיחְנָא.</t>
  </si>
  <si>
    <t>Alternatively: “ rav lakh ” so that should not say: How difficult is the Master and how obstinate is the student. And why so much The school of Rabbi Yishmael taught Based on the camel is the burden.</t>
  </si>
  <si>
    <t>Another explanation: "Rav, to you," so they should not say: the master is so difficult, and the student is so stubborn. And why all this? It was taught in the school of Rabbi Yishmael: According to the effort is the reward.</t>
  </si>
  <si>
    <t>Another matter: “rav lakh,” that they not say: the rav—how hard, and the talmid—how stubborn. And all so, why? Tana d’vei Rabbi Yishma’el: according to the gamla, the shichna.</t>
  </si>
  <si>
    <t>this is a weird transliteration that doesnt explain the text - "according to the camel is the reqard</t>
  </si>
  <si>
    <t>The manual translation uses a transliteration here " rav lakh", which is partly translated by 3.5: "rav to you", ame in the previous case.</t>
  </si>
  <si>
    <t>אָמְרִי: הָתָם ״וְכָתַב לָהּ״ אָמַר רַחֲמָנָא, בָּעִינַן כְּתִיבָה לִשְׁמָהּ: הָכָא נָמֵי ״וְעָשָׂה לָהּ״! מַאי עֲשִׂיָּיה — מְחִיקָה.</t>
  </si>
  <si>
    <t>say There, the Merciful One states: “And he shall write for her we require the writing for the sake of Here, too, “And perform with her What performance erasure,</t>
  </si>
  <si>
    <t>They said: There, "and he shall write for her," the Merciful One said, we require writing for her sake; here it says, "and he shall do for her"! What is the action? Erasure.</t>
  </si>
  <si>
    <t>They say: There, “and he shall write for her,” the Merciful One said; we require writing for her sake. Here too, “and he shall do for her”! What is doing?—erasing.</t>
  </si>
  <si>
    <t>הָתָם אָמַר רַבִּי עֲקִיבָא: כְּדֵי לְגוֹמְעָהּ, הָכָא אָמַר: כְּדֵי לִצְלוֹת בֵּיצָה! אֵימָא כְּדֵי לִצְלוֹת בֵּיצָה וּלְגוֹמְעָהּ. וְלֵימָא: אִידֵּי וְאִידֵּי חַד שִׁיעוּרָא הוּא! אִם כֵּן, הַיְינוּ בֶּן עַזַּאי.</t>
  </si>
  <si>
    <t>There, Rabbi Akiva says: equivalent to swallow Here, he says: equivalent to roast an egg. Say equivalent to roast an egg and to swallow it. let us say this and that are one measure? If so, this is ben Azzai</t>
  </si>
  <si>
    <t>There, said Rabbi Akiva: in order to finish it off, here it says: in order to roast the egg! Say: in order to roast the egg and finish it off. And say: both are one measure! If so, this is Ben Azzai.</t>
  </si>
  <si>
    <t>There, Rabbi Akiva said: “in order to swallow it”; here he said: “in order to roast an egg”! Say: in order to roast an egg and to swallow it. And let him say: this and this, it is one measure! If so, that is Ben Azzai.</t>
  </si>
  <si>
    <t>מַאי דְּרוּשׁ — ״וְלֹא יִרְאֶה בְךָ עֶרְוַת דָּבָר וְגוֹ׳״, וְהֵן אֵינָן יוֹדְעִין שֶׁעֲבֵירָה מְכַבָּה מִצְוָה, וְאֵין עֲבֵירָה מְכַבָּה תּוֹרָה.</t>
  </si>
  <si>
    <t>What did interpret that He see no licentious matter in you, But they did not know that a transgression extinguishes a mitzva, but a transgression does not extinguish Torah.</t>
  </si>
  <si>
    <t>What is the meaning of the verse - "and he shall not see a thing of nakedness in you," and they do not know that transgression extinguishes a commandment, and transgression does not extinguish the Torah.</t>
  </si>
  <si>
    <t>What is expounded — “and He shall not see in you the nakedness of a thing, etc.”, and they do not know that an aveirah extinguishes a mitzvah, and an aveirah does not extinguish Torah.</t>
  </si>
  <si>
    <t>קָא סָלְקָא דַּעְתִּין: הַיְינוּ הַקָּפַת דֶּקֶל, הַיְינוּ חֲזָרַת דֶּקֶל. הָתָם אָמַר רַבִּי יִשְׁמָעֵאל: כְּדֵי הַקָּפַת דֶּקֶל, וּפְלִיג רַבִּי אֱלִיעֶזֶר עֲלֵיהּ. הָכָא אָמַר רַבִּי אֱלִיעֶזֶר כְּדֵי חֲזָרַת דֶּקֶל!</t>
  </si>
  <si>
    <t>enter our mind circling a palm tree is returning of a palm There, Rabbi Yishmael says equivalent circling a palm and Rabbi Eliezer disagreed with him, here, Rabbi Eliezer says equivalent returning of a palm</t>
  </si>
  <si>
    <t>He went up in thought: that is the palm branch, that is the palm shoot. There Rabbi Yishmael said: like the palm branch, and Rabbi Eliezer disagreed with him. Here Rabbi Eliezer said: like the palm shoot!</t>
  </si>
  <si>
    <t>It עולה upon our mind: this is the circling of a dekel, this is the returning of a dekel. There Rabbi Yishmaʿel said: enough for the circling of a dekel, and Rabbi Eliʿezer חולק upon him. Here Rabbi Eliʿezer said: enough for the returning of a dekel!</t>
  </si>
  <si>
    <t xml:space="preserve">Uses the same phrase "to go up" to enter your mind, explains the Hebrew with Hebrew (additional term חולק)  There is a difference in spelling here, with extra apostraphes being used in the GPT 5 translation that is going to cause the metrics to show a poor translation, even though the word is the same. </t>
  </si>
  <si>
    <t>Right. I like the apostrophes, but not 'olah.</t>
  </si>
  <si>
    <t>דָּרֵשׁ רַב חִינָּנָא בַּר פָּפָּא, מַאי דִּכְתִיב: ״רַנְּנוּ צַדִּיקִים בַּה׳ לַיְשָׁרִים נָאוָה תְהִלָּה״? אַל תִּקְרֵי ״נָאוָה תְהִלָּה״, אֶלָּא ״נָוֶה תְהִלָּה״, זֶה מֹשֶׁה וְדָוִד, שֶׁלֹּא שָׁלְטוּ שׂוֹנְאֵיהֶם בְּמַעֲשֵׂיהֶם.</t>
  </si>
  <si>
    <t>Rav Ḥinnana bar Pappa interpreted homiletically: What is which is written: “Rejoice in the Lord, you righteous, praise is comely for the upright [ nava tehilla ]” Do not read Praise is comely [ nava ]; rather, A house [ naveh ] of praise. This Moses and David, whose enemies did not rule over their achievements,</t>
  </si>
  <si>
    <t>Rav Chinana bar Papa expounded, what is the meaning of what is written: "Sing joyfully to the Lord, you righteous; it is fitting for the upright to praise Him"? Do not read it as "it is fitting to praise Him," rather "a dwelling place for praise," this refers to Moses and David, that their enemies did not have dominion over them in their actions.</t>
  </si>
  <si>
    <t>דָּרֵשׁ Rav Ḥinnana bar Pappa: What is that which is written: “Sing, righteous ones, in HaShem; for the upright, praise is comely”? Do not read “comely is praise,” but rather “a dwelling of praise”; this is Moshe and David, that their enemies did not rule over their deeds.</t>
  </si>
  <si>
    <t>סְתִירָה נָמֵי אִיתַּקַּשׁ לְטוּמְאָה, דִּכְתִיב: ״וְנִסְתְּרָה וְהִיא נִטְמָאָה״?! הַהוּא, לְכַמָּה שִׁיעוּר סְתִירָה — כְּדֵי טוּמְאָה, הוּא דַּאֲתָא.</t>
  </si>
  <si>
    <t>Seclusion is also juxtaposed to defilement, as it is written: “And she was defiled secretly” That is coming to how much measure of seclusion, sufficient for defilement.</t>
  </si>
  <si>
    <t>Contradiction also there is a question to impurity, as it is written: "And it was hidden and it became impure"?! That, to what measure of contradiction - in order to impurity, it came.</t>
  </si>
  <si>
    <t>Contradiction also is juxtaposed to tum’ah, as it is written: “and she secluded herself and she became defiled”?! That verse—for how much is the measure of seṭirah—like the time of tum’ah, it is that it comes.</t>
  </si>
  <si>
    <t>רַבִּי מֵאִיר אוֹמֵר: אָמֵן שֶׁלֹּא נִטְמֵאתִי וְכוּ׳. תַּנְיָא: לֹא כְּשֶׁאָמַר רַבִּי מֵאִיר אָמֵן שֶׁלֹּא אֶטָּמֵא שֶׁאִם תִּטָּמֵא מַיִם בּוֹדְקִין אוֹתָהּ מֵעַכְשָׁיו, אֶלָּא: לִכְשֶׁתִּטָּמֵא — מַיִם מְעַרְעֲרִין אוֹתָהּ וּבוֹדְקִין אוֹתָהּ.</t>
  </si>
  <si>
    <t>Rabbi Meir says Amen that I did not become defiled it is taught When Rabbi Meir said: Amen that I will not become defiled not that if she will become defiled water evaluates she from now. Rather, that that she becomes defiled water destabilize her and evaluate she</t>
  </si>
  <si>
    <t>Rabbi Meir says: "Amen that I have not become impure, etc." It was taught: Not as when Rabbi Meir said, "Amen that I will not become impure," for if you become impure, they check the water from now on, but rather, when you become impure, they stir the water and check it.</t>
  </si>
  <si>
    <t>Rabbi Meir says: Amen, that I did not become defiled, etc. It was taught: Not as when Rabbi Meir said, Amen, that I will not become defiled, for if you become defiled, the waters examine her from now; rather: when you become defiled — the waters undermine her and examine her.</t>
  </si>
  <si>
    <t>וְאָמַר רַחֲמָנָא: תְּרֵי לֵית בַּהּ אֶלָּא חַד, ״וְהִיא לֹא נִתְפָּשָׂה״ — אֲסוּרָה.</t>
  </si>
  <si>
    <t>And the Merciful One states: there are not two with regard to her; rather, one “And she was not taken,” she is forbidden.</t>
  </si>
  <si>
    <t>And the Merciful One said: "Two are not in it, only one," "and she was not caught" - prohibited.</t>
  </si>
  <si>
    <t>And the Merciful One said: two—there is not in it except one, “and she was not seized” — she is forbidden.</t>
  </si>
  <si>
    <t>בְּפוּלְמוּס הָאַחֲרוֹן גָּזְרוּ שֶׁלֹּא תֵּצֵא הַכַּלָּה בְּאַפִּרְיוֹן בְּתוֹךְ הָעִיר, וְרַבּוֹתֵינוּ הִתִּירוּ שֶׁתֵּצֵא הַכַּלָּה בְּאַפִּרְיוֹן בְּתוֹךְ הָעִיר.</t>
  </si>
  <si>
    <t>In the last war, they decreed that a bride may not go out in a palanquin inside the city, but our Sages permitted a bride to go out in a palanquin inside the city,</t>
  </si>
  <si>
    <t>In Pumbedita the latter, they decreed that the bride should not go out with a veil within the city, and our Rabbis permitted that the bride should go out with a veil within the city.</t>
  </si>
  <si>
    <t>In the last *pulmus* they decreed that the *kallah* should not go out in an *appiryon* within the city, and our Rabbis permitted that the *kallah* should go out in an *appiryon* within the city.</t>
  </si>
  <si>
    <t>כׇּל הַמְּנָחוֹת תְּחִילָּתָן וְסוֹפָן בִּכְלִי שָׁרֵת, וְזוֹ תְּחִלָּתָהּ בִּכְפִיפָה מִצְרִית, וְסוֹפָהּ בִּכְלִי שָׁרֵת.</t>
  </si>
  <si>
    <t>all meal-offerings, their beginnings, and their ends, in a service vessel. But this one, its beginning is in a wicker basket and its end, in a service vessel.</t>
  </si>
  <si>
    <t>All the meal offerings, their beginning and end are in a sacred vessel, and its beginning is in an Egyptian vessel, and its end in a sacred vessel.</t>
  </si>
  <si>
    <t>All the *menachot*—their beginning and their end are in a *keli sharet*; but this—its beginning is in an Egyptian basket, and its end is in a *keli sharet*.</t>
  </si>
  <si>
    <t>״אִם בֵּן הוּא וַהֲמִתֶּן אוֹתוֹ״. אָמַר רַבִּי חֲנִינָא, סִימָן גָּדוֹל מָסַר לָהֶן: בֵּן פָּנָיו לְמַטָּה, בַּת פָּנֶיהָ לְמַעְלָה.</t>
  </si>
  <si>
    <t>“If it be a son, then you shall kill him; Rabbi Ḥanina says: transmitted to them a great sign A boy his face downward; a girl her face upward.</t>
  </si>
  <si>
    <t>"If he is a son, then give him." Rabbi Chanina said, a great sign was given to them: a son should face downward, a daughter should face upward.</t>
  </si>
  <si>
    <t>“‘If it is a son, then you shall kill him.’” Amar Rabbi Ḥanina: a great sign he transmitted to them: a son—his face downward; a daughter—her face upward.</t>
  </si>
  <si>
    <t>מָר סָבַר: מוּתָּר לִגְרוֹם טוּמְאָה לְחוּלִּין שֶׁבְּאֶרֶץ יִשְׂרָאֵל, וּמָר סָבַר: אָסוּר לִגְרוֹם טוּמְאָה לְחוּלִּין שֶׁבְּאֶרֶץ יִשְׂרָאֵל.</t>
  </si>
  <si>
    <t>Sage, holds it is permitted to cause impurity to non-sacred that is in Eretz Yisrael. And Sage, holds it is prohibited to cause impurity to non-sacred that is in Eretz Yisrael.</t>
  </si>
  <si>
    <t>Master says: Permitted to cause impurity to common items in the land of Israel, and Master says: Forbidden to cause impurity to common items in the land of Israel.</t>
  </si>
  <si>
    <t>Mar savar: it is permitted to cause tum’ah to chullin that are in Eretz Yisrael; uMar savar: it is forbidden to cause tum’ah to chullin that are in Eretz Yisrael.</t>
  </si>
  <si>
    <t>וְרַבִּי עֲקִיבָא: בְּאַחֵיכֶם — מִסֵּיפָא דִּקְרָא נָפְקָא: ״וּבְאַחֵיכֶם בְּנֵי יִשְׂרָאֵל אִישׁ בְּאָחִיו לֹא תִרְדֶּה בוֹ בְּפָרֶךְ״.</t>
  </si>
  <si>
    <t>And Rabbi Akiva your brethren is derived from the latter of the verse, “But over your brethren the children of Israel you shall not rule, one over another, with rigor”</t>
  </si>
  <si>
    <t>Rabbi Akiva: "Among your brothers" - derived from the end of the verse: "But among your brothers, the children of Israel, a man shall not rule over his brother with severity."</t>
  </si>
  <si>
    <t>And Rabbi Akiva: “with your brothers” — from the latter clause of the verse it emerges: “And with your brothers, the children of Yisrael, a man with his brother you shall not rule over him with harsh labor.”</t>
  </si>
  <si>
    <t>מַאי קָאָמַר לֵיהּ וּמַאי קָא מַהְדַּר לֵיהּ?</t>
  </si>
  <si>
    <t>What is saying to and what is replying to</t>
  </si>
  <si>
    <t>What is he saying to him, and what is he responding to him?</t>
  </si>
  <si>
    <t>What did he say to him, and what did he return to him?</t>
  </si>
  <si>
    <t>Indeed, the human translation is a bit difficult.</t>
  </si>
  <si>
    <t>אֲמַר לֵיהּ, תְּנֵיתוּהָ: וְאַחַר כָּךְ מֵבִיא חֶבֶל הַמִּצְרִי וְקוֹשְׁרוֹ לָהּ לְמַעְלָה מִדַּדֶּיהָ, כְּדֵי שֶׁלֹּא יִשָּׁמְטוּ בְּגָדֶיהָ מֵעָלֶיהָ.</t>
  </si>
  <si>
    <t>said to him: You learned And afterward would bring an Egyptian rope so that her clothes would not fall off her.</t>
  </si>
  <si>
    <t>He said to him, "Give it to her, and afterwards bring an Egyptian rope and tie it above her breasts, so that her garments will not slip off her."</t>
  </si>
  <si>
    <t>He said to him, you taught it: and afterward he brings a rope of the Miṣri and ties it to her above her breasts, in order that her garments not slip off from upon her.</t>
  </si>
  <si>
    <t xml:space="preserve">doesnt say Egyptian, transliterates to "Mitzri"  - not sure why this would be a transliterated term. Is it a name? </t>
  </si>
  <si>
    <t>Yes, mitzri is strange</t>
  </si>
  <si>
    <t>וְאֵימָא: ״בָּהּ״ וְלֹא בְּקִינּוּי? קִינּוּי אִיתַּקַּשׁ לְטוּמְאָה, דִּכְתִיב: ״וְקִנֵּא אֶת אִשְׁתּוֹ וְהִיא נִטְמָאָה״.</t>
  </si>
  <si>
    <t>But say With regard to it, but not with regard to warning? warning is juxtaposed to defilement, as it is written: “And he warned his wife, and she had become defiled”</t>
  </si>
  <si>
    <t>And why not say: "in it" and not by way of euphemism? Euphemism is connected to impurity, as it is written: "And he is jealous of his wife when she is defiled."</t>
  </si>
  <si>
    <t>And say: “in her” and not with qinui? Qinui is juxtaposed to tum’ah, as it is written: “and he shall be jealous of his wife and she became defiled.”</t>
  </si>
  <si>
    <t>וְרַבָּנַן — בְּדִיעֲבַד לָא פָּתַח קְרָא.</t>
  </si>
  <si>
    <t>And the Rabbis verse does not begin with after the fact,</t>
  </si>
  <si>
    <t>And the Rabbis - in retrospect did not open the verse.</t>
  </si>
  <si>
    <t>And the Rabbanan — after the fact, the verse did not open.</t>
  </si>
  <si>
    <t>לָא: הָכָא הַיְינוּ טַעְמָא כִּי הֵיכִי דְּלִיהְווֹ עֲלֵיהּ סָהֲדִי.</t>
  </si>
  <si>
    <t>No, here, this is the reason so that there are two witnesses with regard to her,</t>
  </si>
  <si>
    <t>Not here: this is the reason, how that they should be witnesses against him.</t>
  </si>
  <si>
    <t>No: here this is the reason, so that there should be upon him witnesses.</t>
  </si>
  <si>
    <t>עֲשִׂי לִשְׁמוֹ הַגָּדוֹל שֶׁנִּכְתַּב בִּקְדוּשָּׁה שֶׁלֹּא יִמָּחֶה עַל הַמַּיִם. וְאוֹמֵר לְפָנֶיהָ דְּבָרִים שֶׁאֵינָם כְּדַי לְשׁוֹמְעָן, הִיא וְכׇל מִשְׁפַּחַת בֵּית אָבִיהָ.</t>
  </si>
  <si>
    <t>Act for the sake of His great name, so that which is written in sanctity, shall not be erased on the water. And says in her presence matters that are not worthy of being heard her and all her father’s family,</t>
  </si>
  <si>
    <t>Do for His great name that is written in holiness that it should not be erased upon the water. And he says before her words that are not enough to hear, she and all the household of her father's house.</t>
  </si>
  <si>
    <t>Make for His great Name that is written in holiness, that it not be erased upon the water. And he says before her words that are not fit to be heard, she and all the family of her father’s house.</t>
  </si>
  <si>
    <t>וְהַיְינוּ דְּאָמַר רַבִּי אֶלְעָזָר, מַאי דִּכְתִיב: ״וְכִי יֹאמְרוּ אֲלֵיכֶם דִּרְשׁוּ אֶל הָאֹבוֹת וְאֶל הַיִּדְּעֹנִים הַמְצַפְצְפִים וְהַמַּהְגִּים״: צוֹפִין וְאֵינָם יוֹדְעִין מָה צוֹפִין, מְהַגִּים וְאֵינָן יוֹדְעִים מָה מְהַגִּים.</t>
  </si>
  <si>
    <t>And this is what Rabbi Elazar said: What is which is written: “And when they shall say to you: Seek unto the necromancers and the diviners, that chirp [ metzaftzefim ] and that mutter [ mahggim ]” They see [ tzofin ], but they do not know what they are seeing; they enunciate [ mahggim ], but they do not know what they are enunciating.</t>
  </si>
  <si>
    <t>Talmudic text: "And this is what Rabbi Elazar said, what is the meaning of what is written: 'And if they say to you, inquire of the mediums and the wizards who chirp and mutter': They look and do not know what they are looking at, they mutter and do not know what they are muttering." English translation: "And this is what Rabbi Elazar said, what is the meaning of what is written: 'And if they say to you, inquire of the mediums and the wizards who chirp and mutter': They look and do not know what they are looking at, they mutter and do not know what they are muttering."</t>
  </si>
  <si>
    <t>And this is that which Rabbi Elʿazar said, what is that which is written: “And when they shall say to you, Seek unto the ovot and unto the yiddeʿonim, the chirping and the muttering” — they peer and they do not know what they peer, they mutter and they do not know what they mutter.</t>
  </si>
  <si>
    <t>וּתְנַן נָמֵי: עֵד אֶחָד אוֹמֵר ״אֲנִי רָאִיתִי שֶׁנִּיטְמֵאת״ — לֹא הָיְתָה שׁוֹתָה.</t>
  </si>
  <si>
    <t>And we learned also a single witness says: I saw that she was defiled, she would not drink</t>
  </si>
  <si>
    <t>And we learned in a Mishnah: If one witness says, "I saw that she became impure," - she is not to drink.</t>
  </si>
  <si>
    <t>And we learned also: One witness says, “I saw that she became defiled” — she would not drink.</t>
  </si>
  <si>
    <t>וְסָבַר רַבִּי עֲקִיבָא מַשְׁקִין אוֹתָהּ בְּעַל כׇּרְחָהּ? וְהָתַנְיָא, רַבִּי יְהוּדָה אוֹמֵר: כַּלְבּוֹס שֶׁל בַּרְזֶל מְטִילִין לְתוֹךְ פִּיהָ, שֶׁאִם נִמְחֲקָה מְגִילָּה וְאָמְרָה ״אֵינִי שׁוֹתָה״ — מְעַרְעֲרִין אוֹתָהּ וּמַשְׁקִין אוֹתָהּ בְּעַל כׇּרְחָהּ. אָמַר רַבִּי עֲקִיבָא: כְּלוּם אָנוּ צְרִיכִין אֶלָּא לְבוֹדְקָהּ, וַהֲלֹא בְּדוּקָה וְעוֹמֶדֶת! אֶלָּא: עַד שֶׁלֹּא קָרַב הַקּוֹמֶץ — יְכוֹלָה לַחֲזוֹר בָּהּ, מִשֶּׁקָּרַב הַקּוֹמֶץ — אֵינָהּ יְכוֹלָה לַחֲזוֹר בָּהּ.</t>
  </si>
  <si>
    <t>But does Rabbi Akiva hold forced to drink against her will? But isn’t it taught Rabbi Yehuda says: A hook [ kelabus ] of iron is placed into her mouth, that if the scroll was erased and she said: I will not drink, she is forced to drink against her will. Rabbi Akiva said: Don’t we need only to evaluate her And isn’t she established as evaluated Rather, Until the handful is sacrificed she can retract once the handful is sacrificed she cannot retract</t>
  </si>
  <si>
    <t>Talmudic text: And Rabbi Akiva thought, do we forcibly give it to her? And it was taught, Rabbi Yehuda says: One may insert an iron clasp into her mouth, for if the scroll is erased and she says, "I do not drink," we suspect her and forcibly give it to her. Rabbi Akiva said: We only need to examine her, and indeed she is precise and standing! Rather, until the komets is not brought close - she can retract, once the komets is brought close - she cannot retract.</t>
  </si>
  <si>
    <t>And does Rabbi Akiva hold: they give her to drink against her will? But is it not taught: Rabbi Yehuda says: an iron kalbos they cast into her mouth, that if the megilla was erased and she said “I do not drink” — they force her and they give her to drink against her will. Rabbi Akiva said: do we need anything except to examine her, and behold she is examined and standing! Rather: until the kometz has not come near — she is able to retract in her; from when the kometz has come near — she is not able to retract in her.</t>
  </si>
  <si>
    <t>וּמוֹלִיכָהּ אֵצֶל כֹּהֵן, דִּכְתִיב: ״וֶהֱבִיאָהּ אֶל בְּנֵי אַהֲרֹן וְגוֹ׳״.</t>
  </si>
  <si>
    <t>And he carries it to the priest. As it is written: “And he shall bring it to Aaron’s sons,</t>
  </si>
  <si>
    <t>And he shall bring her to the kohen, as it is written: "And he shall bring her to the sons of Aharon, etc."</t>
  </si>
  <si>
    <t>And she brings her to a Kohen, as it is written: “And he shall bring her to the sons of Aharon, etc.”</t>
  </si>
  <si>
    <t>רַב אָשֵׁי אָמַר: הָא מַתְנִיתָא מַנִּי — רַבִּי יִשְׁמָעֵאל הִיא, דְּדָרֵישׁ כְּלָלֵי וּפְרָטֵי.</t>
  </si>
  <si>
    <t>Rav Ashi said: This baraita , is whose It is Rabbi Yishmael, who interprets generalizations and details.</t>
  </si>
  <si>
    <t>Rav Ashi said: "Ha matnitah mani - Rabbi Yishmael hi, dedarash kelalei u'fartei."</t>
  </si>
  <si>
    <t>Rav Ashi said: This mishnah, who is it?—it is Rabbi Yishma’el, who expounds generalities and particulars.</t>
  </si>
  <si>
    <t>תָּנָא: הַתַּנָּאִים — מְבַלֵּי עוֹלָם. מְבַלֵּי עוֹלָם סָלְקָא דַּעְתָּךְ?! אָמַר רָבִינָא: שֶׁמּוֹרִין הֲלָכָה מִתּוֹךְ מִשְׁנָתָן. תַּנְיָא נָמֵי הָכִי, אָמַר רַבִּי יְהוֹשֻׁעַ: וְכִי מְבַלֵּי עוֹלָם הֵן? וַהֲלֹא מְיַישְּׁבֵי עוֹלָם הֵן, שֶׁנֶּאֱמַר: ״הֲלִיכוֹת עוֹלָם לוֹ״! אֶלָּא, שֶׁמּוֹרִין הֲלָכָה מִתּוֹךְ מִשְׁנָתָן.</t>
  </si>
  <si>
    <t>It was taught The tanna’im , are who erode the world. Could enter your mind who erode the world? Ravina says: who issue halakhic rulings based their mishnayot . This is also taught Rabbi Yehoshua said: Are they who erode the world? Aren’t they settling the world, as it is stated: “His ways [ halikhot ] are eternal” Rather, who issue halakhic rulings based their mishnayot .</t>
  </si>
  <si>
    <t>Mishna: The Tannaim - they are those who bring to an end the world. "Bringing to an end the world" - is it according to your opinion?! Ravina said: They preserve the halakha from their Mishnah. It was also taught similarly: Rabbi Yehoshua said: Are they those who bring to an end the world? Are they not the inhabitants of the world, as it is said: "His ways are of old"! Rather, they preserve the halakha from their Mishnah.</t>
  </si>
  <si>
    <t>It was taught: the Tanna’im — destroyers of the world. Destroyers of the world, does it enter your mind?! Ravina said: that they rule halakha from within their Mishnah. It was taught also thus, Rabbi Yehoshua said: and are they destroyers of the world? But are they not settlers of the world, as it is said: “The goings of the world are His”! Rather, that they rule halakha from within their Mishnah.</t>
  </si>
  <si>
    <t>וְכִי תֵּימָא לַעֲבֵיד בַּהּ תַּרְתֵּי — אָמַר רַב נַחְמָן אָמַר רַבָּה בַּר אֲבוּהּ, אָמַר קְרָא: ״וְאָהַבְתָּ לְרֵעֲךָ כָּמוֹךָ״ — בְּרוֹר לוֹ מִיתָה יָפָה.</t>
  </si>
  <si>
    <t>And if you would say that two should be done with her, Rav Naḥman said Rabba bar Avuh said: verse states: “You shall love your neighbor as yourself” select a good, death for him.</t>
  </si>
  <si>
    <t>And if you will say to do it twice - Rav Nachman said in the name of Rabba bar Avuh, a verse says: "And you shall love your neighbor as yourself" - clear to him a beautiful death.</t>
  </si>
  <si>
    <t>And if you will say: to do with it two — Rav Naḥman said, Rabba bar Avuh said, the verse said: “And you shall love your fellow as yourself” — choose for him a beautiful death.</t>
  </si>
  <si>
    <t>מַתְקֵיף לַהּ רַבָּה: אֶלָּא מֵעַתָּה, דּוֹאֵג וַאֲחִיתוֹפֶל מִי לָא עָסְקִי בְּתוֹרָה? אַמַּאי לָא הֵגֵינָּה עֲלַיְיהוּ? אֶלָּא אָמַר רָבָא: תּוֹרָה בְּעִידָּנָא דְּעָסֵיק בָּהּ — מַגְּנָא וּמַצְּלָא, בְּעִידָּנָא דְּלָא עָסֵיק בָּהּ — אַגּוֹנֵי מַגְּנָא, אַצּוֹלֵי לָא מַצְּלָא. מִצְוָה, בֵּין בְּעִידָּנָא דְּעָסֵיק בָּהּ בֵּין בְּעִידָּנָא דְּלָא עָסֵיק בָּהּ — אַגּוֹנֵי מַגְּנָא, אַצּוֹלֵי לָא מַצְּלָא.</t>
  </si>
  <si>
    <t>Rabba objects to this If that is so, Doeg and Ahithophel did they not engage in the Torah? Why did not protect them Rather, Rava said: Torah at the time when one is engaged in it, it protects and saves; at the time when one is not engaged in it, it protects it does not save a mitzva, both at the time when one is engaged in its and at the time when one is not engaged in its it protects does not save</t>
  </si>
  <si>
    <t>Rabah objects to him: Rather, from now on, who is like Doeg and Ahitophel who did not engage in Torah? Why did she not protect them? Rather, Rava said: Torah, in the time one engages in it — shields and saves; in the time one does not engage in it — shields are removed, and saviors do not save. A commandment, whether in the time one engages in it or in the time one does not engage in it — shields are removed, and saviors do not save.</t>
  </si>
  <si>
    <t>Rabba challenges her: But from now, Doeg and Achitophel, did they not engage in Torah? Why did it not protect them? Rather, Rava said: Torah, at the time that he is engaged in it — it protects and it saves; at the time that he is not engaged in it — it protects from suffering, it does not save. A mitzva, whether at the time that he is engaged in it whether at the time that he is not engaged in it — it protects from suffering, it does not save.</t>
  </si>
  <si>
    <t>דָּרַשׁ רַבִּי שִׂמְלַאי: מִפְּנֵי מָה נִתְאַוָּה מֹשֶׁה רַבֵּינוּ לִיכָּנֵס לְאֶרֶץ יִשְׂרָאֵל? וְכִי לֶאֱכוֹל מִפִּרְיָהּ הוּא צָרִיךְ?! אוֹ לִשְׂבּוֹעַ מִטּוּבָהּ הוּא צָרִיךְ?! אֶלָּא כָּךְ אָמַר מֹשֶׁה: הַרְבֵּה מִצְוֹת נִצְטַוּוּ יִשְׂרָאֵל, וְאֵין מִתְקַיְּימִין אֶלָּא בְּאֶרֶץ יִשְׂרָאֵל. אֶכָּנֵס אֲנִי לָאָרֶץ כְּדֵי שֶׁיִּתְקַיְּימוּ כּוּלָּן עַל יָדִי.</t>
  </si>
  <si>
    <t>Rabbi Samlai taught: For what did Moses our teacher desire to enter Eretz Yisrael? Did he need to eat of its produce, or did he need to satisfy himself from its goodness? Rather, this Moses said: Many mitzvot were commanded Jewish people, and them can be fulfilled only in Eretz Yisrael, I will enter the land in order that they can all be fulfilled by me.</t>
  </si>
  <si>
    <t>Rabbi Simlai expounded: For what reason did our teacher Moses desire to enter the land of Israel? Was it to eat of its fruit that he needed?! Or to be satisfied with its goodness that he needed?! Rather, thus said Moses: Many commandments were commanded to Israel, and they are only fulfilled in the land of Israel. I will enter the land so that they may all be fulfilled through me.</t>
  </si>
  <si>
    <t>Darash Rabbi Simlai: For what reason did Moshe Rabbeinu desire to enter Eretz Yisrael? And is it to eat of its fruit that he needs?! Or to be satisfied from its goodness that he needs?! Rather, thus said Moshe: Many mitzvot were commanded to Yisrael, and they are not fulfilled except in Eretz Yisrael. I will enter, I, into the land, in order that they all be fulfilled through my hand.</t>
  </si>
  <si>
    <t>אָמַר רַב חֲנִינָא מִסּוּרָא: לָא לֵימָא אִינִישׁ לְאִיתְּתֵיהּ בַּזְּמַן הַזֶּה ״לֹא תִּיסָּתְרִי בַּהֲדֵי פְלוֹנִי״, דִּילְמָא קַיְימָא לַן כְּרַבִּי יוֹסֵי בְּרַבִּי יְהוּדָה, דְּאָמַר קִינּוּי עַל פִּי עַצְמוֹ, וּמִיסְתַּתְּרָא, וְלֵיכָּא הָאִידָּנָא מֵי סוֹטָה לְמִיבְדְּקַהּ, וְקָאָסַר לַהּ עִילָּוֵיהּ אִיסּוּרָא דִּלְעוֹלָם.</t>
  </si>
  <si>
    <t>Rav Ḥanina of Sura says: In the present a man should not say to his wife: Do not seclude yourself with so-and-so. perhaps we maintain in accordance with Rabbi Yosei, son of Rabbi Yehuda, who says a warning based on his own and seclude herself and today water of a sota not to evaluate her he will forbidding her to himself an irrevocable prohibition.</t>
  </si>
  <si>
    <t>Rav Chanina from Sura said: One should not say to his wife in this time, "Do not hide yourself in the presence of so-and-so," for perhaps he is like Rabbi Yosei, the son of Rabbi Yehuda, who said that a nickname is effective according to its own meaning, and she will hide herself, and there is no comparison nowadays to the waters of the Sotah to examine her, and he will cause her permanent suspicion.</t>
  </si>
  <si>
    <t>אָמַר רַב חֲנִינָא מִסּוּרָא: Rav Ḥanina of Sura said: לָא לֵימָא אִינִישׁ לְאִיתְּתֵיהּ בַּזְּמַן הַזֶּה ״לֹא תִּיסָּתְרִי בַּהֲדֵי פְלוֹנִי״, a man should not say to his wife at this time, “Do not seclude yourself with so-and-so,” דִּילְמָא קַיְימָא לַן כְּרַבִּי יוֹסֵי בְּרַבִּי יְהוּדָה, lest it stands for us like Rabbi Yosei son of Rabbi Yehuda, דְּאָמַר קִינּוּי עַל פִּי עַצְמוֹ, who said: warning is by his own mouth, וּמִיסְתַּתְּרָא, and she secludes herself, וְלֵיכָּא הָאִידָּנָא מֵי סוֹטָה לְמִיבְדְּקַהּ, and there are not now the waters of Sotah to examine her, וְקָאָסַר לַהּ עִילָּוֵיהּ אִיסּוּרָא דִּלְעוֹלָם. and he prohibits upon her an prohibition forever.</t>
  </si>
  <si>
    <t>וְאָמַר רַב יְהוּדָה אָמַר רַב, וְאִיתֵּימָא רַבִּי חָמָא בְּרַבִּי חֲנִינָא: מִפְּנֵי מָה מֵת יוֹסֵף קוֹדֶם לְאֶחָיו — מִפְּנֵי שֶׁהִנְהִיג עַצְמוֹ בְּרַבָּנוּת.</t>
  </si>
  <si>
    <t>And Rav Yehuda says Rav says, and some say Rabbi Ḥama, son of Rabbi Ḥanina: For what did Joseph predecease his brothers, Because acted authoritatively,</t>
  </si>
  <si>
    <t>And Rav Yehudah said in the name of Rav, and it was stated by Rabbi Ḥama son of Rabbi Ḥanina: Why did Joseph die before his brothers? Because he conducted himself with arrogance.</t>
  </si>
  <si>
    <t>And Rav Yehudah said, Rav said, and some say Rabbi Ḥama son of Rabbi Ḥanina: For what reason did Yosef die before his brothers? — Because he conducted himself with rabbanut.</t>
  </si>
  <si>
    <t>מַאי הָוֵי עֲלַהּ? תָּא שְׁמַע, דְּאָמַר רַב הוּנָא בַּר אָשֵׁי אָמַר רַב: אֵין שָׁם עָפָר — מֵבִיא רַקְבּוּבִית יָרָק, וּמְקַדֵּשׁ.</t>
  </si>
  <si>
    <t>What was about it, Come hear which Rav Huna bar Ashi says Rav says: If there is no dust brings decomposed vegetable and he consecrates</t>
  </si>
  <si>
    <t>What is the offering? Come and hear, for Rav Huna son of Ashi said in the name of Rav: If there is no dust, one should bring a clod of earth and sanctify it.</t>
  </si>
  <si>
    <t>What is the halakhah regarding it? Come and hear, for Rav Huna bar Ashi said Rav said: If there is no dust there — he brings vegetable mold, and sanctifies.</t>
  </si>
  <si>
    <t>הוּא הָיָה אוֹמֵר: חָסִיד שׁוֹטֶה כּוּ׳. הֵיכִי דָּמֵי חָסִיד שׁוֹטֶה? כְּגוֹן דְּקָא טָבְעָה אִיתְּתָא בְּנַהֲרָא, וְאָמַר: לָאו אוֹרַח אַרְעָא לְאִיסְתַּכּוֹלֵי בַּהּ וְאַצּוֹלַהּ.</t>
  </si>
  <si>
    <t>He, would say: A foolish man of piety, Who is considered a foolish man of piety? For example, that a woman is drowning in a river, and he says: not proper conduct to look at her and save her.</t>
  </si>
  <si>
    <t>He used to say: "A pious fool, like so and so." How so is the example of a pious fool? For example, if a woman falls into a river, and he says, "It is not the way of the world to save her, and I will let her drown."</t>
  </si>
  <si>
    <t>He would say: a ḥasid shoteh, etc. What is the case of a ḥasid shoteh? For example, that a woman is drowning in the river, and he said: it is not the way of the world to look at her and save her.</t>
  </si>
  <si>
    <t>״אֵת כׇּל עֲבֹדָתָם אֲשֶׁר עָבְדוּ בָהֶם בְּפָרֶךְ״, אָמַר רַבִּי שְׁמוּאֵל בַּר נַחְמָנִי אָמַר רַבִּי יוֹנָתָן: שֶׁהָיוּ מַחְלִיפִין מְלֶאכֶת אֲנָשִׁים לְנָשִׁים וּמְלֶאכֶת נָשִׁים לַאֲנָשִׁים. וּלְמַאן דְּאָמַר נָמֵי הָתָם בְּפֶה רַךְ, הָכָא וַדַּאי בִּפְרִיכָה.</t>
  </si>
  <si>
    <t>“In all their service, wherein they made them serve with rigor” Rabbi Shmuel bar Naḥmani says Rabbi Yonatan says: would exchange men’s work to women and women’s work to men, And even according to the one who says there, with a soft mouth, here, certainly with crushing</t>
  </si>
  <si>
    <t>"The entirety of their work that they worked with them in shifts," Rabbi Shmuel bar Nachmani said in the name of Rabbi Yonatan: They would alternate men's work for women and women's work for men. And according to the one who said there, 'with a soft mouth,' here certainly with shifts."</t>
  </si>
  <si>
    <t xml:space="preserve">trtnalates with difficult to "in shifts" which is not a swap i understand </t>
  </si>
  <si>
    <t>“‘All their labor that they labored with them with *farekh*’,” said Rabbi Shemu’el bar Naḥmani, said Rabbi Yonatan: that they would exchange the work of men for women and the work of women for men. And according to the one who says also there, “with a soft mouth,” here certainly with crushing.</t>
  </si>
  <si>
    <t>וְרַבִּי יִשְׁמָעֵאל, לְעָרְבָן קְרָא אַחֲרִינָא כְּתִיב: ״וְשָׁחַט אֶת הַצִּפֹּר הָאֶחָת וְגוֹ׳״.</t>
  </si>
  <si>
    <t>And Rabbi Yishmael mix them Another verse is written: “And he shall slaughter one of the birds</t>
  </si>
  <si>
    <t>Rabbi Yishmael, to reconcile it, another verse is written: "And he shall slaughter the bird, the one..."</t>
  </si>
  <si>
    <t>And Rabbi Yishmaʿel— for their mixing, another verse is written: “And he shall slaughter the one bird, etc.”</t>
  </si>
  <si>
    <t>וְכֵן לְעִנְיַן הַטּוֹבָה מִרְיָם וְכוּ׳. מִי דָּמֵי? הָתָם — חֲדָא שַׁעְתָּא, הָכָא — שִׁבְעָה יוֹמֵי! אָמַר אַבָּיֵי, אֵימָא: וּלְעִנְיַן הַטּוֹבָה אֵינוֹ כֵּן.</t>
  </si>
  <si>
    <t>And the same with regard to the good Miriam Are comparable? There, one hour, here, seven days. Abaye said: Say And with regard to good it is not so,</t>
  </si>
  <si>
    <t>And so regarding the matter of the well of Miriam, etc. Who is comparable? There — one hour, here — seven days! Abaye said, I say: But regarding the matter of the well, it is not so.</t>
  </si>
  <si>
    <t>AND so with regard to the good measure of Miryam, etc. Is it comparable? There — one hour, here — seven days! Abaye said, say: and with regard to the good measure it is not so.</t>
  </si>
  <si>
    <t>״וַיִּבְקַע אֱלֹהִים אֶת הַמַּכְתֵּשׁ אֲשֶׁר בַּלֶּחִי״. אָמַר רַבִּי יִצְחָק דְּבֵי רַבִּי אַמֵּי: הוּא אִיוָּה לְדָבָר טָמֵא — לְפִיכָךְ נִתְלוּ חַיָּיו בְּדָבָר טָמֵא.</t>
  </si>
  <si>
    <t>“But God cleaved the hollow place that is in Lehi, Rabbi Yitzḥak of the school of Rabbi Ami says: He desired something unclean, Therefore, his life was dependent on something unclean,</t>
  </si>
  <si>
    <t>"And God split the grinder that was in Lehi." Rabbi Yitzchak of the school of Rabbi Ammi said: It is a hint for something impure - therefore his life was suspended on something impure.</t>
  </si>
  <si>
    <t>“‘And Elohim split the hollow that is in the Leḥi.’” Said Rabbi Yitzḥak of the house of Rabbi Ammi: He longed for a דבר טמא — therefore his life was hung upon a דבר טמא.</t>
  </si>
  <si>
    <t>וְהַכֹּהֵן אוֹחֵז בִּבְגָדֶיהָ. תָּנוּ רַבָּנַן: ״וּפָרַע אֶת רֹאשׁ הָאִשָּׁה״, אֵין לִי אֶלָּא רֹאשָׁהּ. גּוּפָהּ מִנַּיִן — תַּלְמוּד לוֹמַר: ״הָאִשָּׁה״. אִם כֵּן מָה תַּלְמוּד לוֹמַר ״וּפָרַע אֶת רֹאשָׁהּ״ — מְלַמֵּד שֶׁהַכֹּהֵן סוֹתֵר אֶת שְׂעָרָהּ.</t>
  </si>
  <si>
    <t>And the priest grabs hold of her clothing The Sages taught: and uncover the woman’s head” I have only her head; from where her body? The verse states: “The woman,” If so, what the verse states “And uncover her head”? teaches that the priest unbraids her hair.</t>
  </si>
  <si>
    <t>The priest holds onto her garments. The Rabbis taught: "And he shall uncover the woman's head," I have only her head. How do I know about her body? The Talmud teaches: "the woman." If so, why does the Talmud say "and he shall uncover her head"? To teach that the priest undoes her hair.</t>
  </si>
  <si>
    <t>generally correct</t>
  </si>
  <si>
    <t>And the Kohen holds her garments. The Rabbis taught: “And he shall uncover the head of the woman” — I have only her head. Her body from where — the verse teaches to say: “the woman.” If so what does the verse teach to say “And he shall uncover her head” — it teaches that the Kohen dishevels her hair.</t>
  </si>
  <si>
    <t>וּבְהַשְׁקָאָה גּוּפַהּ פְּלִיגִי רַבִּי שִׁמְעוֹן וְרַבָּנַן. דְּרַבָּנַן סָבְרִי: מַשְׁקָהּ וְאַחַר כָּךְ מַקְרִיב אֶת מִנְחָתָהּ, וְרַבִּי שִׁמְעוֹן סָבַר: מַקְרִיב אֶת מִנְחָתָהּ וְאַחַר כָּךְ מַשְׁקָהּ, שֶׁנֶּאֱמַר: ״וְאַחַר יַשְׁקֶה״.</t>
  </si>
  <si>
    <t>And for forcing to drink, itself Rabbi Shimon and the Rabbis disagree, as the Rabbis hold force to drink and afterward he sacrifice her meal-offering; and Rabbi Shimon holds sacrifice her meal-offering and afterward he force her to drink, as is stated: and afterward he shall make drink</t>
  </si>
  <si>
    <t>In the matter of libation, Rabbi Shimon and the Rabbis disagree. For the Rabbis hold: One should offer the libation and then bring the meal offering, while Rabbi Shimon holds: One should bring the meal offering and then offer the libation, as it is stated: "And afterward he shall offer the libation."</t>
  </si>
  <si>
    <t>And in the drinking itself Rabbi Shim‘on and the Rabbanan disagree. For the Rabbanan hold: he gives her to drink and afterward he offers her minḥah-offering, and Rabbi Shim‘on holds: he offers her minḥah-offering and afterward he gives her to drink, as it is stated: “and afterward he shall give to drink.”</t>
  </si>
  <si>
    <t>וְרַבִּי עֲקִיבָא: קִינּוּי אַחֲרִינָא כְּתִיב.</t>
  </si>
  <si>
    <t>And Rabbi Akiva is another warning written</t>
  </si>
  <si>
    <t>And Rabbi Akiva said: A different designation is written.</t>
  </si>
  <si>
    <t>And Rabbi ʿAqiva: another qinui is written.</t>
  </si>
  <si>
    <t>תָּנוּ רַבָּנַן: ״וְהִשְׁקָה״ מָה תַּלְמוּד לוֹמַר? וַהֲלֹא כְּבָר נֶאֱמַר ״וְהִשְׁקָהּ״! שֶׁאִם נִמְחֲקָה מְגִילָּה וְאוֹמֶרֶת ״אֵינִי שׁוֹתָה״ — מְעַרְעֲרִין אוֹתָהּ וּמַשְׁקִין אוֹתָהּ בְּעַל כׇּרְחָהּ, דִּבְרֵי רַבִּי עֲקִיבָא.</t>
  </si>
  <si>
    <t>The Sages taught: What the verse states “And he shall make her drink But isn’t it already stated: “And he shall make drink that if the scroll was erased and says: I will not drink, she is forced [ me’arerin ] to drink against her will. the statement of Rabbi Akiva.</t>
  </si>
  <si>
    <t>The Rabbis taught: "And make her drink" - what does the Talmud say? Has it not already been stated, "and make her drink"! If the scroll is erased and she says, "I will not drink" - we force her and make her drink against her will, the words of Rabbi Akiva.</t>
  </si>
  <si>
    <t>It was taught by the Rabbis: “And he shall give to drink” — what does the Talmud say? But is it not already said “and he shall give her to drink”! That if the megillah was erased and she says “I do not drink” — we undermine her and give her to drink against her will, the words of Rabbi Akiva.</t>
  </si>
  <si>
    <t>עוּלָּא אָמַר: כְּאִילּוּ בָּנָה בָּמָה, שֶׁנֶּאֱמַר: ״חִדְלוּ לָכֶם מִן הָאָדָם אֲשֶׁר נְשָׁמָה בְּאַפּוֹ כִּי בַּמֶּה נֶחְשָׁב הוּא״ — אַל תִּיקְרֵי ״בַּמֶּה״, אֶלָּא ״בָּמָה״.</t>
  </si>
  <si>
    <t>Ulla says: as if he built altar as it is stated: “Cease you from man, in whose nostrils there is breath, for how little [ bammeh ] is he to be accounted” Do not read as bammeh , Rather, bama ,</t>
  </si>
  <si>
    <t>Ulla said: As if he built a high place, as it is stated: "Cease from man, whose breath is in his nostrils; for how is he to be accounted of?" - Do not read "how is he to be accounted of," but rather "how is he to be accounted of."</t>
  </si>
  <si>
    <t>Ulla said: As though he built a *bamah*, as it is said: “Cease for yourselves from man, whose breath is in his nostrils, for in what is he accounted?” — do not read “*bammeh*,” but rather “*bamah*.”</t>
  </si>
  <si>
    <t>וְאִיבָּעֵית אֵימָא: דְּכוּלֵּי עָלְמָא חוּלִּין הַטְּבוּלִין לְחַלָּה לָא כְּחַלָּה דָּמוּ, וְאֵין שֵׁנִי עוֹשֶׂה שְׁלִישִׁי בְּחוּלִּין, וְהָכָא בְּמוּתָּר לִגְרוֹם טוּמְאָה לְחוּלִּין שֶׁבְּאֶרֶץ יִשְׂרָאֵל קָמִיפַּלְגִי.</t>
  </si>
  <si>
    <t>And if you wish, say Everyone non-sacred untithed with regard to ḥalla is not like ḥalla and cannot impart to non-sacred items. But here, they disagree with regard to it is permitted to cause ritual impurity to non-sacred that is in Eretz Yisrael.</t>
  </si>
  <si>
    <t>And if you wish, say: that all the world, ordinary immersed items for contact with impurity are not like the impurity of blood, and two items do not render a third item impure with ordinary immersed items, and here in this case it is permitted to cause impurity to ordinary immersed items in the Land of Israel.</t>
  </si>
  <si>
    <t>And if you wish, say: that everyone holds that ḥullin that are tebulin for ḥallah are not like ḥallah, and a second does not make a third with regard to ḥullin, and here they are disputing concerning whether it is permitted to cause tum’ah to ḥullin that are in Eretz Yisrael.</t>
  </si>
  <si>
    <t>דָּרֵישׁ רַבִּי עֲקִיבָא: אִישׁ וְאִשָּׁה זָכוּ — שְׁכִינָה בֵּינֵיהֶן. לֹא זָכוּ — אֵשׁ אוֹכַלְתָּן.</t>
  </si>
  <si>
    <t>Rabbi Akiva taught: a man [ ish ] and woman [ isha ] merit the Divine Presence between them. they do not merit fire consumes them.</t>
  </si>
  <si>
    <t>Rabbi Akiva expounded: If a man and a woman are worthy, the Divine Presence abides between them; if they are not worthy, fire consumes them.</t>
  </si>
  <si>
    <t>דָּרֵישׁ רַבִּי עֲקִיבָא: Rabbi Akiva expounded: אִישׁ וְאִשָּׁה a man and a woman זָכוּ—merited— שְׁכִינָה בֵּינֵיהֶן the Shekhinah is between them. לֹא זָכוּ—did not merit— אֵשׁ אוֹכַלְתָּן fire consumes them.</t>
  </si>
  <si>
    <t>קָרַב הַקּוֹמֶץ שְׁיָרֶיהָ נֶאֱכָלִין, וְרַשָּׁאִין הַכֹּהֲנִים לִיתֵּן לְתוֹכָהּ יַיִן וְשֶׁמֶן וּדְבַשׁ, וְאֵין אֲסוּרִין אֶלָּא מִלְּחַמֵּץ.</t>
  </si>
  <si>
    <t>the handful is sacrificed, the remainders of are eaten. And the priests are permitted to put wine and oil and honey in it, And they are prohibited only from allowing to become leavened.</t>
  </si>
  <si>
    <t>The close part of its handfuls are eaten, and the priests are permitted to place wine, oil, and honey into it, and they are only prohibited from leaven.</t>
  </si>
  <si>
    <t>The kometz was brought near; its remainders are eaten, and the kohanim are permitted to put into it wine and oil and honey, and they are not prohibited except from leavening.</t>
  </si>
  <si>
    <t>וְיֵשׁ זְכוּת תּוֹלָה שָׁלֹשׁ שָׁנִים כּוּ׳. זְכוּת דְּמַאי? אִילֵּימָא זְכוּת דְּתוֹרָה — הָא אֵינָהּ מְצֻווָה וְעוֹשָׂה הִיא! אֶלָּא זְכוּת דְּמִצְוָה.</t>
  </si>
  <si>
    <t>And there is a merit delays three years. Which merit If we say merit of Torah but is not commanded and performs Rather, merit of a mitzva</t>
  </si>
  <si>
    <t>And there is merit that depends for three years. What is the merit of demai? If you say the merit of Torah - but it is not commanded and done! Rather, the merit of a commandment.</t>
  </si>
  <si>
    <t>AND there is the merit of Torah three years, etc. The merit of what? If we say, the merit of Torah — behold, she is not commanded and does it! Rather, the merit of a mitzvah.</t>
  </si>
  <si>
    <t>״וְהוּא יָחֵל לְהוֹשִׁיעַ אֶת יִשְׂרָאֵל״, אָמַר רַבִּי חָמָא בְּרַבִּי חֲנִינָא:</t>
  </si>
  <si>
    <t>and he shall begin to save Israel Rabbi Ḥama, son of Rabbi Ḥanina, says:</t>
  </si>
  <si>
    <t>"And he began to save Israel," said Rabbi Hama son of Rabbi Hanina:</t>
  </si>
  <si>
    <t>“‘And he shall begin to save Yisrael,’” said Rabbi Ḥama in Rabbi Ḥanina:</t>
  </si>
  <si>
    <t>מַתְנִי׳ בְּמִדָּה שֶׁאָדָם מוֹדֵד — בָּהּ מוֹדְדִין לוֹ. הִיא קִשְּׁטָה אֶת עַצְמָהּ לַעֲבֵירָה — הַמָּקוֹם נִוְּולָהּ. הִיא גִּלְּתָה אֶת עַצְמָהּ לַעֲבֵירָה — הַמָּקוֹם גִּלָּה עָלֶיהָ. בַּיָּרֵךְ הִתְחִילָּה בַּעֲבֵירָה תְּחִילָּה וְאַחַר כָּךְ הַבֶּטֶן — לְפִיכָךְ תִּלְקֶה הַיָּרֵךְ תְּחִילָּה וְאַחַר כָּךְ הַבֶּטֶן, וּשְׁאָר כָּל הַגּוּף לֹא פָּלַט.</t>
  </si>
  <si>
    <t>With the measure that a person measures, he is measured with it. she, adorned herself to a transgression, the Omnipresent she rendered unattractive; she exposed herself for a transgression, the Omnipresent her exposed she began her transgression with thigh and afterward with stomach, therefore the thigh is smitten first and then the stomach, and the rest of all body not escape</t>
  </si>
  <si>
    <t>The Mishnah teaches: with the measure that a person measures - they measure for him. If she straightened herself for immorality - the place is straightened for her. If she revealed herself for immorality - the place is revealed upon her. If the thigh began with immorality first, and afterwards the belly - therefore the thigh is punished first, and afterwards the belly, and the rest of the body is not spared.</t>
  </si>
  <si>
    <t>**Matni׳:** With the measure that a man measures — with it they measure to him. She adorned herself for a transgression — *ha-Makom* made her repulsive. She exposed herself for a transgression — *ha-Makom* exposed upon her. With the thigh she began in the transgression first and afterward the belly — therefore the thigh will be smitten first and afterward the belly, and the rest of all the body did not escape.</t>
  </si>
  <si>
    <t>וְנוֹתֵן עָלֶיהָ שַׁמְנָהּ וּלְבוֹנָתָהּ, שֶׁנֶּאֱמַר: ״וְיָצַק עָלֶיהָ שֶׁמֶן וְנָתַן עָלֶיהָ לְבֹנָה״.</t>
  </si>
  <si>
    <t>puts its oil and frankincense on it. As it is stated: and he shall pour oil upon it, and put frankincense thereon”</t>
  </si>
  <si>
    <t>And he shall place upon it its oil and its frankincense, as it is stated: "And he shall pour upon it oil and place upon it frankincense."</t>
  </si>
  <si>
    <t>and he puts upon it its oil and its frankincense, as it is said: “and he shall pour upon it oil and he shall put upon it frankincense.”</t>
  </si>
  <si>
    <t>אֲמַר לֵיהּ רָבָא: הָא ״וְכֵן לְעִנְיַן הַטּוֹבָה״ קָתָנֵי! אֶלָּא אָמַר רָבָא, הָכִי קָתָנֵי: וְכֵן לְעִנְיַן הַטּוֹבָה, דִּבְאוֹתָהּ מִדָּה, וּלְעוֹלָם מִדָּה טוֹבָה מְרוּבָּה מִמִּדַּת פּוּרְעָנוּת.</t>
  </si>
  <si>
    <t>Rava said to him: But taught And the same with regard to the good Rather, Rava said: This is what is teaching: And the same with regard to the good with the same measure, but the measure of good is always greater than the measure of punishment.</t>
  </si>
  <si>
    <t>He said to him, Rava: This "and similarly for the matter of good" is what it teaches! Rather, Rava said, this is what it teaches: "And similarly for the matter of good," in accordance with its measure, and forever a measure of good is greater than a measure of punishment.</t>
  </si>
  <si>
    <t>Amar lei Rava: But “and so with regard to the good” it teaches! Rather, amar Rava, thus it teaches: And so with regard to the good, that in that measure, and forever a measure of good is greater than a measure of punishment.</t>
  </si>
  <si>
    <t>פְּלֵימוֹ אוֹמֵר: כְּדֵי שֶׁתּוֹשִׁיט יָדָהּ לַסַּל לִיטּוֹל כִּכָּר. בָּעֵי רַב אָשֵׁי: דִּמְהַדַּק אוֹ דְּלָא מְהַדַּק? בְּחַדְתָּא אוֹ בְּעַתִּיקָא? בְּחַמִּימָא אוֹ בְּקָרִירָא?</t>
  </si>
  <si>
    <t>Peleimu says: equivalent that may extend her hand into a basket to take a loaf Rav Ashi asks: where adheres or where does not adhere? where new, or where old where hot or where cold</t>
  </si>
  <si>
    <t>Pleimo says: In order to extend her hand to the basket to take a loaf. Rav Ashi asks: Is it while it is being ground or after it has been ground? In summer or in winter? In hot weather or in cold weather?</t>
  </si>
  <si>
    <t>Peleimo says: so that she may extend her hand to the basket to take a loaf. Rav Ashi inquires: that it is tight or that it is not tight? with a new one or with an old one? with hot or with cold?</t>
  </si>
  <si>
    <t>״וְנִלְחַם בָּנוּ וְעָלָה מִן הָאָרֶץ״, ״וְעָלִינוּ״ מִיבְּעֵי לֵיהּ! אָמַר רַבִּי אַבָּא בַּר כָּהֲנָא: כְּאָדָם שֶׁמְּקַלֵּל אֶת עַצְמוֹ, וְתוֹלֶה קִלְלָתוֹ בַּחֲבֵירוֹ.</t>
  </si>
  <si>
    <t>and fight against us, and get him up out of the land” He should have And get us up, Rabbi Abba bar Kahana says: is like a person who curses himself applies his curse to another.</t>
  </si>
  <si>
    <t>"And he will fight with us and ascend from the land," "and we will ascend" - who said this? Rabbi Abba bar Kahana said: Like a person who curses himself, and hangs his curse on his fellow.</t>
  </si>
  <si>
    <t>“and he will fight against us and go up from the land,” “and we will go up” it should have said! Amar Rabbi Abba bar Kahana: like a man who curses himself, and hangs his curse on his fellow.</t>
  </si>
  <si>
    <t>״וַיִּבֶן עָרֵי מִסְכְּנוֹת לְפַרְעֹה״, רַב וּשְׁמוּאֵל, חַד אָמַר: שֶׁמְּסַכְּנוֹת אֶת בַּעְלֵיהֶן. וְחַד אָמַר: שֶׁמְּמַסְכְּנוֹת אֶת בַּעְלֵיהֶן, דְּאָמַר מָר: כׇּל הָעוֹסֵק בְּבִנְיָן מִתְמַסְכֵּן.</t>
  </si>
  <si>
    <t>“And they built for Pharaoh storage cities [ miskenot ], Rav and Shmuel One says that endanger [ mesakenot ] their owners, And one says that impoverishes [ memaskenot ] their owners, as the Master said: All who engage in construction become poor.</t>
  </si>
  <si>
    <t>"And he built store cities for Pharaoh," Rav and Shmuel, one said: that they provided for their husbands. And one said: that they provided for their husbands, as the Master said: anyone who engages in building becomes impoverished.</t>
  </si>
  <si>
    <t>“‘And he built store-cities for Par‘oh,’” Rav and Shmu’el—one said: that they endanger their owners. And one said: that they impoverish their owners, as the Master said: anyone who զբաղק engages in building becomes impoverished.</t>
  </si>
  <si>
    <t>דְּאָמַר רַבִּי שְׁמוּאֵל בַּר נַחְמָנִי אָמַר רַבִּי יוֹחָנָן: מַאי דִּכְתִיב ״יְחִי רְאוּבֵן וְאַל יָמֹת״, ״וְזֹאת לִיהוּדָה״?</t>
  </si>
  <si>
    <t>as Rabbi Shmuel bar Naḥmani says Rabbi Yoḥanan says: What is which is written “Let Reuben live and not die in that his men become few” “And this for Judah,</t>
  </si>
  <si>
    <t>The Talmudic text translates as follows: Rabbi Shmuel bar Nachmani said in the name of Rabbi Yochanan: What is the meaning of the verse, "Let Reuben live and not die," "and this for Judah"?</t>
  </si>
  <si>
    <t>דְּאָמַר רַבִּי שְׁמוּאֵל בַּר נַחְמָנִי אָמַר רַבִּי יוֹחָנָן: For Rabbi Shmuel bar Naḥmani said, Rabbi Yoḥanan said: מַאי דִּכְתִיב “יְחִי רְאוּבֵן וְאַל יָמֹת”, “וְזֹאת לִיהוּדָה”? What is that which is written: “Let Reuven live and not die,” “And this for Yehuda”?</t>
  </si>
  <si>
    <t>וּמִסְתַּבְּרָא כְּמַאן דְּאָמַר רוּחַ טׇהֳרָה. דְּתַנְיָא: ״וְקִנֵּא אֶת אִשְׁתּוֹ״ — רְשׁוּת, דִּבְרֵי רַבִּי יִשְׁמָעֵאל. רַבִּי עֲקִיבָא אוֹמֵר: חוֹבָה. אִי אָמְרַתְּ בִּשְׁלָמָא רוּחַ טׇהֳרָה — שַׁפִּיר, אֶלָּא אִי אָמְרַתְּ רוּחַ טוּמְאָה, רְשׁוּת וְחוֹבָה לְעַיּוֹלֵי לְאִינִישׁ רוּחַ טוּמְאָה בְּנַפְשֵׁיהּ?</t>
  </si>
  <si>
    <t>And stands to reason like the one who says a spirit of purity, as it is taught “And he warned his wife,” optional, the statement of Rabbi Yishmael. Rabbi Akiva says: mandatory, Granted, if you say a spirit of purity, well, But if you say a spirit of impurity, optional or mandatory for a person to introduce a spirit of impurity into himself?</t>
  </si>
  <si>
    <t>Talmudic text: And it is logical according to the one who says pure spirit. As it was taught: "And he is jealous for his wife" - this is permission, the words of Rabbi Yishmael. Rabbi Akiva says: it is an obligation. If you say pure spirit - it is fine, but if you say impure spirit, is it permission and obligation to bring upon someone an impure spirit upon themselves?</t>
  </si>
  <si>
    <t>And it is reasonable according to the one who says: ru’aḥ ṭoharah. For it is taught: “And he shall warn his wife” — optional, the words of Rabbi Yishma’el. Rabbi Akiva says: obligation. If you say well, ru’aḥ ṭoharah — fine; but if you say ru’aḥ tum’ah, optional and obligation for a man to bring in ru’aḥ tum’ah into himself?</t>
  </si>
  <si>
    <t>הֵנִיף וְהִגִּישׁ קָמַץ וְכוּ׳. הָיָה מַשְׁקָהּ וְאַחַר כָּךְ מַקְרִיב אֶת מִנְחָתָהּ. הָא אַקְרְבַהּ!</t>
  </si>
  <si>
    <t>waved and brought near removed a handful would force to drink, and afterward he would sacrifice her meal-offering. Didn’t was sacrificed?</t>
  </si>
  <si>
    <t>He waved and brought near, gathered, etc. He was giving her to drink, and afterwards he would bring her meal offering. Ah, he brought her near!</t>
  </si>
  <si>
    <t>HE waved and HE brought-near, HE took-a-handful, etc. HE would give-her-to-drink, and afterward HE offers her Minḥah. But behold, HE already offered it!</t>
  </si>
  <si>
    <t xml:space="preserve">random capitlization </t>
  </si>
  <si>
    <t>אָמְרִי בְּמַעְרְבָא: לֵית הִילְכְתָא כְּרַב הַמְנוּנָא.</t>
  </si>
  <si>
    <t>They say in the West, The halakha is not in accordance with Rav Hamnuna.</t>
  </si>
  <si>
    <t>They said in the West: There is no halacha like Rav Hamnuna.</t>
  </si>
  <si>
    <t>They say in Ma‘arava: There is no halakha like Rav Hamnuna.</t>
  </si>
  <si>
    <t>וְרַבִּי אֱלִיעֶזֶר בְּנוֹ שֶׁל רַבִּי יוֹסֵי הַגְּלִילִי סָבַר: ״לֵאמֹר״ — אַכֹּל מִילְּתָא וּמִילְּתָא, וְרַבִּי נְחֶמְיָה סָבַר: ״וַיֹּאמְרוּ״ — דַּאֲמוּר כּוּלְּהוּ בַּהֲדֵי הֲדָדֵי, ״לֵאמֹר״ — דִּפְתַח מֹשֶׁה בְּרֵישָׁא.</t>
  </si>
  <si>
    <t>And Rabbi Eliezer, son of Rabbi Yosei HaGelili, holds “saying” to every single word, And Rabbi Neḥemya holds “and they said” that everyone recited together, “saying” that Moses began first;</t>
  </si>
  <si>
    <t>Rabbi Eliezer, son of Rabbi Yosei the Galilean, holds: "to say" - eat each and every word. And Rabbi Nechemiah holds: "and they said" - that they all said together, "to say" - for Moses began initially.</t>
  </si>
  <si>
    <t>And Rabbi Eliezer the son of Rabbi Yosei HaGelili held: “lemor” — eat each matter and matter; and Rabbi Neḥemya held: “vayomeru” — that they said all of them together with each other; “lemor” — that Moshe opened at the beginning.</t>
  </si>
  <si>
    <t>רַבִּי יְהוּדָה אוֹמֵר: בַּעְלָהּ וְכוּ׳. תַּנְיָא, רַבִּי יְהוּדָה אוֹמֵר, בַּעְלָהּ נֶאֱמָן מִקַּל וָחוֹמֶר: וּמָה נִדָּה שֶׁהִיא בְּכָרֵת — בַּעְלָהּ נֶאֱמָן עָלֶיהָ, סוֹטָה שֶׁהִיא בְּלָאו — לֹא כׇּל שֶׁכֵּן?!</t>
  </si>
  <si>
    <t>Rabbi Yehuda says: Her husband It is taught Rabbi Yehuda says: Her husband is trusted due to an a fortiori And just as a menstruating woman, who is by karet , her husband is trusted with regard to her, a sota , who is by a prohibition, not all the more so</t>
  </si>
  <si>
    <t>Rabbi Yehuda says: "Her husband, etc." It was taught: Rabbi Yehuda says, "Her husband is believed from a kal vachomer: and just as a niddah, which is punishable by karet - her husband is believed regarding her, a sotah, which is only a negative prohibition - all the more so?!"</t>
  </si>
  <si>
    <t>Rabbi Yehudah says: her husband, etc. It was taught: Rabbi Yehudah says, her husband is believed from a kal va-chomer: and just as a niddah, who is in karet—her husband is believed about her, a sotah, who is in a lav—is it not all the more so?!</t>
  </si>
  <si>
    <t>אָמַר רָבָא: מִפְּנֵי מָה אָמְרָה תּוֹרָה הָבֵא עָפָר לְסוֹטָה? זָכְתָה — יוֹצֵא מִמֶּנָּה בֵּן כְּאַבְרָהָם אָבִינוּ, דִּכְתִיב בֵּיהּ ״עָפָר וָאֵפֶר״, לֹא זָכְתָה — תַּחְזוֹר לַעֲפָרָהּ.</t>
  </si>
  <si>
    <t>Rava says: For what did the Torah say: Bring dust for the sota ? she merits a child like our Patriarch Abraham will emerge from her, as it is written with regard to dust and ashes” if she does not merit she shall return to her dust,</t>
  </si>
  <si>
    <t>Rava said: For what reason did the Torah state that the suspected adulteress brings dust for the Sotah ritual? If she is innocent — she will give birth to a son like our forefather Abraham, as it is written in it, "dust and ashes." If she is not innocent — she will return to her dust.</t>
  </si>
  <si>
    <t>אָמַר רָבָא: Rava said: מִפְּנֵי מָה אָמְרָה תּוֹרָה הָבֵא עָפָר לְסוֹטָה? For what reason did the Torah say: bring dust for the sota? זָכְתָה — If she merited — יוֹצֵא מִמֶּנָּה בֵּן כְּאַבְרָהָם אָבִינוּ, there comes out from her a son like Avraham Avinu, דִּכְתִיב בֵּיהּ ״עָפָר וָאֵפֶר״, as it is written about him: “and I am dust and ashes”; לֹא זָכְתָה — If she did not merit — תַּחְזוֹר לַעֲפָרָהּ. she will return to her dust.</t>
  </si>
  <si>
    <t>וְאִי לָא [אִי]עֲסַק בֵּיהּ יוֹסֵף, אֶחָיו לָא הֲווֹ מִעַסְּקִי בֵּיהּ? וְהָכְתִיב: ״וַיִּשְׂאוּ אוֹתוֹ בָנָיו אַרְצָה כְּנַעַן״? אָמְרוּ: הַנִּיחוּ לוֹ, כְּבוֹדוֹ בִּמְלָכִים יוֹתֵר מִבְּהֶדְיוֹטוֹת.</t>
  </si>
  <si>
    <t>And if Joseph would not have dealt with would his brothers not have dealt with it? But isn’t it written: “For his sons carried him into the land of Canaan, They said: Allow more honor by royalty than by common [ hedyotot ].</t>
  </si>
  <si>
    <t>And if not if Yosef was not involved with it, were his brothers not involved with it? And it is written: "And his sons carried him to the land of Canaan"? They said: Leave him, his honor is greater among kings than among commoners.</t>
  </si>
  <si>
    <t>And if not if he engaged with it, Yosef, his brothers would not have been engaging with it? And is it not written: “And his sons carried him to the land of Kena‘an”? They said: Leave him; his honor is with kings more than with commoners.</t>
  </si>
  <si>
    <t>וְהָכְתִיב: ״וַיֵּרֶד שִׁמְשׁוֹן תִּמְנָתָה״? תְּחִלַּת קִלְקוּלוֹ מִיהָא בְּעַזָּה הֲוָה.</t>
  </si>
  <si>
    <t>But isn’t it written “And Samson went down to Timnah, Gemara answers: In any event, his initial wrongdoing was in Gaza,</t>
  </si>
  <si>
    <t>And it is written: "And Samson went down to Timnah"? The beginning of his downfall was from there with Delilah.</t>
  </si>
  <si>
    <t>And is it not written: “And Shimshon went down to Timnata”? The beginning of his ruin, indeed, was in Azzah.</t>
  </si>
  <si>
    <t>וְרַבָּנַן: אִי כְּתַב רַחֲמָנָא ״וְטָבַל בָּהֶם״, הֲוָה אָמֵינָא: הַאי לְחוֹדֵיהּ וְהַאי לְחוֹדֵיהּ, כְּתַב רַחֲמָנָא: ״בְּדַם וּבַמַּיִם״ — לְעָרְבָן.</t>
  </si>
  <si>
    <t>And the Rabbis If the Merciful One had written And dip in them, I would say this separately and that separately. the Merciful One writes: in the blood and in the water,” to mix them</t>
  </si>
  <si>
    <t>The sages said: If the Merciful One had written "and immerse them," I would have said: This one for its own immersion and this one for its own immersion, the Merciful One wrote: "with blood and with water" - to mix them.</t>
  </si>
  <si>
    <t>And the Rabbanan: if the Merciful One had written: “and he shall dip in them,” I would have said: this by itself and that by itself; the Merciful One wrote: “in the blood and in the water” — to mix them.</t>
  </si>
  <si>
    <t>דִּכְתִיב: ״וְלָקְחוּ לַטָּמֵא מֵעֲפַר שְׂרֵיפַת הַחַטָּאת״, וְתַנְיָא, אָמַר רַבִּי שִׁמְעוֹן: וְכִי עָפָר הוּא? וַהֲלֹא אֵפֶר הוּא! שִׁינָּה הַכָּתוּב בְּמַשְׁמָעוֹ לָדוּן הֵימֶנּוּ גְּזֵירָה שָׁוָה. נֶאֱמַר כָּאן ״עָפָר״, וְנֶאֱמַר לְהַלָּן ״עָפָר״. מָה לְהַלָּן עָפָר עַל גַּבֵּי מַיִם — אַף כָּאן עָפָר עַל גַּבֵּי מַיִם.</t>
  </si>
  <si>
    <t>as it is written “And for the unclean they shall take of the dust of the burning of the purification from sin, And it is taught Rabbi Shimon said: Is it dust [ afar ] But isn’t it ashes [ efer ]? the Torah altered its usage in order to derive a verbal analogy from it. Dust is stated here, and dust is stated there, Just as there, dust on top of water, so too here, dust, on top of the water.</t>
  </si>
  <si>
    <t>Talmudic text: It is written: "And they shall take for the unclean person from the ashes of the burnt sin offering." And it was taught: Rabbi Shimon said: Is it really ashes? Is it not rather dust! The verse has altered its wording to make a comparison. It says here "dust," and it says elsewhere "dust." Just as there it is dust upon water - so too here, dust upon water.</t>
  </si>
  <si>
    <t>As it is written: “and they shall take for the impure from the dust of the burning of the sin-offering,” and it is taught: Rabbi Shim‘on said: and is it dust? but is it not ash! the verse changed in its meaning in order to derive from it a gezeirah shavah. It is said here “dust,” and it is said there “dust.” Just as there, dust upon the back of water — so too here, dust upon the back of water.</t>
  </si>
  <si>
    <t>גְּמָ׳ תְּרֵי וְאִיהוּ — הָא תְּלָתָא. לֵימָא מְסַיַּיע לֵיהּ לְרַב. דְּאָמַר רַב יְהוּדָה אָמַר רַב: לֹא שָׁנוּ אֶלָּא בָּעִיר, אֲבָל בַּדֶּרֶךְ — עַד דְּאִיכָּא שְׁלֹשָׁה, שֶׁמָּא יִצְטָרֵךְ אֶחָד מֵהֶן לִנְקָבָיו, וְנִמְצָא אֶחָד מֵהֶן מִתְיַיחֵד עִם הָעֶרְוָה.</t>
  </si>
  <si>
    <t>Two and he, are three Let us say this supports Rav, as Rav Yehuda says Rav says: they taught only in the town But on the way, unless there are three perhaps one will need to relieve himself and it will be found that one of them is in seclusion with a woman forbidden to him.</t>
  </si>
  <si>
    <t>Gemara: "Two and he — this is three. Let us say that it assists Rav. For Rav Yehudah said in the name of Rav: They only taught this regarding a city, but on the road — until there are three, lest one of them need to relieve himself, and it turns out that one of them is alone with a woman."</t>
  </si>
  <si>
    <t>GEMARA: Two, and he — behold, three. Let us say it supports Rav. As Rav Yehuda said Rav said: They taught only in a city, but on the road — until there are three, lest one of them need his orifices, and it is found that one of them is secluding himself with the nakedness.</t>
  </si>
  <si>
    <t>״צָדְקָה מִמֶּנִּי״. מְנָא יָדַע? יָצְתָה בַּת קוֹל וְאָמְרָה: מִמֶּנִּי יָצְאוּ כְּבוּשִׁים.</t>
  </si>
  <si>
    <t>“She is more righteous than I [ mimmenni ].” From where did he know A Divine Voice went forth and said: From Me these hidden emerged,</t>
  </si>
  <si>
    <t>"Charity from me." From where did he know? A heavenly voice emerged and said: "From me they came out embarrassed."</t>
  </si>
  <si>
    <t>“‘She is more righteous than I.’” From where did he know? A Bat Kol went out and said: From Me came out the hidden things.</t>
  </si>
  <si>
    <t>אֵינָהּ מַסְפֶּקֶת לִשְׁתּוֹת עַד שֶׁפָּנֶיהָ [כּוּ׳]. מַנִּי — רַבִּי שִׁמְעוֹן הִיא, דְּאָמַר: מַקְרִיב אֶת מִנְחָתָהּ וְאַחַר כָּךְ מַשְׁקָהּ. דְּכַמָּה דְּלָא קָרְבָה מִנְחָתַהּ — לָא בָּדְקִי לַהּ מַיָּא, דִּכְתִיב: ״מִנְחַת זִכָּרוֹן מַזְכֶּרֶת עָוֹן״,</t>
  </si>
  <si>
    <t>she does not manage to drinking before her face whose It is Rabbi Shimon, who says: sacrifices her meal-offering and afterward forces her to drink, because as long as her meal-offering has not been sacrificed the water does not evaluate her, as it is written: a meal-offering of remembrance, a reminder of iniquity”</t>
  </si>
  <si>
    <t>The text reads as follows: "It is not sufficient for her to drink until her face is pale. Who is the Tanna? — Rabbi Shimon, for he said: She brings her meal-offering and then she drinks. Just as she has not brought her meal-offering, he does not examine her with water, as it is written: 'A meal-offering of remembrance, memorializing iniquity.'"</t>
  </si>
  <si>
    <t>She is not sufficient to drink until her face etc.. Who is it? — It is Rabbi Shim‘on, for he said: He offers her minḥah and afterward he gives her to drink. For as long as her minḥah has not been offered — the water does not examine her, as it is written: “a minḥat zikkaron, reminding of iniquity,”</t>
  </si>
  <si>
    <t>אַמֵּימָר מַתְנֵי לְהָא דְּרַב חִינָּנָא בַּר פָּפָּא אַהָא, מַאי דִּכְתִיב: ״כִּי אֲנִי ה׳ לֹא שָׁנִיתִי וְאַתֶּם בְּנֵי יַעֲקֹב לֹא כְלִיתֶם״? ״אֲנִי ה׳ לֹא שָׁנִיתִי״ — לֹא הִכֵּיתִי לְאוּמָּהּ וְשָׁנִיתִי לָהּ. ״וְאַתֶּם בְּנֵי יַעֲקֹב לֹא כְלִיתֶם״ — הַיְינוּ דִּכְתִיב: ״חִצַּי אֲכַלֶּה בָּם״. חִצַּי כָּלִין, וְהֵן אֵינָן כָּלִין.</t>
  </si>
  <si>
    <t>Ameimar teaches that of Rav Ḥinnana bar Pappa with regard to this: What is which is written: “For I the Lord change not; and you, sons of Jacob, are not consumed” “For I the Lord change [ shaniti ] not” I did not strike a nation and repeat [ shaniti ] it, “And you, sons of Jacob, are not consumed,” This is as that which is written: I will consume My arrows upon them” My arrows are consumed and they, are not consumed</t>
  </si>
  <si>
    <t>Ammemar teaches in the name of Rav Chinana bar Papa: What is the meaning of what is written: "For I am the Lord, I have not changed, and you, sons of Jacob, have not been consumed"? "For I am the Lord, I have not changed" - I have not struck her for no reason, but I have changed her. "And you, sons of Jacob, have not been consumed" - this is as it is written: "My arrows will I spend upon them." My arrows are spent, yet they are not consumed.</t>
  </si>
  <si>
    <t>Amemar would teach this of Rav Ḥinnana bar Pappa on this: What is that which is written: “For I, Hashem, I have not changed; and you, sons of Ya‘akov, have not been consumed”? “I, Hashem, I have not changed” — I did not strike a nation and repeat to it. “And you, sons of Ya‘akov, have not been consumed” — this is that which is written: “My arrows I will consume in them.” My arrows are consumed, and they are not consumed.</t>
  </si>
  <si>
    <t>נִזְדַּמְּנָה לוֹ אֲבוּקָה שֶׁל אוּר — נִיצַּל מִן הַקּוֹצִים וּמִן הַפְּחָתִים וּמִן הַבַּרְקָנִים, וַעֲדַיִין מִתְיָירֵא מֵחַיָּה רָעָה וּמִן הַלִּיסְטִין, וְאֵינוֹ יוֹדֵעַ בְּאֵיזֶה דֶּרֶךְ מְהַלֵּךְ. כֵּיוָן שֶׁעָלָה עַמּוּד הַשַּׁחַר — נִיצַּל מֵחַיָּה רָעָה וּמִן הַלִּיסְטִין, וַעֲדַיִין אֵינוֹ יוֹדֵעַ בְּאֵיזֶה דֶּרֶךְ מְהַלֵּךְ. הִגִּיעַ לְפָרָשַׁת דְּרָכִים — נִיצַּל מִכּוּלָּם.</t>
  </si>
  <si>
    <t>a torch of fire comes his way, he is safe from the thorns and from the pits and from the thistles, but he is still afraid of wild animals and of the bandits, and does not know which way he is walking. Once the light of dawn rises, he is safe from wild animals and from the bandits, but he still does not know which way he is walking. he arrives at a crossroads he is saved from all of them.</t>
  </si>
  <si>
    <t>Talmudic text: If a nest of light was found for him - he was saved from thorns, and from pitfalls, and from scorpions, and he still fears an evil beast and from robbers, and he does not know in which way he walks. Once the morning star rises - he was saved from an evil beast and from robbers, and he still does not know in which way he walks. When he reached the crossroads - he was saved from all of them.</t>
  </si>
  <si>
    <t>An *avukah* of fire happened to come to him — he was saved from the thorns and from the pits and from the *barkanin*, and still he is afraid of a wild beast and of the *listin*, and he does not know on which way he is walking. Once the pillar of dawn rose — he was saved from a wild beast and from the *listin*, and still he does not know on which way he is walking. He reached a crossroads — he was saved from all of them.</t>
  </si>
  <si>
    <t>כְּתָבָהּ קוֹדֶם שֶׁתְּקַבֵּל עָלֶיהָ שְׁבוּעָה — פְּסוּלָה, שֶׁנֶּאֱמַר: ״וְהִשְׁבִּיעַ״, וְאַחַר כָּךְ ״וְכָתַב״.</t>
  </si>
  <si>
    <t>If one wrote before accepted the oath upon herself, is unfit, as it is stated: “Then shall cause to swear and afterward “And shall write</t>
  </si>
  <si>
    <t>The writing before she accepts upon it a week - disqualified, as it is stated: "And he shall cause her to drink," and afterwards "and write."</t>
  </si>
  <si>
    <t>If he wrote it before she accepts upon herself an oath — it is invalid, as it is stated: “and he shall administer an oath”, and afterward “and he shall write”.</t>
  </si>
  <si>
    <t>דָּבָר אַחֵר: הִיא עָשְׂתָה בַּסֵּתֶר — הַמָּקוֹם פִּירְסְמָה בַּגָּלוּי, שֶׁנֶּאֱמַר: ״תִּכַּסֶּה שִׂנְאָה בְּמַשָּׁאוֹן תִּגָּלֶה רָעָתוֹ בְקָהָל (וְגוֹ׳)״.</t>
  </si>
  <si>
    <t>Alternatively, she acted in secret, the Omnipresent revealed it in the open, as it is stated: “Though his hatred be concealed with deceit, his wickedness shall be revealed before the congregation”</t>
  </si>
  <si>
    <t>Another explanation: She did it in secret - the place she publicized openly, as it is stated: "Hatred is covered up with deceit; his wickedness will be revealed in the assembly (etc.)".</t>
  </si>
  <si>
    <t xml:space="preserve">doesnt understand the euphemism of "God" as "hamakom" </t>
  </si>
  <si>
    <t>Another matter: she did it in secret — HaMakom publicized her in the open, as it is said: “He that covereth hatred with lying lips, and he that uttereth a slander, is a fool. He that covereth hatred with a false show, his evil shall be revealed in the assembly (etc.).”</t>
  </si>
  <si>
    <t>וְהֵיכָן קִיַּימְתָּה? אָמַר רַב אָשֵׁי: קָסָבַר הַאי תַּנָּא כּוּלֵּיהּ מִזְבֵּחַ בְּצָפוֹן קָאֵי.</t>
  </si>
  <si>
    <t>But where have you fulfilled Rav Ashi said: This tanna holds the entire altar stands in the north</t>
  </si>
  <si>
    <t>And where was it established? Rav Ashi said: He holds that this Tanna maintains that the entire altar is situated in the north.</t>
  </si>
  <si>
    <t>And where did you establish it? Rav Ashi said: This tanna holds: the entire mizbe’aḥ stands in the north.</t>
  </si>
  <si>
    <t>וְאוֹמֵר לָהּ: בִּתִּי, הַרְבֵּה יַיִן עוֹשֶׂה, הַרְבֵּה שְׂחוֹק עוֹשֶׂה, הַרְבֵּה יַלְדוּת עוֹשָׂה, הַרְבֵּה שְׁכֵנִים הָרָעִים עוֹשִׂין.</t>
  </si>
  <si>
    <t>And say to her: My daughter, wine causes a great deal levity causes a great deal immaturity causes a great deal bad neighbors cause a great deal</t>
  </si>
  <si>
    <t>And he says to her: My daughter, much wine makes, much laughter makes, much childishness makes, much evil neighbors do.</t>
  </si>
  <si>
    <t>And he says to her: My daughter, much wine does, much laughter does, much youth does, many evil neighbors do.</t>
  </si>
  <si>
    <t>לֵימָא דְּרַב נַחְמָן תַּנָּאֵי הִיא? לָא, דְּכוּלֵּי עָלְמָא אִית לְהוּ דְּרַב נַחְמָן. וְהָכָא בְּהָא קָמִיפַּלְגִי, מָר סָבַר: בִּזְיוֹנֵיהּ עֲדִיף לֵיהּ טְפֵי מִצַּעְרָא דְגוּפֵיהּ, וּמָר סָבַר: צַעְרָא דְגוּפֵיהּ עֲדִיף לֵיהּ טְפֵי מִבִּזְיוֹנֵיהּ.</t>
  </si>
  <si>
    <t>Let us say that of Rav Naḥman is tanna’im , No, that everyone agrees with Rav Naḥman, and here they disagree about this: Sage, holds: one’s degradation is preferable to him than his physical pain. And Sage, holds that physical pain is preferable to a person than his degradation,</t>
  </si>
  <si>
    <t>Let us say that Rav Nachman is a Tanna? No, for everyone in the world has a Rav Nachman. And here in this case, they argued: One Master holds that his disgrace is more severe to him than his physical pain, and the other Master holds that his physical pain is more severe to him than his disgrace.</t>
  </si>
  <si>
    <t>Shall we say that Rav Naḥman is a matter of Tanna’im? No, for everyone holds of Rav Naḥman. And here, in this, they disagree: one Master holds: his disgrace is preferable to him more than the pain of his body; and one Master holds: the pain of his body is preferable to him more than his disgrace.</t>
  </si>
  <si>
    <t>רַבִּי חָמָא בַּר חֲנִינָא אָמַר: כְּאִילּוּ בָּא עַל כׇּל הָעֲרָיוֹת. כְּתִיב הָכָא: ״תּוֹעֲבַת ה׳ כׇּל גְּבַהּ לֵב״, וּכְתִיב הָתָם: ״כִּי אֶת כׇּל הַתּוֹעֵבוֹת הָאֵל וְגוֹ׳״.</t>
  </si>
  <si>
    <t>Rabbi Ḥama bar Ḥanina says: as if he engaged in sexual intercourse with all those with whom relations are forbidden, it is written here: “Everyone who is proud in heart is an abomination to the Lord” and it is written there, “For all these abominations</t>
  </si>
  <si>
    <t>Rabbi Ḥama son of Ḥanina said: As if he came upon all the forbidden relationships. It is written here: "An abomination of the Lord is every proud of heart," and it is written there: "For all these abominations, etc."</t>
  </si>
  <si>
    <t>Rabbi Ḥama bar Ḥanina said: As though he came upon all the forbidden sexual relations. It is written here: “An abomination of the LORD is every one that is proud in heart,” and it is written there: “For all these abominations, etc.”</t>
  </si>
  <si>
    <t>בָּעֵי רָבָא: כָּתַב שְׁתֵּי מְגִילּוֹת לִשְׁתֵּי סוֹטוֹת, וּמְחָקָן לְתוֹךְ כּוֹס אֶחָד, מַהוּ? כְּתִיבָה לִשְׁמָהּ בָּעֵינַן, וְהָאִיכָּא, אוֹ דִילְמָא בָּעֵינַן נָמֵי מְחִיקָה לִשְׁמָהּ?</t>
  </si>
  <si>
    <t>Rava raised a dilemma: If one wrote two scrolls for two sota women but erased in one cup, what is we require writing for the sake of that is Or perhaps we require also erasure for the sake of</t>
  </si>
  <si>
    <t>Rava asked: If one writes two scrolls for two sotahs and erases them into one cup, what is the law? We require the writing for its own sake, but perhaps here, or maybe we also require the erasing for its own sake?</t>
  </si>
  <si>
    <t>בָּעֵי רָבָא: Rava inquired: כָּתַב שְׁתֵּי מְגִילּוֹת לִשְׁתֵּי סוֹטוֹת, he wrote two scrolls for two Sotot, וּמְחָקָן לְתוֹךְ כּוֹס אֶחָד, and erased them into one cup, מַהוּ? what is it? כְּתִיבָה לִשְׁמָהּ בָּעֵינַן, we require writing for her sake, וְהָאִיכָּא, and here it is, אוֹ דִילְמָא בָּעֵינַן נָמֵי מְחִיקָה לִשְׁמָהּ? or perhaps we require also erasure for her sake?</t>
  </si>
  <si>
    <t>וְאֶת הַתּוֹרָה בְּאוֹר, לוֹמַר לָךְ: מָה אוֹר מֵגֵין לָעוֹלָם, אַף תּוֹרָה מְגִינָּה לָעוֹלָם. וְאוֹמֵר: ״בְּהִתְהַלֶּכְךָ תַּנְחֶה אֹתְךָ וְגוֹ׳״. ״בְּהִתְהַלֶּכְךָ תַּנְחֶה אֹתְךָ״ — זֶה הָעוֹלָם הַזֶּה. ״בְּשָׁכְבְּךָ תִּשְׁמוֹר עָלֶיךָ״ — זוֹ מִיתָה. ״וַהֲקִיצוֹתָ הִיא תְשִׂיחֶךָ״ — לֶעָתִיד לָבֹא.</t>
  </si>
  <si>
    <t>And the Torah with light to say to you: Just as light protects forever, so too, Torah protects forever; and it states “When you walk, it shall lead you; “When you walk, it shall lead you”; this is this world. “When you lie down, it shall watch over you”; this is death, “And when you awake, it shall talk with you”; to the time to come</t>
  </si>
  <si>
    <t>And the Torah in light, to say to you: Just as light protects the world, so too does the Torah protect the world. And it says: "In your walking, it will guide you, etc." "In your walking, it will guide you" — this refers to this world. "In your lying down, it will watch over you" — this is death. "And when you wake, it will converse with you" — in the future to come.</t>
  </si>
  <si>
    <t>וְאֶת הַתּוֹרָה בְּאוֹר, לוֹמַר לָךְ: מָה אוֹר מֵגֵין לָעוֹלָם, אַף תּוֹרָה מְגִינָּה לָעוֹלָם. וְאוֹמֵר: ״בְּהִתְהַלֶּכְךָ תַּנְחֶה אֹתָךְ וְגוֹ׳״. ״בְּהִתְהַלֶּכְךָ תַּנְחֶה אֹתָךְ״ — זֶה הָעוֹלָם הַזֶּה. ״בְּשָׁכְבְּךָ תִּשְׁמוֹר עָלֶיךָ״ — זוֹ מִיתָה. ״וַהֲקִיצוֹתָ הִיא תְשִׂיחֶךָ״ — לֶעָתִיד לָבֹא.</t>
  </si>
  <si>
    <t>and the Torah in light, to say to you: just as light protects the world, so too Torah protects the world. and it says: “When you walk, it shall lead you, etc.” “When you walk, it shall lead you” — this is this world. “When you lie down, it shall watch over you” — this is death. “and when you awake, it shall speak with you” — for the future to come.</t>
  </si>
  <si>
    <t>אָמַר רַב יְהוּדָה אָמַר רַב: מִפְּנֵי מָה נִקְרָא יוֹסֵף עֲצָמוֹת בְּחַיָּיו — מִפְּנֵי שֶׁלֹּא מִיחָה בִּכְבוֹד אָבִיו, דְּקָאָמְרִי לֵיהּ ״עַבְדְּךָ אָבִינוּ״, וְלָא אֲמַר לְהוּ וְלָא מִידֵּי.</t>
  </si>
  <si>
    <t>Rav Yehuda says Rav says: For what was Joseph called: Bones, during his lifetime, Because he did not protest for the honor of his father, as said to “Your servant our father” and said nothing to them</t>
  </si>
  <si>
    <t>Rav Yehudah said in the name of Rav: Why was Yosef called "bones" in his lifetime? Because he did not erase the honor of his father, as they say to him, "Your servant, our father," and he did not say to them, nor from his hand.</t>
  </si>
  <si>
    <t>אָמַר Rav Yehudah אָמַר Rav: For what (reason) was Yosef called “bones” in his lifetime? — Because he did not protest for the honor of his father, for they were saying to him: “your servant, our father,” and he did not say to them anything.</t>
  </si>
  <si>
    <t>הַמְקַנֵּא לְאִשְׁתּוֹ , רַבִּי אֱלִיעֶזֶר אוֹמֵר: מְקַנֵּא לָהּ עַל פִּי שְׁנַיִם, וּמַשְׁקָהּ עַל פִּי עֵד אֶחָד, אוֹ עַל פִּי עַצְמוֹ. רַבִּי יְהוֹשֻׁעַ אוֹמֵר: מְקַנֵּא לָהּ עַל פִּי שְׁנַיִם, וּמַשְׁקָהּ עַל פִּי שְׁנַיִם.</t>
  </si>
  <si>
    <t>one who issues a warning to his wife Rabbi Eliezer says: issues a warning to her based on, two And gives to drink based on one witness or based on his own Rabbi Yehoshua says: issues a warning to her based on two and gives to drink based on two</t>
  </si>
  <si>
    <t>The one who is jealous for his wife, Rabbi Eliezer says: he should be jealous for her based on the testimony of two, and he should make her drink based on the testimony of one witness, or based on his own testimony. Rabbi Yehoshua says: he should be jealous for her based on the testimony of two, and he should make her drink based on the testimony of two.</t>
  </si>
  <si>
    <t>He who warns his wife, Rabbi Eliezer says: he warns her on the mouth of two, and he gives her to drink on the mouth of one witness, or on his own mouth. Rabbi Yehoshua says: he warns her on the mouth of two, and he gives her to drink on the mouth of two.</t>
  </si>
  <si>
    <t>וּמְלַקֵּט אֶת לְבוֹנָתָהּ וְנוֹתְנָהּ עַל גַּבָּיו — דִּכְתִיב: ״וְאֶת כׇּל הַלְּבוֹנָה אֲשֶׁר עַל הַמִּנְחָה״.</t>
  </si>
  <si>
    <t>And he gathers its frankincense and puts it on top of As it is written: and all the frankincense which is upon the meal-offering”</t>
  </si>
  <si>
    <t>"And gathering its frankincense and placing it upon its woodpile" - as it is written: "And all the frankincense that is upon the offering."</t>
  </si>
  <si>
    <t>and he gathers up its levonah and places it upon it — as it is written: “and all the levonah that is upon the minḥah”.</t>
  </si>
  <si>
    <t>רַבִּי אֶלְעָזָר אוֹמֵר: יָכוֹל יַגִּישֶׁנָּה בְּמַעֲרָבָהּ שֶׁל קֶרֶן אוֹ לִדְרוֹמָהּ שֶׁל קֶרֶן — אָמַרְתָּ: כׇּל מָקוֹם שֶׁאַתָּה מוֹצֵא שְׁנֵי מִקְרָאוֹת, אֶחָד מְקַיֵּים עַצְמוֹ וּמְקַיֵּים דִּבְרֵי חֲבֵירוֹ, וְאֶחָד מְקַיֵּים עַצְמוֹ וּמְבַטֵּל דִּבְרֵי חֲבֵירוֹ — מַנִּיחִין אֶת שֶׁמְּקַיֵּים עַצְמוֹ וּמְבַטֵּל חֲבֵירוֹ, וְתוֹפְסִין אֶת שֶׁמְּקַיֵּים עַצְמוֹ וּמְקַיֵּים חֲבֵירוֹ. כְּשֶׁאַתָּה אוֹמֵר ״לִפְנֵי ה׳״ בַּמַּעֲרָב — בִּטַּלְתָּה ״אֶל פְּנֵי הַמִּזְבֵּחַ״ בַּדָּרוֹם, וּכְשֶׁאַתָּה אוֹמֵר ״אֶל פְּנֵי הַמִּזְבֵּחַ״ בַּדָּרוֹם, קִיַּימְתָּה ״לִפְנֵי ה׳״ בַּמַּעֲרָב. הָא כֵּיצַד? מַגִּישָׁהּ לִדְרוֹמָהּ שֶׁל קֶרֶן.</t>
  </si>
  <si>
    <t>Rabbi Elazar says might he offers it up on the western side of the corner or on the southern side of the corner. Say: Anywhere you find two verses, one fulfills itself and fulfills the statement of the other, and one fulfills itself and nullifies the statement of the other, leave that fulfills itself and nullifies the other, and seize the one that fulfills itself and fulfills the other. When you say: “Before the Lord,” on the western side, you have nullified “In front of the altar,” on the southern side. But when you say: “In front of the altar,” on the southern side, you have fulfilled: “Before the Lord,” on the western side. How so? He brings it near to the southern side of the corner.</t>
  </si>
  <si>
    <t>Rabbi Elazar says: One might have thought to bring it near to the southwest corner of the altar or to its southeast corner - you say: In any place where you find two verses, one establishing itself and establishing the words of its fellow, and one establishing itself and nullifying the words of its fellow - we leave the one that establishes itself and nullifies its fellow, and we take the one that establishes itself and establishes its fellow. When you say "before the Lord" in the west - you nullified "to the front of the altar" in the south, and when you say "to the front of the altar" in the south, you established "before the Lord" in the west. How so? You bring it near to the southeast corner of the altar.</t>
  </si>
  <si>
    <t>Rabbi Elʿazar says: One might think he may bring it near at its west of the horn or at its south of the horn — you said: Any place that you find two verses, one upholds itself and upholds the words of its fellow, and one upholds itself and nullifies the words of its fellow — we set aside the one that upholds itself and nullifies its fellow, and we seize the one that upholds itself and upholds its fellow. When you say “before Hashem” in the west — you nullified “toward the face of the altar” in the south; and when you say “toward the face of the altar” in the south, you upheld “before Hashem” in the west. This, how so? He brings it near to the south of the horn.</t>
  </si>
  <si>
    <t>אָמְרוּ לוֹ: לֹא, אִם אָמַרְתָּ בְּנִדָּה — שֶׁכֵּן יֵשׁ לָהּ הֶיתֵּר, תֹּאמַר בְּסוֹטָה — שֶׁאֵין לָהּ הֶיתֵּר, וְאוֹמֵר: ״מַיִם גְּנוּבִים יִמְתָּקוּ וְגוֹ׳״.</t>
  </si>
  <si>
    <t>said to him: No, if you say with regard to a menstruating woman, because she has permitted Shall you say with regard to a sota , who does not have permitted And states: “Stolen waters are sweet</t>
  </si>
  <si>
    <t>They said to him: No, if you said regarding a woman in a state of impurity - that she has a permissible status, say regarding a suspected adulteress - that she does not have a permissible status, and say: "Stolen waters are sweet, and bread eaten in secret is pleasant."</t>
  </si>
  <si>
    <t>They said to him: No; if you said with regard to Niddah — for she has a permissibility, will you say with regard to Sotah — for she has no permissibility? And it says: “Stolen waters are sweet, and etc.”</t>
  </si>
  <si>
    <t>אָמַר רָבָא: הַאי ״בְּעַד אִשָּׁה זוֹנָה עַד כִּכַּר לָחֶם״ — ״בְּעַד כִּכַּר לֶחֶם עַד אִשָּׁה זוֹנָה״ מִיבְּעֵי לֵיהּ! אֶלָּא אָמַר רָבָא: כׇּל הַבָּא עַל אִשָּׁה זוֹנָה, לְסוֹף מְבַקֵּשׁ כִּכַּר לֶחֶם.</t>
  </si>
  <si>
    <t>Rava said: This “For on account of a harlot a man is brought to a loaf of bread,” It should have “On account of a loaf a man is brought to a harlot.” Rather, Rava says Anyone who engages in sexual intercourse with a harlot eventually beg a loaf of bread.</t>
  </si>
  <si>
    <t>Rava said: This "for the sake of a woman, one may commit adultery for a loaf of bread" — "for a loaf of bread, one may commit adultery for the sake of a woman" — what does he seek to teach us? Rather, Rava said: Whoever engages with a promiscuous woman ultimately seeks a loaf of bread.</t>
  </si>
  <si>
    <t>אָמַר רָבָא: Rava said: this “For on account of a harlot woman unto a loaf of bread” — “For on account of a loaf of bread unto a harlot woman” it should have said! Rather, Rava said: anyone who comes upon a harlot woman, in the end seeks a loaf of bread.</t>
  </si>
  <si>
    <t>רַבָּנַן סָבְרִי: ״וְהִשְׁקָה״ קַמָּא — לְגוּפוֹ, שֶׁמַּשְׁקֶה וְאַחַר כָּךְ מַקְרִיב אֶת מִנְחָתָהּ. ״וְאַחַר יַשְׁקֶה״ — מִיבְּעֵי לֵיהּ לְשֶׁרִישּׁוּמוֹ נִיכָּר. ״וְהִשְׁקָהּ״ בָּתְרָא — שֶׁאִם נִמְחֲקָה מְגִילָּה וְאוֹמֶרֶת ״אֵינִי שׁוֹתָה״, מְעַרְעֲרִין אוֹתָהּ וּמַשְׁקֶה אוֹתָהּ בְּעַל כׇּרְחָהּ.</t>
  </si>
  <si>
    <t>The Rabbis hold the first “And he shall make drink,” to itself, that forces her to drink and afterward sacrifices her meal-offering. “And afterward he shall make drink,” is necessary that the impression is discernible, the last “And he shall make her drink,” that if the scroll was erased and says: I will not drink, she is forced to drink against her will.</t>
  </si>
  <si>
    <t>The sages hold: "and he shall make her drink" - referring to her body, that he makes her drink and afterwards brings her meal offering. "and afterwards he shall make her drink" - he must make her drink in a recognizable vessel. "and he shall make her drink" afterwards - if she erases the scroll and says, "I will not drink," they force her and make her drink against her will.</t>
  </si>
  <si>
    <t>Rabbanan savri: “and he shall give to drink” the first — for its own body, that he gives to drink and afterward thus he offers her minḥah. “and afterward he shall give to drink” — it is needed for him for that its mark is recognizable. “and he shall give her to drink” the latter — that if the megillah was erased and she says “I am not drinking,” they shake her and give her to drink her against her will.</t>
  </si>
  <si>
    <t>תָּנוּ רַבָּנַן: אֵי זוֹ הִיא עֵדוּת הָרִאשׁוֹנָה — זוֹ עֵדוּת סְתִירָה, עֵדוּת אַחֲרוֹנָה — זוֹ עֵדוּת טוּמְאָה.</t>
  </si>
  <si>
    <t>The Sages taught which is the first testimony? This testimony of seclusion. the final testimony? This testimony of defilement.</t>
  </si>
  <si>
    <t>The Rabbis taught: What is the first testimony? — This is contradictory testimony. What is the last testimony? — This is testimony of impurity.</t>
  </si>
  <si>
    <t>תָּנוּ רַבָּנַן: The Rabbis taught: אֵי זוֹ הִיא עֵדוּת הָרִאשׁוֹנָה — Which is the first testimony? — זוֹ עֵדוּת סְתִירָה, This is testimony of seclusion; עֵדוּת אַחֲרוֹנָה — The later testimony — זוֹ עֵדוּת טוּמְאָה. This is testimony of tum’ah.</t>
  </si>
  <si>
    <t>וְרַבִּי מֵאִיר, מַאי שְׁנָא הַאי הֵי דִּמְרַבֵּי בֵּיהּ, וּמַאי שְׁנָא הַאי הֵי דְּמַעֵיט בֵּיהּ?</t>
  </si>
  <si>
    <t>But Rabbi Meir, what is different this heh that it amplifies and what is different that heh that it excludes</t>
  </si>
  <si>
    <t>Rabbi Meir, what is the difference between this one who increases in it, and what is the difference between this one who decreases in it?</t>
  </si>
  <si>
    <t>And Rabbi Meir—what is different about this *hei* that he includes with it, and what is different about this *hei* that he excludes with it?</t>
  </si>
  <si>
    <t>מַתְנִי׳ עַד שֶׁלֹּא נִמְחֲקָה הַמְּגִילָּה אָמְרָה ״אֵינִי שׁוֹתָה״ — מְגִילָּתָהּ נִגְנֶזֶת, וּמִנְחָתָהּ מִתְפַּזֶּרֶת עַל הַדֶּשֶׁן, וְאֵין מְגִילָּתָהּ כְּשֵׁרָה לְהַשְׁקוֹת בָּהּ סוֹטָה אַחֶרֶת. נִמְחֲקָה הַמְּגִילָּה וְאָמְרָה ״טְמֵאָה אֲנִי״ — הַמַּיִם נִשְׁפָּכִין, וּמִנְחָתָהּ מִתְפַּזֶּרֶת עַל בֵּית הַדֶּשֶׁן. נִמְחֲקָה הַמְּגִילָּה וְאָמְרָה ״אֵינִי שׁוֹתָה״ — מְעַרְעֲרִין אוֹתָהּ, וּמַשְׁקִין אוֹתָהּ בְּעַל כׇּרְחָהּ.</t>
  </si>
  <si>
    <t>before the scroll was erased she said: I will not drink, the scroll her is sequestered, and her meal-offering is scattered over the ashes, and her scroll is not fit to give another sota to drink. the scroll was erased and she said: I am defiled, the water is poured out, and her meal-offering is scattered in the place of the ashes. the scroll was erased and she said: I will not drink, she is forced to drink against her will.</t>
  </si>
  <si>
    <t>The Mishnah teaches: Until the scroll of the Megillah is not erased, if it says, "I do not drink," her Megillah is hidden away, and her meal offering is scattered on the ash heap, and her Megillah is not valid to cause another suspected woman to drink. If the Megillah is erased and it says, "I am impure," the water is poured out, and her meal offering is scattered on the floor of the Temple courtyard. If the Megillah is erased and it says, "I do not drink," they dispute it, and they force her to drink against her will.</t>
  </si>
  <si>
    <t>**Matni׳**: Until that the *megillah* was not erased, she said: “I do not drink” — her *megillah* is stored away, and her *minchah* is scattered upon the ashes, and her *megillah* is not valid to give drink with it to another *sotah*. The *megillah* was erased and she said: “Impure am I” — the waters are poured out, and her *minchah* is scattered upon the *Beit HaDeshen*. The *megillah* was erased and she said: “I do not drink” — they undermine her, and they give her drink against her will.</t>
  </si>
  <si>
    <t>מִמַּשְׁמַע שֶׁנֶּאֱמַר ״לֹא יָקוּם עֵד בְּאִישׁ״, אֵינִי יוֹדֵעַ שֶׁהוּא אֶחָד? מָה תַּלְמוּד לוֹמַר ״אֶחָד״? זֶה בָּנָה אָב: כׇּל מָקוֹם שֶׁנֶּאֱמַר ״עֵד״ — הֲרֵי כָּאן שְׁנַיִם, עַד שֶׁיִּפְרוֹט לְךָ הַכָּתוּב ״אֶחָד״.</t>
  </si>
  <si>
    <t>By inference from that is stated “A witness shall not rise up against a man” do I not know that it is one What the verse states “One This established a paradigm every place “witness [ ed ]” is stated there are two here, unless the verse specifies “one.”</t>
  </si>
  <si>
    <t>From what is heard, as it is stated "A single witness shall not rise up against a man," do I not know that he is one? What is the teaching to say "one"? This is a father and a son: wherever it is stated "witness," here there are two, until the verse explicitly states to you "one."</t>
  </si>
  <si>
    <t>From the implication of that which is said: “A witness shall not rise up against a man” — do I not know that he is one? What is the Talmud to say “one”? This built a father-principle: any place where it is said “witness” — behold here are two, until the verse will specify to you “one.”</t>
  </si>
  <si>
    <t>אֲמַר לֵיהּ רַב פָּפָּא לְאַבָּיֵי, וְאָמְרִי לַהּ רַב מְשַׁרְשְׁיָא לְרָבָא: לֵימָא רַבִּי יִשְׁמָעֵאל וְרַבִּי עֲקִיבָא בְּכׇל הַתּוֹרָה כּוּלָּהּ הָכִי פְּלִיגִי, דְּמָר אָמַר רְשׁוּת וּמָר אָמַר חוֹבָה? אֲמַר לֵיהּ: הָכָא בִּקְרָאֵי פְּלִיגִי.</t>
  </si>
  <si>
    <t>Rav Pappa said to Abaye, and some say Rav Mesharshiyya to Rava: Shall we say Rabbi Yishmael and Rabbi Akiva disagree this with regard to the entire Torah? that master, says optional, and master, says mandatory. said to Here, they disagree with regard to verses,</t>
  </si>
  <si>
    <t>He said to him, Rav Papa to Abbaye, and some say Rav Mesharshaya to Rava: Let us say that Rabbi Yishmael and Rabbi Akiva argue throughout the entire Torah like this, for one Master says it is optional and the other Master says it is obligatory? He said to him: Here they argue based on verses.</t>
  </si>
  <si>
    <t>אָמַר לֵיהּ Rav Pappa to Abaye, and they say it Rav Mesharshiya to Rava: Let us say Rabbi Yishma’el and Rabbi Akiva in the entire Torah, all of it, thus they disagree, that the Master says: optional, and the Master says: obligation? He said to him: Here, in verses, they disagree.</t>
  </si>
  <si>
    <t>אַבְשָׁלוֹם נִתְגָּאָה בִּשְׂעָרוֹ וְכוּ׳. תָּנוּ רַבָּנַן: אַבְשָׁלוֹם בִּשְׂעָרוֹ מָרַד, שֶׁנֶּאֱמַר: ״וּכְאַבְשָׁלוֹם לֹא הָיָה אִישׁ יָפֶה וְגוֹ׳. וּבְגַלְּחוֹ אֶת רֹאשׁוֹ וְהָיָה מִקֵּץ יָמִים לַיָּמִים אֲשֶׁר יְגַלֵּחַ כִּי כָבֵד עָלָיו וְגִלְּחוֹ וְשָׁקַל אֶת שְׂעַר רֹאשׁוֹ מָאתַיִם שְׁקָלִים בְּאֶבֶן הַמֶּלֶךְ״. תָּנָא: אֶבֶן שֶׁאַנְשֵׁי טְבֶרְיָא וְאַנְשֵׁי צִיפּוֹרִי שׁוֹקְלִים בָּהּ.</t>
  </si>
  <si>
    <t>Absalom was proud of his hair, The Sages taught Absalom rebelled due to his hair, as it is stated: there was none as Absalom for his beauty; And when he shaved his head, as it was at every year’s end that he shaved it; because the hair was heavy on him, therefore he shaved it, and he weighed the hair of his head at two hundred shekels, by the king’s stone” taught: A stone with which the people of Tiberias and the people of Tzippori weigh</t>
  </si>
  <si>
    <t>Talmudic text: Avshalom nitga'ah bis'aro v'chu. Tanu Rabbanan: Avshalom bis'aro marad, shene'emar: "u'ch'Avshalom lo hayah ish yafeh v'cho." U'v'galcho et rosho v'hayah miketz yamim layamim asher yegale'ach ki kaveid alav v'gilcho v'shakal et se'ar rosho matayim sh'kalim b'even hammelech." Tanah: Even she'anshei Teverya v'anshei Tzipori shoklim bah. English translation: Avshalom was proud of his hair, as it is stated: "And in all Israel there was none to be so much praised as Avshalom for his beauty." And when he shaved his head, it was from time to time, as it is heavy upon him, and he would shave it and weigh the hair of his head, two hundred shekels by the king's weight." It was taught: The stone that the men of Teverya and the men of Tzipori would weigh with.</t>
  </si>
  <si>
    <t>Avshalom became haughty with his hair, etc. Our Rabbis taught: Avshalom, with his hair he rebelled, as it is said: “And like Avshalom there was not a man beautiful, etc. And when he shaved his head—and it was from end of days to days that he would shave, for it was heavy upon him, and he shaved—and he weighed the hair of his head: two hundred shekalim by the king’s stone.” It was taught: a stone that the men of Tverya and the men of Tzippori weigh with it.</t>
  </si>
  <si>
    <t>אִי נָמֵי: הוּא אֵינוֹ מֵבִיא, אֲבָל הֵן בָּאִין וְנוֹפְלִין בְּתוֹכוֹ. וְכֵן הוּא אוֹמֵר: ״וּמִצְרַיִם נָסִים לִקְרָאתוֹ״. וְהַיְינוּ דְּאָמַר רַבִּי אֶלְעָזָר: מַאי דִּכְתִיב ״כִּי בַדָּבָר אֲשֶׁר זָדוּ עֲלֵיהֶם״ — בִּקְדֵירָה שֶׁבִּישְּׁלוּ, בָּהּ נִתְבַּשְּׁלוּ. מַאי מַשְׁמַע דְּהַאי ״זָדוּ״ לִישָּׁנָא דִקְדֵירָה הוּא — דִּכְתִיב: ״וַיָּזֶד יַעֲקֹב נָזִיד״.</t>
  </si>
  <si>
    <t>Alternatively, He does not bring but they come and fall into and so it says: and the Egyptians fled toward it; And this is what Rabbi Elazar says: What is the which is written: for in that which they conspired [ zadu ] against them” In the pot in which they cooked, they were cooked, From where may be inferred that this “ zadu ” is a term a pot? As it is written: “And Jacob simmered a pot [ vayyazed Ya’akov nazid ]”</t>
  </si>
  <si>
    <t>Talmudic text: "Iy namei: hu einu mevi, aval hen ba'in v'noflin betocho. V'chen hu omer: 'uMitzrayim nasim likrato.' V'hainu de'amar Rabbi Elazar: Ma'i dichtiv 'ki badavar asher zadu aleihem' — bikdeirah shebishlu, bah nitbashlu. Ma'i mashma dehai 'zadu' lishna dikdeirah hu — dichtiv: 'vayazed Yaakov nazid.'" English translation: "If it is cooked, he does not bring it, but they come and fall into it. And similarly, he says: 'Egypt hastens to meet him.' And this is what Rabbi Elazar said: What is the meaning of what is written, 'for they were arrogant in what they cooked'? — In the pot in which they cooked, they were cooked. What is implied by 'arrogant' in the context of a pot? — As it is written: 'And Jacob cooked a stew.'"</t>
  </si>
  <si>
    <t>Alternatively: he does not bring, but they come and fall into it. And so it says: “And Egypt are fleeing toward it.” And this is that which Rabbi Elazar said: What is that which is written: “For in the matter that they acted presumptuously against them” — in the pot that they cooked, in it they were cooked. From where is it implied that this “zadu” is a term of a pot? As it is written: “And Ya‘akov boiled a stew.”</t>
  </si>
  <si>
    <t>וְרַב יֵימַר בַּר רַבִּי שֶׁלֶמְיָא מִשְּׁמֵיהּ דְּאַבָּיֵי אָמַר: דָּבָר הַמֵּטִיל קִנְאָה בֵּינוֹ לְבֵינָהּ. אַלְמָא קָסָבַר קִינּוּי עַל פִּי שְׁנַיִם עֵדִים, וְכוּלֵּי עָלְמָא יָדְעִי דְּקַנִּי לַהּ, וְאִיהוּ הוּא דְּאָתֵי לְמִיעְבַּד קִנְאָה בַּהֲדַהּ.</t>
  </si>
  <si>
    <t>And Rav Yeimar bar Rabbi Shelemya says in the name of Abaye: a matter that causes anger between him and her, Apparently, he holds a warning based on two witnesses. everyone knows that he issued a warning to her. And the husband is he who will come to act in anger with her,</t>
  </si>
  <si>
    <t>Rav Yeimar, son of Rabbi Shelamya from the name of Abaye, said: A matter that causes jealousy between him and her. This implies that he holds that a declaration of warning requires the testimony of two witnesses, and everyone knows that he warned her, and it is he who comes to cause jealousy between them.</t>
  </si>
  <si>
    <t>And Rav Yeimar bar Rabbi Shelemyah in his name of Abaye said: a matter that casts jealousy between him and between her. Evidently he holds: kinui is by the mouth of two witnesses, and all the world know that he warned her, and he is the one that comes to make jealousy with her.</t>
  </si>
  <si>
    <t>לָא, הָכָא הַיְינוּ טַעְמָא — דְּיָדְעִי לְאַתְרוֹיֵי בֵּיהּ.</t>
  </si>
  <si>
    <t>No, here, this is the reason that they know to warn him</t>
  </si>
  <si>
    <t>No, here that is the reason - that he knows his place.</t>
  </si>
  <si>
    <t>No; here this is the reason — that they know to warn him.</t>
  </si>
  <si>
    <t>הַיְינוּ דִּכְתִיב: ״לִמְנַצֵּחַ עַל יוֹנַת אֵלֶם רְחוֹקִים לְדָוִד מִכְתָּם״, אָמַר רַבִּי יוֹחָנָן: מִשָּׁעָה שֶׁנִּתְרַחֲקוּ סִימָנֶיהָ נַעֲשֵׂית כְּיוֹנָה אִילֶּמֶת. ״לְדָוִד מִכְתָּם״: שֶׁיָּצָא מִמֶּנָּה דָּוִד, שֶׁהָיָה מָךְ וְתָם לַכֹּל. דָּבָר אַחֵר: ״מִכְתָּם״ — שֶׁהָיְתָה מַכָּתוֹ תַּמָּה, שֶׁנּוֹלַד כְּשֶׁהוּא מָהוּל. דָּבָר אַחֵר: ״מִכְתָּם״ — כְּשֵׁם שֶׁבְּקַטְנוּתוֹ הִקְטִין עַצְמוֹ אֵצֶל מִי שֶׁגָּדוֹל מִמֶּנּוּ לִלְמוֹד תּוֹרָה, כָּךְ בִּגְדוּלָּתוֹ.</t>
  </si>
  <si>
    <t>This is as it is written: “For the leader, upon yonat eilem reḥokim , a psalm [ mikhtam ] of David” Rabbi Yoḥanan says From the moment that her signs were distanced [ reḥokim ], she became like a mute dove [ yona illemet ]. “a psalm [ mikhtam ] of David” from whom David emerged, as he was modest [ makh ] and flawless [ tam ] with everyone. Alternatively, mikhtam that makkato , was complete [ tama ], that was born circumcised. Alternatively, mikhtam just as in his youth made himself small in front of one who was greater than him to learn Torah so too, when he became great</t>
  </si>
  <si>
    <t>That is as it is written: "For the conductor, upon the silent dove, distant ones, a michtam of David." Rabbi Yochanan said: From the time its signs distanced themselves, it became like a silent dove. "A michtam of David": that David emerged from it, for he was humble and simple towards all. Another explanation: "Michtam" - that his strike was wondrous, as he was born circumcised. Another explanation: "Michtam" - just as in his youth he humbled himself before one greater than him to learn Torah, so too in his greatness.</t>
  </si>
  <si>
    <t>This is that which is written: “For the conductor, upon Yonat Elem Reḥoqim, of David, Mikhtam”; Rabbi Yoḥanan said: From the hour that her signs were distanced, she became like a mute dove. “Of David, Mikhtam”: that David came out from her, who was meek and whole to all. Another matter: “Mikhtam” — that his wound was complete, that he was born when he was circumcised. Another matter: “Mikhtam” — just as in his smallness he made himself small אצל one who is greater than he, to learn Torah, so in his greatness.</t>
  </si>
  <si>
    <t>תַּנְיָא כְּמַאן דְּאָמַר אִשָּׁה וּבִתָּהּ, דְּתַנְיָא: שִׁפְרָה זוֹ יוֹכֶבֶד, וְלָמָּה נִקְרָא שְׁמָהּ שִׁפְרָה — שֶׁמְּשַׁפֶּרֶת אֶת הַוָּלָד. דָּבָר אַחֵר: ״שִׁפְרָה״ — שֶׁפָּרוּ וְרָבוּ יִשְׂרָאֵל בְּיָמֶיהָ.</t>
  </si>
  <si>
    <t>is taught according to the one who says a woman and her daughter, because it taught Shiphrah, this Jochebed. And why was she called Shiphrah? Because she would prepare [ mishapperet ] the newborn. Alternatively, Shiphrah because the Jewish people increased and multiplied [ shepparu verabbu ] in her days,</t>
  </si>
  <si>
    <t>It was taught in a baraita according to the opinion that says "a woman and her daughter," as it was taught: "Shifra" is Yocheved, and why was she called Shifra? Because she beautified the child. Another explanation: "Shifra" - that they multiplied and increased the Israelites in her days.</t>
  </si>
  <si>
    <t>It was taught in accordance with the one who said: a woman and her daughter, as it was taught: Shifrah—this is Yocheved; and why was her name called Shifrah?—because she beautifies the newborn. Another matter: “Shifrah”—because Yisrael were fruitful and multiplied in her days.</t>
  </si>
  <si>
    <t>הָתָם אָמַר רַבִּי יְהוּדָה בֶּן בְּתֵירָא: כְּדֵי לִגְמוֹעַ שָׁלֹשׁ בֵּיצִים זוֹ אַחַר זוֹ, הָכָא אָמַר: כְּדֵי לְגוֹמְעָהּ! לִדְבָרָיו דְּרַבִּי עֲקִיבָא קָאָמַר, דְּקָאָמַר מְשַׁעֲרִין בִּצְלִיאָה וּבִגְמִיעָה: אֵימָא שִׁיעוּר גְּמִיעָה לְחוֹדַהּ כְּדֵי לִגְמֹעַ שָׁלֹשׁ בֵּיצִים זוֹ אַחַר זוֹ, דְּהַיְינוּ צְלִיאָה וּגְמִיעָה.</t>
  </si>
  <si>
    <t>There, Rabbi Yehuda ben Beteira says: equivalent to swallow three eggs one after another. Here, he says: equivalent to swallow stated in accordance with the statement of Rabbi Akiva, who stated measures for roasting and swallowing. Say measure swallowing alone, equivalent swallow three eggs one after another, which is roasting and swallowing,</t>
  </si>
  <si>
    <t>There, said Rabbi Yehuda ben Beteira: In order to swallow three eggs one after the other, here it is said: In order to swallow it! According to the words of Rabbi Akiva, who said that they estimate the size of the egg and the size of the swallow: Say that the measure of the swallow is for its estimation in order to swallow three eggs one after the other, which is the size of the swallow and the size of the swallow.</t>
  </si>
  <si>
    <t>There, Rabbi Yehuda ben Beteira said: in order to swallow three eggs, one after the other; here he said: in order to swallow it! He is saying it according to the words of Rabbi Akiva, for he said: they assess with roasting and with swallowing. Say: the measure of swallowing by itself is in order to swallow three eggs, one after the other, for that is roasting and swallowing.</t>
  </si>
  <si>
    <t>קַשְׁיָא דְּרַבִּי עֲקִיבָא אַדְּרַבִּי עֲקִיבָא: הָתָם אָמַר מְחִיקָה מְעַכְּבָא, וְהָכָא אָמַר קוֹמֶץ מְעַכֵּב!</t>
  </si>
  <si>
    <t>of Rabbi Akiva difficult, by of Rabbi Akiva: There, he said erasure prevents and here he says handful prevents</t>
  </si>
  <si>
    <t>The difficulty of Rabbi Akiva to Rabbi Akiva: There he said "womb delays," and here he said "handful delays"!</t>
  </si>
  <si>
    <t>A difficulty of Rabbi Akiva against Rabbi Akiva: there he said, erasing holds back, and here he said, kometz holds back!</t>
  </si>
  <si>
    <t>וְהָנֵי תַּנָּאֵי כִי הָנֵי תַּנָּאֵי. דְּתַנְיָא: אֵין מְגִילָּתָהּ כְּשֵׁירָה לְהַשְׁקוֹת בָּהּ סוֹטָה אַחֶרֶת. רַבִּי אַחַי בַּר יֹאשִׁיָּה אוֹמֵר: מְגִילָּתָהּ כְּשֵׁירָה לְהַשְׁקוֹת בָּהּ סוֹטָה אַחֶרֶת.</t>
  </si>
  <si>
    <t>And these tanna’im are parallel those tanna’im , as it is taught The scroll is not fit to give another sota to drink, Rabbi Aḥai bar Yoshiya says: Her scroll is fit to give another sota to drink,</t>
  </si>
  <si>
    <t>The Tannaim say, "For these Tannaim." As it was taught: Her scroll is not fit to be used to administer the bitter waters to another suspected adulteress. Rabbi Ahai bar Yoshiyah says: Her scroll is fit to be used to administer the bitter waters to another suspected adulteress.</t>
  </si>
  <si>
    <t>And these Tanna’im are like those Tanna’im. As it is taught: Her megillah is not valid to give to drink with it another sotah. Rabbi Aḥai bar Yo’ashiyah says: Her megillah is valid to give to drink with it another sotah.</t>
  </si>
  <si>
    <t>וּשְׁמוּאֵל אָמַר: ״מִי כְּהֶחָכָם וּמִי יוֹדֵעַ פֵּשֶׁר דָּבָר״, וְרַבִּי יוֹחָנָן אָמַר: ״הַחׇכְמָה מֵאַיִן תִּמָּצֵא״, וְרַב נַחְמָן אָמַר: ״וַיָּמׇת שָׁם מֹשֶׁה וְגוֹ׳״, סְמַלְיוֹן אָמַר: ״וַיָּמׇת שָׁם מֹשֶׁה סָפְרָא רַבָּה דְּיִשְׂרָאֵל״.</t>
  </si>
  <si>
    <t>And Shmuel says “Who is as the wise man and who knows the interpretation [ pesher ] of a matter?” And Rabbi Yoḥanan says “Wisdom, where can it be found?” And Rav Naḥman says “And Moses, died there” Semalyon says And Moses, the great scribe of Israel, died there.</t>
  </si>
  <si>
    <t>Talmudic text: And Samuel said: "Who is like the wise, and who knows the interpretation of a matter," and Rabbi Yochanan said: "Where can wisdom be found," and Rav Nachman said: "And Moses died there," Symalyon said: "And Moses died there, the great scribe of Israel."</t>
  </si>
  <si>
    <t>And Shmuel said: “Who is as the wise man, and who knows the interpretation of a matter” (Ecclesiastes 8:1), and Rabbi Yoḥanan said: “But wisdom, from where shall it be found” (Job 28:12), and Rav Naḥman said: “And Moshe died there, etc.” (Deuteronomy 34:5), Samalyon said: “And Moshe died there, the great scribe of Yisrael.”</t>
  </si>
  <si>
    <t>וְשׁוֹמֶרֶת יָבָם, וּכְנוּסָה. אָמֵן שֶׁלֹּא נִטְמֵאתִי, וְאִם נִטְמֵאתִי — יָבוֹאוּ בִּי.</t>
  </si>
  <si>
    <t>nor as a widow waiting for my yavam nor married amen that I did not become defiled, and if I did become defiled, may come upon me.</t>
  </si>
  <si>
    <t>The guardian of the yavam, and the kenusah. Amen that I have not become impure, and if I have become impure - they shall come upon me.</t>
  </si>
  <si>
    <t>And a *shomeret yavam*, and a *kenusah*. Amen, that I was not defiled; and if I was defiled — let them come upon me.</t>
  </si>
  <si>
    <t>גְּמָ׳ מְנָהָנֵי מִילֵּי? אָמַר רַבִּי חִיָּיא בַּר גַּמָּדָא אָמַר רַבִּי יוֹסֵי בְּרַבִּי חֲנִינָא: אָתְיָא ״תּוֹרָה״ ״תּוֹרָה״. כְּתִיב הָכָא: ״וְעָשָׂה לָהּ הַכֹּהֵן אֵת כׇּל הַתּוֹרָה״, וּכְתִיב הָתָם: ״עַל פִּי הַתּוֹרָה אֲשֶׁר יוֹרוּךָ״, מָה לְהַלָּן בְּשִׁבְעִים וְאֶחָד — אַף כָּאן בְּשִׁבְעִים וְאֶחָד.</t>
  </si>
  <si>
    <t>From where are these matters Rabbi Ḥiyya bar Gamda says Rabbi Yosei, son of Rabbi Ḥanina, says: is derived “ tora ” “ tora .” is written here, “And the priest shall execute upon her all this law [ tora ]” and is written there, “According to the law [ tora ] that they shall teach you” Just as there in seventy-one so too here, in seventy-one</t>
  </si>
  <si>
    <t>Gemara: What is the meaning of "mil'ei"? Rabbi Ḥiyya bar Gamda said in the name of Rabbi Yosei, son of Rabbi Ḥanina: "Torah, Torah" comes. It is written here: "And the kohen shall make for her all the Torah," and it is written there: "According to the Torah that they will teach you." Just as there, it is seventy-one – so too here, it is seventy-one.</t>
  </si>
  <si>
    <t>GEMARA: From where are these matters? Rav Ḥiyya bar Gammada said, Rav Yosei be-Rabbi Ḥanina said: It comes by “Torah” “Torah.” It is written here: “and the Kohen shall do to her all the Torah,” and it is written there: “according to the Torah that they shall instruct you”; just as there, with seventy and one — so too here, with seventy and one.</t>
  </si>
  <si>
    <t>רַב אַחָא בַּר יַעֲקֹב אִיטַּפַּל בֵּיהּ בְּרַב יַעֲקֹב בַּר בְּרַתֵּיה. כִּי גְדַל אֲמַר לֵיהּ: אַשְׁקְיַין מַיָּא. אָמַר לוֹ: לָאו בְּרָיךְ אֲנָא. וְהַיְינוּ דְּאָמְרִי אִינָשֵׁי: רַבִּי רַבִּי, בַּר בְּרַתָּךְ אֲנָא.</t>
  </si>
  <si>
    <t>Rav Aḥa bar Ya’akov took care of Rav Ya’akov, the son of his daughter, When grew up, said to him: Give me water to drink. He said to him: I am not your son, And this that people say: Raise, raise I am the son of your daughter,</t>
  </si>
  <si>
    <t>Rav Ahah son of Jacob prayed for mercy upon him in the presence of Rav Jacob son of his daughter. When he became ill, he said to him: "Give me water." He said to him: "I am not a blessing." This is what people say: "My master, my master, I am your son's son."</t>
  </si>
  <si>
    <t>Rav Aḥa bar Ya‘akov was attended by Rav Ya‘akov bar berateih. When he grew up he said to him: Give me to drink water. He said to him: I am not your son. And this is what people say: My master, my master, I am the son of your daughter.</t>
  </si>
  <si>
    <t>וְרַבִּי מֵאִיר — אֶתִּים לָא דָּרֵישׁ.</t>
  </si>
  <si>
    <t>And Rabbi Meir does not interpret et</t>
  </si>
  <si>
    <t>And Rabbi Meir - Etim do not expound.</t>
  </si>
  <si>
    <t>And Rabbi Meir — “etim” he does not expound.</t>
  </si>
  <si>
    <t>״קָבְרוּ בִּשְׁכֶם״. מַאי שְׁנָא בִּשְׁכֶם? אָמַר רַבִּי חָמָא בְּרַבִּי חֲנִינָא: מִשְּׁכֶם גְּנָבוּהוּ, וְלִשְׁכֶם נַחְזִיר אֲבֵידָתוֹ.</t>
  </si>
  <si>
    <t>they buried in Shechem, What is different about Shechem Rabbi Ḥama, son of Rabbi Ḥanina, says kidnapped him from Shechem and to Shechem we should return his lost</t>
  </si>
  <si>
    <t>"They buried him in Shechem." What is different about Shechem? Rabbi Hama son of Rabbi Hanina said: From Shechem they stole him, and to Shechem his lost item is returned.</t>
  </si>
  <si>
    <t>“‘And they buried him in Shekhem.’ What is different about Shekhem? Rabbi Ḥama son of Rabbi Ḥanina said: From Shekhem they stole him, and to Shekhem we will return his lost item.”</t>
  </si>
  <si>
    <t>כִּי קָאָמַר, כְּגוֹן יוֹחָנִי בַּת רְטִיבִי.</t>
  </si>
  <si>
    <t>When it is stated for example, Yoḥani bat Retivi,</t>
  </si>
  <si>
    <t>When he said, for example, Yochani bat Retivi.</t>
  </si>
  <si>
    <t>Because he said, like Yoḥani bat Retivi.</t>
  </si>
  <si>
    <t>כְּתָבָהּ עַל שְׁנֵי דַּפִּין — פְּסוּלָה. ״סֵפֶר״ אֶחָד אָמַר רַחֲמָנָא, וְלֹא שְׁנַיִם וּשְׁלֹשָׁה סְפָרִים.</t>
  </si>
  <si>
    <t>If one wrote on two pages, it is unfit, the Merciful One states one scroll and not two or three scrolls.</t>
  </si>
  <si>
    <t>The writing on two pages — invalid. "One book" said the Merciful One, not two or three books.</t>
  </si>
  <si>
    <t>If he wrote it on two sheets — it is invalid. “Sefer” one, the Merciful One said, and not two and three sefarim.</t>
  </si>
  <si>
    <t>בָּעֵי רָבָא: הִשְׁקָהּ בְּסִיב, מַהוּ? בִּשְׁפוֹפֶרֶת, מַהוּ? דֶּרֶךְ שְׁתִיָּה בְּכָךְ, אוֹ אֵין דֶּרֶךְ שְׁתִיָּה בְּכָךְ? תֵּיקוּ.</t>
  </si>
  <si>
    <t>Rava raised a dilemma: If administered to drink through fiber, what is through a tube, what is Is this a normal manner of drinking, or is it not a normal manner of drinking, shall stand</t>
  </si>
  <si>
    <t>Question of Rava: If one gave her to drink through a tube, what is the ruling? If through a sponge, what is the ruling? Is this considered the normal way of drinking or not? This matter shall remain unresolved.</t>
  </si>
  <si>
    <t>בָּעֵי רָבָא: Rava inquired: הִשְׁקָהּ בְּסִיב, מַהוּ? he gave her to drink with a fiber, what is it? בִּשְׁפוֹפֶרֶת, מַהוּ? with a tube, what is it? דֶּרֶךְ שְׁתִיָּה בְּכָךְ, אוֹ אֵין דֶּרֶךְ שְׁתִיָּה בְּכָךְ? is the manner of drinking thus, or is not the manner of drinking thus? תֵּיקוּ. Let it stand.</t>
  </si>
  <si>
    <t>רָאוּ שֶׁמּוֹשִׁיעָן שֶׁל יִשְׂרָאֵל בַּמַּיִם הוּא לוֹקֶה, עָמְדוּ וְגָזְרוּ: ״כׇּל הַבֵּן הַיִּלּוֹד הַיְאֹרָה תַּשְׁלִיכֻהוּ״. כֵּיוָן דְּשַׁדְיוּהּ לְמֹשֶׁה, אָמְרוּ: תּוּ לָא חָזֵינַן כִּי הָהוּא סִימָנָא, בַּטִּלוּ לִגְזֵירְתַּיְיהוּ. וְהֵם אֵינָן יוֹדְעִין שֶׁעַל מֵי מְרִיבָה הוּא לוֹקֶה.</t>
  </si>
  <si>
    <t>saw that the savior of the Jewish people would be stricken by water. they arose and decreed: “Every son that is born you shall cast into the river” Once cast Moses said: We no longer see like that sign they canceled their decree. But they did not know that would be stricken on account of the waters of Meribah.</t>
  </si>
  <si>
    <t>They saw that the savior of Israel was in the water, he struck him. They stood and decreed: "Every son that is born, into the river you shall cast him." Once they let him go, they said: "Did we not see that he is the same one? Let us annul their decree." And they do not know that he strikes on the waters of Meribah.</t>
  </si>
  <si>
    <t>They saw that the savior of Yisrael is smitten by water, they stood and decreed: “Every son that is born, into the Ye’or you shall cast him.” Once that they cast Moshe, they said: Again we do not see that that sign, they nullified their decree. And they do not know that over the waters of Merivah he is smitten.</t>
  </si>
  <si>
    <t>וְרַבִּי יִשְׁמָעֵאל: אַיְּידֵי דִּכְתִיב ״וּבְאַחֵיכֶם״, כְּתִיב נָמֵי ״בָּהֶם״. לְכִדְתָנֵי דְּבֵי רַבִּי יִשְׁמָעֵאל. דְּתָנָא דְּבֵי רַבִּי יִשְׁמָעֵאל: כָּל פָּרָשָׁה שֶׁנֶּאֶמְרָה וְנִישְׁנֵית, לֹא נִישְׁנֵית אֶלָּא בִּשְׁבִיל דָּבָר שֶׁנִּתְחַדֵּשׁ בָּהּ.</t>
  </si>
  <si>
    <t>And Rabbi Yishmael since it is written: “But over your brethren,” it also writes “of them,” because of that was taught by the school of Rabbi Yishmael. As the school of Rabbi Yishmael taught: Every passage that was stated and repeated, was repeated only for the novel element introduced therein.</t>
  </si>
  <si>
    <t>Rabbi Yishmael: Through what is written "and in your brothers," it is also written "in them." This is in accordance with the teaching of the school of Rabbi Yishmael. For it was taught in the school of Rabbi Yishmael: Any portion that is repeated was repeated only because of a new matter that was introduced in it.</t>
  </si>
  <si>
    <t>וְרַבִּי יִשְׁמָעֵאל: And Rabbi Yishmaʿel: אַיְּידֵי דִּכְתִיב ״וּבְאַחֵיכֶם״, Since it is written “and with your brothers,” כְּתִיב נָמֵי ״בָּהֶם״. it is written also “in them.” לְכִדְתָנֵי דְּבֵי רַבִּי יִשְׁמָעֵאל. according to that which was taught of the house of Rabbi Yishmaʿel. דְּתָנָא דְּבֵי רַבִּי יִשְׁמָעֵאל: For it was taught of the house of Rabbi Yishmaʿel: כָּל פָּרָשָׁה שֶׁנֶּאֶמְרָה וְנִישְׁנֵית, Any parashah that was said and was repeated, לֹא נִישְׁנֵית אֶלָּא בִּשְׁבִיל דָּבָר שֶׁנִּתְחַדֵּשׁ בָּהּ. was not repeated except on account of a matter that was renewed in it.</t>
  </si>
  <si>
    <t>בַּמֶּה נְדוּנֵם? נְדוּנֵם בָּאֵשׁ — כְּתִיב: ״כִּי הִנֵּה ה׳ בָּאֵשׁ יָבֹא״, וּכְתִיב: ״כִּי בָאֵשׁ ה׳ נִשְׁפָּט וְגוֹ׳״. בְּחֶרֶב — כְּתִיב: [״וּבְחַרְבּוֹ אֶת כׇּל בָּשָׂר״].</t>
  </si>
  <si>
    <t>With what shall we judge them? we shall judge them with fire, it is written: “For behold, the Lord will come in fire” it is written “For by fire will the Lord contend” with the sword, it is written “And by His sword with all flesh”</t>
  </si>
  <si>
    <t>In what are they judged? They are judged by fire - as it is written: "For behold, the Lord will come in fire," and it is written: "For by fire the Lord will judge, etc." By sword - as it is written: "And with his sword he will judge all flesh."</t>
  </si>
  <si>
    <t>In what are they judged? They are judged with fire — it is written: “For behold, HaShem will come with fire,” and it is written: “For with fire HaShem will judge, etc.” With the sword — it is written: “And with His sword, all flesh.”</t>
  </si>
  <si>
    <t>מַאי טַעְמָא דְּרַבִּי יִשְׁמָעֵאל — סָבַר לַהּ כִּי הַאי תַּנָּא, דְּתַנְיָא, רַבִּי אֱלִיעֶזֶר בֶּן יַעֲקֹב אוֹמֵר: כְּלַפֵּי שֶׁאָמְרָה תּוֹרָה ״לֹא תִשְׂנָא אֶת אָחִיךָ בִּלְבָבֶךָ״, יָכוֹל כְּגוֹן זוֹ? תַּלְמוּד לוֹמַר: ״וְעָבַר עָלָיו רוּחַ קִנְאָה וְקִנֵּא אֶת אִשְׁתּוֹ״.</t>
  </si>
  <si>
    <t>What is the reason of Rabbi Yishmael? holds in accordance with this tanna , as it is taught Rabbi Eliezer ben Ya’akov says: With regard to which the Torah said: “You shall not hate your brother in your heart” might such as this the verse states: “And the spirit of jealousy came upon him, and he warned his wife”</t>
  </si>
  <si>
    <t>What is the reason for Rabbi Yishmael's opinion? He holds like this Tanna, as it was taught: Rabbi Eliezer ben Yaakov says: In accordance with when the Torah said, "You shall not hate your brother in your heart," could it be a case like this? The Torah teaches us: "And a spirit of jealousy comes over him and he is jealous of his wife."</t>
  </si>
  <si>
    <t>What is the reason of Rabbi Yishma’el? — He holds like that tanna, as it is taught: Rabbi Eli’ezer ben Ya‘akov says: With regard to that which the Torah said, “You shall not hate your brother in your heart,” might one think like this? The verse teaches to say: “And a spirit of jealousy passed over him, and he was jealous of his wife.”</t>
  </si>
  <si>
    <t>בְּמַאי קָא מִיפַּלְגִי? מָר סָבַר: תְּחוּמִין דְּאוֹרָיְיתָא, וּמָר סָבַר: דְּרַבָּנַן.</t>
  </si>
  <si>
    <t>With regard to what do they disagree? Sage, holds boundaries by Torah law, and Sage, holds by rabbinic law,</t>
  </si>
  <si>
    <t>With what do they disagree? One Master holds: the biblical boundaries, and one Master holds: the rabbinic boundaries.</t>
  </si>
  <si>
    <t>In what are they disputing? Mar savar: teḥumin are de’orayta, and Mar savar: de’rabbanan.</t>
  </si>
  <si>
    <t xml:space="preserve">Mar savar ius not a technical term, it it is "our master" that taught, referring to a specific sage. </t>
  </si>
  <si>
    <t>Funny, in "teḥumin are de’orayta" there is english (are) between hebrew words</t>
  </si>
  <si>
    <t>רַבִּי נְחֶמְיָה אוֹמֵר: כְּסוֹפֵר הַפּוֹרֵס עַל שְׁמַע בְּבֵית הַכְּנֶסֶת, שֶׁהוּא פּוֹתֵחַ תְּחִילָּה וְהֵן עוֹנִין אַחֲרָיו.</t>
  </si>
  <si>
    <t>Rabbi Neḥemya says: like a scribe, who recites the Shema in the synagogue; as he begins first and they repeat after him</t>
  </si>
  <si>
    <t>Rabbi Nechemiah says: Like a scribe who reads aloud in the synagogue, who begins first and they respond after him.</t>
  </si>
  <si>
    <t>Rabbi Neḥemya says: like the sofer who pores over Shema in the beit ha-keneset, that he opens first and they answer after him.</t>
  </si>
  <si>
    <t>אָמַר עֵד אֶחָד ״אֲנִי רְאִיתִיהָ שֶׁנִּטְמֵאת״ — לֹא הָיְתָה שׁוֹתָה. וְלֹא עוֹד, אֶלָּא אֲפִילּוּ עֶבֶד אֲפִילּוּ שִׁפְחָה — הֲרֵי אֵלּוּ נֶאֱמָנִין אַף לְפוֹסְלָהּ מִכְּתוּבָּתָהּ.</t>
  </si>
  <si>
    <t>one witness said: I saw that she became defiled she does not drink And furthermore, even a slave or a maidservant, they are deemed credible even to disqualifies her from her marriage contract</t>
  </si>
  <si>
    <t>He said one witness, "I saw her become impure" - she did not drink. And not only that, but even a slave or even a maidservant - these are believed even to disqualify her from her marriage contract.</t>
  </si>
  <si>
    <t>If one witness said: “I saw her that she became defiled” — she would not drink. And not only, but even a slave, even a maidservant — behold these are believed even to disqualify her from her ketubah.</t>
  </si>
  <si>
    <t>״וַתְּחַיֶּיןָ אֶת הַיְּלָדִים״. תָּנָא: לֹא דַּיָּין שֶׁלֹּא הֵמִיתוּ אוֹתָן, אֶלָּא שֶׁהָיוּ מַסְפִּיקוֹת לָהֶם מַיִם וּמָזוֹן.</t>
  </si>
  <si>
    <t>“But they kept the male children alive” teaches: not only that they did not kill but that they would provide for them water and food,</t>
  </si>
  <si>
    <t>"And she gave life to the children." It was taught: Not that they did not kill them, but that they provided them with water and food.</t>
  </si>
  <si>
    <t>“‘And they kept the children alive.’” Tana: It is not enough that they did not kill them, but rather that they would provide them with water and food.</t>
  </si>
  <si>
    <t>הָתָם אָמַר רַבִּי יְהוֹשֻׁעַ: כְּדֵי לִשְׁתּוֹתוֹ, הָכָא אָמַר: כְּדֵי מְזִיגַת הַכּוֹס! אֵימָא כְּדֵי לִמְזוֹג וְלִשְׁתּוֹת. וְלֵימָא: אִידֵּי וְאִידֵּי חַד שִׁיעוּרָא הוּא! אִם כֵּן, הַיְינוּ רַבִּי אֱלִיעֶזֶר.</t>
  </si>
  <si>
    <t>There, Rabbi Yehoshua says: equivalent drinking Here, he says: equivalent mixing a cup Say equivalent to mix and drink let us say this and that are one measure? If so, this is Rabbi Eliezer</t>
  </si>
  <si>
    <t>There, said Rabbi Yehoshua: in order to drink it, here it says: in order to pour the cup! I would say: in order to pour and drink. And let us say: both are one measure! If so, this is Rabbi Eliezer.</t>
  </si>
  <si>
    <t>There, Rabbi Yehoshua said: “in order to drink it”; here he said: “in order to mix the cup”! Say: in order to mix and to drink. And let him say: both this and that are one measure! If so, that is Rabbi Eliezer.</t>
  </si>
  <si>
    <t>לְכִדְתָנָא דְּבֵי רַבִּי יִשְׁמָעֵאל. דְּתָנָא דְּבֵי רַבִּי יִשְׁמָעֵאל: כָּל פָּרָשָׁה שֶׁנֶּאֶמְרָה וְנִישְׁנֵית — לֹא נִישְׁנֵית אֶלָּא בִּשְׁבִיל דָּבָר שֶׁנִּתְחַדֵּשׁ בָּהּ.</t>
  </si>
  <si>
    <t>as taught by the school of Rabbi Yishmael, as the school of Rabbi Yishmael taught: Every passage that was stated and repeated was repeated only for the novel element introduced therein.</t>
  </si>
  <si>
    <t>The Mishnah of the school of Rabbi Ishmael teaches: Any portion that was stated and repeated - it was not repeated except for a matter that was newly introduced in it.</t>
  </si>
  <si>
    <t>According to the tanna of the house of Rabbi Yishma’el. For the house of Rabbi Yishma’el taught: Any parashah that was said and repeated — it was not repeated except on account of a matter that was renewed in it.</t>
  </si>
  <si>
    <t>This is just a bad translation from gpt 5 - "renewed in it" doesn't make any sense</t>
  </si>
  <si>
    <t>זֶה הַכְּלָל: כׇּל שֶׁתִּבָּעֵל וְלֹא הָיְתָה אֲסוּרָה לוֹ — לֹא הָיָה מַתְנֶה עִמָּהּ.</t>
  </si>
  <si>
    <t>This is the principle: every where she would engage in sexual intercourse she would not become forbidden to he may not stipulate with her</t>
  </si>
  <si>
    <t>This is the principle: anyone who marries and she was not forbidden to him - he did not make a stipulation with her.</t>
  </si>
  <si>
    <t>This is the principle: Any woman who had intercourse, and was not forbidden to him — he would not have stipulated with her.</t>
  </si>
  <si>
    <t>וּמָה רָאִיתָ? מִסְתַּבְּרָא סְתִירָה עֲדִיפָא, שֶׁכֵּן אוֹסַרְתָּהּ כְּטוּמְאָה.</t>
  </si>
  <si>
    <t>And what did you see stands to reason preferable seclusion as forbids her just as defilement</t>
  </si>
  <si>
    <t>And what did you see? A contradiction is preferable, for you have prohibited it like impurity.</t>
  </si>
  <si>
    <t>And what did you see? It is reasonable: contradiction is preferable, since you prohibited it as if it were tum’ah.</t>
  </si>
  <si>
    <t>״וְעַתָּה הִשָּׁמְרִי נָא וְאַל תִּשְׁתִּי יַיִן וְשֵׁכָר וְאַל תֹּאכְלִי כׇּל טָמֵא״. מַאי ״כׇּל טָמֵא״? וְתוּ: עַד הַשְׁתָּא דְּבָרִים טְמֵאִים קָאָכְלָה?! אָמַר רַבִּי יִצְחָק דְּבֵי רַבִּי אַמֵּי: דְּבָרִים הָאֲסוּרִים בְּנָזִיר.</t>
  </si>
  <si>
    <t>“Now therefore beware, I pray of you, and drink no wine nor strong drink, and eat not any unclean thing” what “any unclean thing”? And more, until now was she eating unclean things, Rabbi Yitzḥak of the school of Rabbi Ami says: items that are forbidden to a nazirite.</t>
  </si>
  <si>
    <t>"And now, please beware and do not drink wine and strong drink, and do not eat any unclean thing." What is "any unclean thing"? And furthermore: Until now, has she been eating unclean things?! Rabbi Yitzchak of the school of Rabbi Ammi said: Things that are forbidden to a Nazirite.</t>
  </si>
  <si>
    <t>“‘And now, be guarded, please, and do not drink wine and strong drink, and do not eat any unclean thing.’ What is ‘any unclean thing’? And further: until now, unclean things was she eating?! אמר רבי יצחק דבי רבי אמי: things that are forbidden with a Nazir.”</t>
  </si>
  <si>
    <t>״הִיא מוּצֵאת״. ״הִיא מִיתּוֹצֵאת״ מִיבְּעֵי לֵיהּ! אָמַר רַבִּי אֶלְעָזָר: לְאַחַר שֶׁנִּמְצְאוּ סִימָנֶיהָ בָּא סַמָּאֵל וְרִיחֲקָן, בָּא גַּבְרִיאֵל וְקֵירְבָן.</t>
  </si>
  <si>
    <t>“When she was brought forth [ mutzet ], It should have When she was mitutzet . Rabbi Elazar says: After her signs, were brought out, Samael came and distanced them Gabriel came and moved closer</t>
  </si>
  <si>
    <t>"She finds." "She is found." What does he want with "she is found"? Rabbi Elazar said: After her signs were found, Samael came and distanced them, then Gabriel came and brought them close.</t>
  </si>
  <si>
    <t>“she is being taken out.” “she is being brought out” it is required for it! Amar Rabbi El‘azar: after that her signs were found, came Samma’el and distanced them; came Gavri’el and brought them near.</t>
  </si>
  <si>
    <t xml:space="preserve">The GPT 5 translation here is more complicated than it needs to be, there is an easier reading of מִיבְּעֵי לֵיהּ in this case to mean "it should have said." rather than "required for it." </t>
  </si>
  <si>
    <t>אֶלָּא טַעְמָא דִּכְתִיב ״לֹא יָקוּם עֵד אֶחָד בְּאִישׁ״, הָא לָאו הָכִי הֲוָה אָמֵינָא ״עֵד״ דְּסוֹטָה חַד הוּא. וְאִי אֲפִילּוּ חַד לֵיכָּא, אֶלָּא בְּמַאי מִיתַּסְרָא?</t>
  </si>
  <si>
    <t>But the reason that it is written “One witness shall not rise up against a man” but not this I would say witness concerning a sota is one and if there is not even one then with what does she become forbidden</t>
  </si>
  <si>
    <t>Rather, the reason it is written, "No single witness shall rise up against a man," is not as you might think, that I would say that a witness in the case of a Sotah is only one. And if there is not even one, then with what is she punished?</t>
  </si>
  <si>
    <t>Rather, the reason is that it is written: “One witness shall not rise up against a man”; but if not so, I would have said: the “witness” of Sotah is one. And if even one there is not, but with what is she forbidden?</t>
  </si>
  <si>
    <t>מְלַמֵּד שֶׁהֶחְזִירוּהוּ לְמֹשֶׁה עַל כׇּל הַמִּצְרִיּוֹת כּוּלָּן, וְלֹא יָנַק, אָמַר: פֶּה שֶׁעָתִיד לְדַבֵּר עִם הַשְּׁכִינָה יִינַק דָּבָר טָמֵא? וְהַיְינוּ דִּכְתִיב: ״אֶת מִי יוֹרֶה דֵעָה וְגוֹ׳״. לְמִי יוֹרֶה דֵּעָה וּלְמִי יָבִין שְׁמוּעָה — ״לִגְמוּלֵי מֵחָלָב וּלְעַתִּיקֵי מִשָּׁדַיִם״.</t>
  </si>
  <si>
    <t>teaches that they took Moses around to all the Egyptian and he did not nurse he said: a mouth that in the future speak with the Divine Presence nurse something impure? And this is as it is written: “Whom shall one teach knowledge? To whom shall teach knowledge and to whom shall make to understand the message “Them that are weaned from the milk, them that are drawn from the breasts”</t>
  </si>
  <si>
    <t>It teaches that they returned him to Moses on all the Egyptian women, all of them, and he did not nurse, he said: "Shall a mouth that is destined to speak with the Divine Presence nurse impure speech?" And this is what is written: "Who will instruct knowledge, etc." To whom will he instruct knowledge, and to whom will he make known the message? "To those weaned from milk, removed from the breast."</t>
  </si>
  <si>
    <t>Teaching that they returned him to Moshe to all the Mitzriyot, all of them, and he did not suckle. He said: A mouth that is destined to speak with the Shekhinah shall it suckle a דבר טמא? And this is that which is written: “Whom shall he teach knowledge, etc.” To whom shall he teach knowledge and to whom shall he make understand report — “to the weaned from milk and to the removed from breasts.”</t>
  </si>
  <si>
    <t>וְרַבָּנַן: אִי מֵהָהוּא הֲוָה אָמֵינָא: לִישְׁחֲטֵיהּ סָמוּךְ לְמָנָא וְנִינְקְטִינְהוּ לִוְורִידִין, וּלְקַבְּלֵיהּ לְדָם בְּמָנָא אַחֲרִינָא, קָא מַשְׁמַע לַן.</t>
  </si>
  <si>
    <t>And the Rabbis If from that I would say slaughter adjacent to the vessel and grasp the veins and collect the blood in a different vessel. this teaches us</t>
  </si>
  <si>
    <t>The sages said: If from that one, I would say: to slaughter it adjacent to the vessel and to collect its blood into a different vessel, it is evident to us.</t>
  </si>
  <si>
    <t>And the Rabbanan: if from that one, I would have said: let him slaughter it close to the vessel and let us hold it for the veins, and to receive the blood in another vessel; it teaches us.</t>
  </si>
  <si>
    <t>חָנִין בֶּן פִּנְחָס אוֹמֵר: כְּדֵי שֶׁתּוֹשִׁיט יָדָהּ לְתוֹךְ פִּיהָ לִיטּוֹל קֵיסָם. בָּעֵי רַב אָשֵׁי: דִּמְהַדַּק אוֹ דְּלָא מְהַדַּק? תֵּיקוּ.</t>
  </si>
  <si>
    <t>Ḥanin ben Pineḥas says: equivalent that may extend her hand into her mouth to remove a wood chip Rav Ashi asks: where is stuck or where is not stuck? shall stand</t>
  </si>
  <si>
    <t>Hanin son of Pinhas says: In order for her to extend her hand into her mouth to take a splinter. Rav Ashi asked: Is it softened or not softened? They remained silent.</t>
  </si>
  <si>
    <t>Ḥanin ben Pinḥas says: In order that she extend her hand into her mouth to take a splinter. Baʿei Rav Ashi: That it is tight, or that it is not tight? Teiku.</t>
  </si>
  <si>
    <t>רָבִינָא אָמַר: לְעוֹלָם זְכוּת תּוֹרָה, וּדְקָאָמְרַתְּ אֵינָהּ מְצֻווָה וְעוֹשָׂה נְהִי דִּפַּקּוֹדֵי לָא מִפַּקְּדָא, בְּאַגְרָא דְּמַקְרְיָן וּמַתְנְיָין בְּנַיְיהוּ וְנָטְרָן לְהוּ לְגַבְרַיְיהוּ עַד דְּאָתוּ מִבֵּי מִדְרְשָׁא, מִי לָא פָּלְגָאן בַּהֲדַיְיהוּ?</t>
  </si>
  <si>
    <t>Ravina said: Actually, merit of Torah and which you say, she is not commanded and performs Granted, she is not commanded in reward for causing their sons to read and to learn and waiting for their husbands until they come from the study hall, don’t they share with their</t>
  </si>
  <si>
    <t>Ravinah said: Always the merit of Torah, and as you said, it is not commanded and done, so that the inspectors do not inspect, in the reward that they are called and taught their children and watch over them until they come from the study hall, who would not divide with them in their reward?</t>
  </si>
  <si>
    <t>Ravina said: Always, the merit of Torah; and that which you say, she is not commanded and does—granted that with respect to commandments she is not commanded, in the reward of that they make their sons read and learn, and they wait for their husbands until they come from the house of study, do they not share with them?</t>
  </si>
  <si>
    <t>דִּכְתִיב: ״הִנְנִי מֵקִים עָלֶיךָ רָעָה מִבֵּיתֶךָ״. כַּיּוֹצֵא בַּדָּבָר אַתָּה אוֹמֵר: ״וַיִּשְׁלָחֵהוּ מֵעֵמֶק חֶבְרוֹן״, אָמַר רַבִּי חֲנִינָא בַּר פָּפָּא: בְּעֵצָה עֲמוּקָּה שֶׁל אוֹתוֹ צַדִּיק שֶׁקָּבוּר בְּחֶבְרוֹן, דִּכְתִיב: ״יָדֹעַ תֵּדַע כִּי גֵר יִהְיֶה זַרְעֲךָ״.</t>
  </si>
  <si>
    <t>as it is written Behold, I will raise up evil against you out of your own house” Similarly, you can say “And he sent him from the valley [ emek ] of Hebron” Rabbi Ḥanina bar Pappa says: From the deep [ amukka ] counsel of that righteous individual who is interred in Hebron, as it is written: Know that your seed shall be a stranger</t>
  </si>
  <si>
    <t>Talmudic text: As it is written: "Behold, I am bringing evil upon you from your own house." By way of analogy, you may say: "And he sent him away from the valley of Hebron." Rabbi Chanina bar Papa said: With deep counsel of that righteous one who is buried in Hebron, as it is written: "You shall surely know that your descendants will be strangers."</t>
  </si>
  <si>
    <t>As it is written: “Behold, I am raising up against you evil from your house.” Likewise in the matter you say: “And he sent him from the valley of Chevron”; Rabbi Ḥanina bar Pappa said: With the deep counsel of that righteous one who is buried in Chevron, as it is written: “Knowing you shall know that your seed shall be a stranger.”</t>
  </si>
  <si>
    <t>אֲנִי אָמַרְתִּי יְהַלֵּךְ בְּקוֹמָה זְקוּפָה, עַכְשָׁיו — ״עַל גְּחוֹנוֹ יֵלֵךְ״. אֲנִי אָמַרְתִּי יְהֵא מַאֲכָלוֹ מַאֲכַל אָדָם, עַכְשָׁיו — ״עָפָר יֹאכַל״. הוּא אָמַר אֶהֱרוֹג אֶת אָדָם וְאֶשָּׂא אֶת חַוָּה, עַכְשָׁיו — ״אֵיבָה אָשִׁית בֵּינְךָ וּבֵין הָאִשָּׁה וּבֵין זַרְעֲךָ וּבֵין זַרְעָהּ״.</t>
  </si>
  <si>
    <t>I said will walk upright, now he shall go on his belly; I said his food will be food a person, now he shall eat dust. said: I will kill Adam and marry Eve, now: “I will put enmity between you and the woman and between your seed and her seed”</t>
  </si>
  <si>
    <t>I said, "He will walk on a raised platform," now - "He will walk on his belly." I said, "His food shall be the food of man," now - "Dust shall you eat." He said, "I will kill a man and take a wife," now - "I will put enmity between you and the woman, and between your seed and her seed."</t>
  </si>
  <si>
    <t>I said: he shall walk with an upright stature; now — “upon your belly you shall go.” I said: his food shall be the food of man; now — “dust you shall eat.” He said: I will kill the man and I will marry Ḥavvah; now — “and enmity I will place between you and between the woman, and between your seed and between her seed.”</t>
  </si>
  <si>
    <t>דְּרֵישׁ רָבָא: בִּשְׂכַר שֶׁאָמַר אַבְרָהָם אָבִינוּ ״וְאָנֹכִי עָפָר וָאֵפֶר״, זָכוּ בָּנָיו לִשְׁתֵּי מִצְוֹת, אֵפֶר פָּרָה וַעֲפַר סוֹטָה.</t>
  </si>
  <si>
    <t>Rava taught: As reward which our Patriarch Abraham said: “And I am but dust and ashes” his children merited two mitzvot: The ashes of the heifer and the dust of the sota .</t>
  </si>
  <si>
    <t>Inquire Rava: In reward that our father Abraham said, "But I am dust and ashes," his sons merited two commandments, the ashes of the red heifer and the dust of the suspected adulteress.</t>
  </si>
  <si>
    <t>דְּרֵישׁ רָבָא: Rava expounded: בִּשְׂכַר שֶׁאָמַר אַבְרָהָם אָבִינוּ ״וְאָנֹכִי עָפָר וָאֵפֶר״, In reward for that Avraham Avinu said, “And I am dust and ashes,” זָכוּ בָּנָיו לִשְׁתֵּי מִצְוֹת, his sons merited two mitzvot: אֵפֶר פָּרָה וַעֲפַר סוֹטָה. the ashes of the Parah and the dust of the Sotah.</t>
  </si>
  <si>
    <t>אִיסִי בֶּן מְנַחֵם אוֹמֵר, אֵינוֹ צָרִיךְ: וּמָה בְּטוּמְאָה קַלָּה לֹא חָלַק הַכָּתוּב — בְּטוּמְאַת אֵשֶׁת אִישׁ חֲמוּרָה, לֹא כׇּל שֶׁכֵּן? אִם כֵּן מָה תַּלְמוּד לוֹמַר ״בְּקַרְקַע הַמִּשְׁכָּן״ — שֶׁלֹּא יָבִיא מִתּוֹךְ קוּפָּתוֹ.</t>
  </si>
  <si>
    <t>Isi ben Menaḥem says: There is no need With regard to impurity, a lenient the Torah does not differentiate. with regard to the impurity of a married woman, stringent all the more so not If so, what the verse states: on the floor of the Tabernacle”? that one should not bring from his basket</t>
  </si>
  <si>
    <t>Issi ben Menachem says, "It is not necessary." And in what case of light impurity did the Scripture not differentiate? In the case of the impurity of a married woman, which is severe, all the more so? If so, what is the Talmud teaching when it says, 'In the recesses of the Tabernacle,' - that one should not bring the incense from within his cupped hand.</t>
  </si>
  <si>
    <t>Isi ben Menaḥem says: He does not need it; and just as with a light tum’ah the verse did not distinguish — with the severe tum’ah of eshet ish, is it not all the more so? If so, what does the Talmud say, “in the ground of the Mishkan” — that he should not bring from within his basket.</t>
  </si>
  <si>
    <t>וְרַבִּי אַחַי בַּר יֹאשִׁיָּה לֵית לֵיהּ כָּתַב לְגָרֵשׁ אֶת אִשְׁתּוֹ וְנִמְלַךְ, מְצָאוֹ בֶּן עִירוֹ וְאָמַר לוֹ: שְׁמִי כְּשִׁמְךָ, וְשֵׁם אִשְׁתִּי כְּשֵׁם אִשְׁתְּךָ — פָּסוּל לְגָרֵשׁ בּוֹ?</t>
  </si>
  <si>
    <t>And doesn’t Rabbi Aḥai bar Yoshiya hold wrote to divorce his wife but reconsidered a resident of his city found him and said to him: My name as your name, and my wife’s name as your wife’s name; is unfit to divorce with it.</t>
  </si>
  <si>
    <t>Rabbi Ahai bar Yoshiyah does not have it, he wrote to divorce his wife and he became king, they found his son of his city and said to him: "My name is like your name, and the name of my wife is like the name of your wife" - is he disqualified to divorce with him?</t>
  </si>
  <si>
    <t>And Rabbi Aḥai bar Yo’ashiya—he does not have: he wrote to divorce his wife and reconsidered; he found a man of his city and he said to him: My name is like your name, and the name of my wife is like the name of your wife—invalid to divorce with it?</t>
  </si>
  <si>
    <t>אִיבַּעְיָא לְהוּ: אֵין שָׁם עָפָר, מַהוּ שֶׁיִּתֵּן אֵפֶר? אַלִּיבָּא דְּבֵית שַׁמַּאי לָא תִּיבְּעֵי לָךְ, דְּאָמְרִי: לֹא מָצִינוּ אֵפֶר שֶׁקָּרוּי ״עָפָר״.</t>
  </si>
  <si>
    <t>A dilemma was raised before there is no dust there, what is place ashes no raise the dilemma in accordance with Beit Shammai, as they say: We never find ashes referred to as dust</t>
  </si>
  <si>
    <t>He asked them: There is no dust there, so why should one give ashes? According to the opinion of Beit Shammai, it should not be asked of you, as they say: We did not find ashes that are called "dust."</t>
  </si>
  <si>
    <t>אִיבַּעְיָא לְהוּ: It was asked of them: אֵין שָׁם עָפָר, If there is not there dust, מַהוּ שֶׁיִּתֵּן אֵפֶר? what is it that he should put ashes? אַלִּיבָּא דְּבֵית שַׁמַּאי לָא תִּיבְּעֵי לָךְ, According to Beit Shammai, do not let it be asked to you, דְּאָמְרִי: for they say: לֹא מָצִינוּ אֵפֶר שֶׁקָּרוּי ״עָפָר״. We have not found ashes that are called “dust.”</t>
  </si>
  <si>
    <t xml:space="preserve">They are pointing out the homonym and asking a question about it.  Translations are relatively close, but GPT 5 translates every couple of phrases, making the BLUE Score lower. </t>
  </si>
  <si>
    <t>תְּנָא וְשַׁיַּיר. וּמַאי שַׁיַּיר דְּהַאי שַׁיַּיר? שַׁיַּיר מְצוֹרָע, דְּתַנְיָא: ״וְהָיָה בַּיּוֹם הַשְּׁבִיעִי יְגַלַּח אֶת כׇּל שְׂעָרוֹ״ — כְּלָל, ״אֶת רֹאשׁוֹ וְאֶת זְקָנוֹ וְאֵת גַּבֹּת עֵינָיו״ — פְּרָט, ״וְאֶת כָּל שְׂעָרוֹ יְגַלֵּחַ״ — חָזַר וְכָלַל. כְּלָל וּפְרָט וּכְלָל — אִי אַתָּה דָן אֶלָּא כְעֵין הַפְּרָט. מָה פְּרָט מְפוֹרָשׁ: מְקוֹם כִּינּוּס שֵׂעָר וְנִרְאֶה — אַף כׇּל מָקוֹם כִּינּוּס שֵׂעָר וְנִרְאֶה.</t>
  </si>
  <si>
    <t>taught and omitted What did he omit that he omitted this? He omitted the leper, as it is taught “And it shall be on the seventh day, that he shall shave off all his hair” a generalization. “His head and his beard and his eyebrows,” a detail. “Even all his hair he shall shave off,” then generalized a generalization, and a detail, and a generalization, you may deduce only similar to the detail. Just as the detail is explicitly areas a collection of hair which is visible, so too all areas a collection of hair which is visible</t>
  </si>
  <si>
    <t>Tanna: And he shall leave. And what is the leaving that this leaving is? The leaving of a leper, as it was taught: "And on the seventh day he shall shave off all his hair" - this is a general statement. "His head and his beard and the corners of his eyes" - this is a specification. "And all his hair he shall shave off" - he repeated and included. General, specification, and general - you can only judge in a manner similar to the specification. Just as the specified place is where hair grows and is visible - so too, every place where hair grows and is visible.</t>
  </si>
  <si>
    <t>It was taught, and he left over. And what did he leave over, that this one left over? He left over the metzora, as it is taught: “And it shall be on the seventh day, he shall shave all his hair” — a generalization; “his head and his beard and his eyebrows” — a specification; “and all his hair he shall shave” — he returned and generalized. A generalization and a specification and a generalization — you judge only like the specification. Just as the specification is explicit: a place of gathering of hair and visible — so too every place of gathering of hair and visible.</t>
  </si>
  <si>
    <t>הָתָם, מִדִּכְתִיב ״וְנִכְבְּשָׁה הָאָרֶץ לִפְנֵי ה׳ וְאַחַר תָּשֻׁבוּ״ — מַשְׁמַע דִּלְהַבָּא. אֶלָּא הָכָא, אִי סָלְקָא דַעְתָּךְ כְּדִכְתִיבִי, ״וְעָבַר״ בָּתַר טוּמְאָה וּסְתִירָה — קִינּוּי לְמָה לִי?</t>
  </si>
  <si>
    <t>There, from that it is written: “And the land be subdued before the Lord, and you return afterward” teaches concerning the future. But here, if it enters your mind as they are written “ ve’avar ” after defilement and seclusion, why do I a warning?</t>
  </si>
  <si>
    <t>There, from where it is written, "And the land shall be subdued before the Lord, and afterward you shall return" - it implies that it is coming. Rather here, if it is according to your opinion as it is written, "And he shall pass" after impurity and concealment - why do I need a euphemism?</t>
  </si>
  <si>
    <t>There, since it is written: “and the land shall be subdued before HaShem, and afterward you shall return” — it implies from here onward. But here, if it עולה upon your mind as they are written, “and he passed” after tum’ah and setirah — kinui, for what do I need?</t>
  </si>
  <si>
    <t>וְרוֹתֶתֶת מִי מַשְׁקִין? וְהָא אֵין עוֹשִׂין מִצְוֹת חֲבִילוֹת חֲבִילוֹת.</t>
  </si>
  <si>
    <t>And trembling, give her to drink But one does not perform mitzvot in bundles,</t>
  </si>
  <si>
    <t>And Rotevet, who mixes drinks? But behold, they do not perform mitzvot in bundles upon bundles.</t>
  </si>
  <si>
    <t>And a *rotetet*—from whom do we give to drink? But behold, we do not make mitzvot bundles, bundles.</t>
  </si>
  <si>
    <t>transliteration, not as good as a teacher that would explain to you what "mitzvot chavilot chavilot" means  - it is a halachic concept ui</t>
  </si>
  <si>
    <t>כְּדַלַּעַת, מַנִּי — רַבִּי עֲקִיבָא הִיא, דְּדָרֵישׁ רִיבּוּיֵי וּמִיעוּטֵי. דְּתַנְיָא: ״וְהָיָה בַּיּוֹם הַשְּׁבִיעִי יְגַלַּח אֶת כׇּל שְׂעָרוֹ״ — רִיבָּה, ״אֶת רֹאשׁוֹ וְאֶת זְקָנוֹ וְאֵת גַּבֹּת עֵינָיו״ — מִיעֵט, ״וְאֶת כָּל שְׂעָרוֹ יְגַלֵּחַ״ — חָזַר וְרִיבָּה. רִיבָּה וּמִיעֵט וְרִיבָּה — רִיבָּה הַכֹּל.</t>
  </si>
  <si>
    <t>like a gourd. whose It is Rabbi Akiva, who interprets amplifications and restrictions. As it is taught “And it shall be on the seventh day, that he shall shave off all his hair,” amplification. “His head and his beard and his eyebrows,” restriction. “Even all his hair he shall shave off,” then amplified amplification and restriction and amplification, includes everything.</t>
  </si>
  <si>
    <t>Talmudic text: "Like a dandelion, it is — Rabbi Akiva, who expounds the amplifications and the limitations. As it was taught: 'And on the seventh day he shall shave off all his hair' — he amplified, 'his head, his beard, and the corners of his eyes' — he limited, 'and all his hair he shall shave off' — he reverted and amplified. Amplification, limitation, and amplification — amplification takes precedence in all cases."</t>
  </si>
  <si>
    <t>As the gourd, who is it? It is Rabbi Akiva, who expounds inclusions and exclusions. As it is taught: “And it shall be on the seventh day he shall shave all his hair” — he included; “his head and his beard and his eyebrows” — he excluded; “and all his hair he shall shave” — he went back and included. He included and excluded and included — he included everything.</t>
  </si>
  <si>
    <t>״וַיָּשִׂימוּ עָלָיו שָׂרֵי מִסִּים״, ״עֲלֵיהֶם״ מִיבְּעֵי לֵיהּ! תָּנָא דְּבֵי רַבִּי אֶלְעָזָר בְּרַבִּי שִׁמְעוֹן: מְלַמֵּד שֶׁהֵבִיאוּ מַלְבֵּן וְתָלוּ לוֹ לְפַרְעֹה בְּצַוָּארוֹ, וְכׇל אֶחָד וְאֶחָד מִיִּשְׂרָאֵל שֶׁאָמַר לָהֶם אִיסְטְנִיס אֲנִי, אָמְרוּ לוֹ: כְּלוּם אִיסְטְנִיס אַתָּה יוֹתֵר מִפַּרְעֹה?</t>
  </si>
  <si>
    <t>“Therefore they did set over him taskmasters It should have Over them, The school of Rabbi Elazar, son of Rabbi Shimon, taught: teaches they brought a brick mold and they hung it on the neck of Pharaoh And each and every Jew who said to I am a delicate person [ istenis ] they said to him: Are you at all more of a delicate person than Pharaoh,</t>
  </si>
  <si>
    <t>"They placed over him officers of taxes," "over them" it should have said! It was taught in the school of Rabbi Elazar son of Rabbi Shimon: This teaches that they brought a collar of bricks and hung it on Pharaoh's neck, and each and every one of the Israelites who said to them, "I am an officer of taxes," they said to him: Are you more of an officer of taxes than Pharaoh?</t>
  </si>
  <si>
    <t>“‘And they set over him officers of tribute,’ ‘over them’ it should have said! It was taught in the school of Rabbi El‘azar be-Rabbi Shim‘on: This teaches that they brought a malben and hung it for Par‘oh on his neck, and every single one of Yisrael who said to them, ‘I am an istanis,’ they said to him: ‘Are you an istanis more than Par‘oh?’”</t>
  </si>
  <si>
    <t>דְּאָמַר רַב יוֹסֵף, וְכֵן תָּנֵי רַבִּי חִיָּיא: מִיּוֹם שֶׁחָרַב בֵּית הַמִּקְדָּשׁ, אַף עַל פִּי שֶׁבָּטְלָה סַנְהֶדְרִי — אַרְבַּע מִיתוֹת לֹא בָּטְלוּ. וְהָא בָּטְלוּ?! אֶלָּא: דִּין אַרְבַּע מִיתוֹת לֹא בָּטְלוּ.</t>
  </si>
  <si>
    <t>As Rav Yosef says, and Rabbi Ḥiyya similarly teaches: From the day that the Temple was destroyed, although the Sanhedrin ceased, four capital punishment have not ceased. But they have ceased; Rather, The law of four capital punishment has not ceased.</t>
  </si>
  <si>
    <t>Talmudic text: Rabbi Yosef said, and so too it was taught by Rabbi Chiya: From the day the Temple was destroyed, even though the Sanhedrin ceased, four death penalties were not nullified. But were they nullified?! Rather, the judgment of four death penalties was not nullified.</t>
  </si>
  <si>
    <t>For Rav Yosef said, and so taught Rabbi Ḥiyya: From the day that the Beit HaMikdash was destroyed, even though the Sanhedrin was nullified — the four deaths were not nullified. But behold they were nullified?! Rather: the law of the four deaths was not nullified.</t>
  </si>
  <si>
    <t>וְרַבִּי שִׁמְעוֹן סָבַר: ״וְאַחַר יַשְׁקֶה״ — לְגוּפוֹ, שֶׁמַּקְרִיב אֶת מִנְחָתָהּ וְאַחַר כָּךְ מַשְׁקָהּ. ״וְהִשְׁקָה״ קַמָּא — שֶׁאִם הִשְׁקָהּ וְאַחַר כָּךְ הִקְרִיב אֶת מִנְחָתָהּ כְּשֵׁרָה. ״וְהִשְׁקָהּ״ בָּתְרָא — שֶׁאִם נִמְחֲקָה מְגִילָּה וְאָמְרָה ״אֵינִי שׁוֹתָה״, מְעַרְעֲרִין אוֹתָהּ וּמַשְׁקִין אוֹתָהּ בְּעַל כׇּרְחָהּ.</t>
  </si>
  <si>
    <t>And Rabbi Shimon holds “And afterward he shall make drink to itself, that sacrifices her meal-offering and afterward forces her to drink. The first “And he shall make drink,” that if he forced her to drink and afterward sacrificed her meal-offering, is valid. The last “And he shall make her drink,” that if scroll was erased and she said: I will not drink, she is forced to drink against her will.</t>
  </si>
  <si>
    <t>Rabbi Shimon holds: "And afterward he shall cause her to drink" - to her body, that she brings her offering and then he causes her to drink. "And he shall cause her to drink" is first - that if he caused her to drink and then she brought her offering, it is valid. "And he shall cause her to drink" is last - that if the scroll was erased and she said, "I do not want to drink," we force her and make her drink against her will.</t>
  </si>
  <si>
    <t>And Rabbi Shim‘on holds: “and afterward he shall make her drink” — for its own body, that he offers her minḥah and afterward makes her drink. “and he made her drink” the first — that if he made her drink and afterward offered her minḥah, it is valid. “and he made her drink” the latter — that if a megillah was erased and she said “I do not drink,” they compel her and make her drink against her will.</t>
  </si>
  <si>
    <t>״וַתֹּאמֶר אֲחוֹתוֹ אֶל בַּת פַּרְעֹה הַאֵלֵךְ וְקָרָאתִי לָךְ אִשָּׁה מֵינֶקֶת מִן הָעִבְרִיּוֹת״. וּמַאי שְׁנָא מֵעִבְרִיּוֹת?</t>
  </si>
  <si>
    <t>“Then said his sister to Pharaoh’s daughter: Shall I go and call you a nurse of the Hebrew women, And what is different of the Hebrew women?</t>
  </si>
  <si>
    <t>"And his sister said to Pharaoh's daughter, 'Shall I go and call for you a nursemaid from the Hebrew women?'" What is different about Hebrew women?</t>
  </si>
  <si>
    <t>“And his sister said to Bat Par‘oh: ‘Shall I go and call for you a nursing woman from the ‘Ivriyot?’” And what is different about the ‘Ivriyot?</t>
  </si>
  <si>
    <t>אָמַר אַבָּיֵי, וְאִיתֵּימָא רַב כָּהֲנָא, לָא קַשְׁיָא: כָּאן בְּכֹהֵן אֶחָד, כָּאן בִּשְׁנֵי כֹּהֲנִים.</t>
  </si>
  <si>
    <t>Abaye said, and some say Rav Kahana not difficult. Here, with regard to one priest. There, with regard to two priests.</t>
  </si>
  <si>
    <t>Abaye said, and it was stated by Rav Kahana, it is not difficult: here it is referring to one priest, here it is referring to two priests.</t>
  </si>
  <si>
    <t>אָמַר אַבָּיֵי, וְאִיתֵּימָא רַב כָּהֲנָא, לָא קַשְׁיָא: כָּאן בְּכֹהֵן אֶחָד, כָּאן בִּשְׁנֵי כֹּהֲנִים. Abaye said, and if you say Rav Kahana, it is not difficult: here with one Kohen, here with two Kohanim.</t>
  </si>
  <si>
    <t>וְרַבָּנַן, הַאי ״אֲנִי חׇכְמָה״ מַאי עָבְדִי לֵיהּ? מִיבְּעֵי לֵיהּ לְכִדְרַבִּי יוֹסֵי בְּרַבִּי חֲנִינָא. דְּאָמַר רַבִּי יוֹסֵי בְּרַבִּי חֲנִינָא: אֵין דִּבְרֵי תוֹרָה מִתְקַיְּימִין אֶלָּא בְּמִי שֶׁמַּעֲמִיד עַצְמוֹ עָרוֹם עֲלֵיהֶן, שֶׁנֶּאֱמַר: ״אֲנִי חׇכְמָה שָׁכַנְתִּי עׇרְמָה״. אָמַר רַבִּי יוֹחָנָן: אֵין דִּבְרֵי תוֹרָה מִתְקַיְּימִין אֶלָּא בְּמִי שֶׁמֵּשִׂים עַצְמוֹ כְּמִי שֶׁאֵינוֹ, שֶׁנֶּאֱמַר: ״וְהַחׇכְמָה מֵאַיִן תִּמָּצֵא״.</t>
  </si>
  <si>
    <t>And the Rabbis what do they do with this “I, wisdom, He requires that for that which Rabbi Yosei, son of Rabbi Ḥanina, as Rabbi Yosei, son of Rabbi Ḥanina, says: The matters of Torah do not endure except in one who stands naked for them, as it is stated: “I, wisdom, dwell with nakedness [ orma ]” Rabbi Yoḥanan says: The matters of Torah do not endure except in one who considers himself as one who does not as it is stated: “But wisdom, it can be found in nothingness”</t>
  </si>
  <si>
    <t>The sages, what does this "I am wisdom" do for him? He wanted to attribute it to Rabbi Yosei, son of Rabbi Chanina. For Rabbi Yosei, son of Rabbi Chanina said: The words of Torah are only established in one who makes himself naked for them, as it says: "I am wisdom, I dwell with cunning." Rabbi Yochanan said: The words of Torah are only established in one who makes himself like one who is not, as it says: "And from where will wisdom be found?"</t>
  </si>
  <si>
    <t>And the Rabbanan, this “I am ḥokhmah” what do they do with it? It is needed for it according to d’Rabbi Yosei b’Rabbi Ḥanina. As Rabbi Yosei b’Rabbi Ḥanina said: Words of Torah do not endure except in one who makes himself naked over them, as it is said: “I am ḥokhmah, I have dwelt with ʿormah.” Rabbi Yoḥanan said: Words of Torah do not endure except in one who makes himself as one who is not, as it is said: “And the ḥokhmah, from where shall it be found.”</t>
  </si>
  <si>
    <t>מַאי ״בּוֹז יָבוּזוּ לוֹ״? אָמַר עוּלָּא: לָא כְּשִׁמְעוֹן אֲחִי עֲזַרְיָה, וְלָא כְּרַבִּי יוֹחָנָן דְּבֵי נְשִׂיאָה,</t>
  </si>
  <si>
    <t>What he would utterly be condemned” Ulla says: not like Shimon, brother of Azarya, And not like Rabbi Yoḥanan of the house of the Nasi ,</t>
  </si>
  <si>
    <t>What is meant by "they shall despise him"? Ulla said: Not like Shimon the brother of Azaryah, and not like Rabbi Yochanan of the house of the Nasi.</t>
  </si>
  <si>
    <t>What is: “they will surely despise him”? ʾAmar ʿUlla: not like Shimʿon aḥi ʿAzaryah, and not like Rabbi Yoḥanan of the house of the Nesiʾah,</t>
  </si>
  <si>
    <t>תַּנְיָא, רַבִּי מֵאִיר אוֹמֵר: נֶאֱמַר ״יְרֵא אֱלֹהִים״ בְּאִיּוֹב, וְנֶאֱמַר ״יְרֵא אֱלֹהִים״ בְּאַבְרָהָם, מָה ״יְרֵא אֱלֹהִים״ הָאָמוּר בְּאַבְרָהָם — מֵאַהֲבָה, אַף ״יְרֵא אֱלֹהִים״ הָאָמוּר בְּאִיּוֹב — מֵאַהֲבָה.</t>
  </si>
  <si>
    <t>It is taught Rabbi Meir says: It is stated with regard to Job “God-fearing” and it is stated with regard to Abraham “God-fearing” Just as “God-fearing,” which is stated with regard to Abraham, out of love, so too, “God-fearing” that is stated with regard to Job out of love.</t>
  </si>
  <si>
    <t>It was taught: Rabbi Meir says: It is stated "he fears God" regarding Job, and it is stated "he fears God" regarding Abraham. Just as the "fears God" said of Abraham is from love, so too the "fears God" said of Job is from love.</t>
  </si>
  <si>
    <t>It was taught: Rabbi Meir says: It is stated “God-fearing” with Iyov, and it is stated “God-fearing” with Avraham; just as “God-fearing” that is said with Avraham — from love, so too “God-fearing” that is said with Iyov — from love.</t>
  </si>
  <si>
    <t>וְכִי תֵּימָא הָנָךְ אֲזַדוּ וְהָנֵי אַחֲרִינֵי נִינְהוּ — וְהָתַנְיָא, אָמַר רַבִּי יְהוּדָה: מִנְיָמִין גֵּר הַמִּצְרִי הָיָה לִי חָבֵר מִתַּלְמִידֵי רַבִּי עֲקִיבָא. אָמַר מִנְיָמִין גֵּר הַמִּצְרִי: אֲנִי מִצְרִי רִאשׁוֹן, וְנָשָׂאתִי מִצְרִית רִאשׁוֹנָה, אַשִּׂיא לִבְנֵי מִצְרִית שְׁנִיָּה כְּדֵי שֶׁיְּהֵא בֶּן בְּנִי מוּתָּר לָבֹא בַּקָּהָל!</t>
  </si>
  <si>
    <t>And if you would say those have gone, and these are different ones, but isn’t it taught Rabbi Yehuda said: Minyamin, an Egyptian convert, was a friend of mine from among the students of Rabbi Akiva, Minyamin the Egyptian convert said: I a first- Egyptian and I married first- Egyptian I will marry off my son, a second- to second- Egyptian in order that my son’s son will be permitted to enter into the congregation.</t>
  </si>
  <si>
    <t>And if you will say, "There, they went and others came in their place" - and it was taught: Rabbi Yehuda said: "Minyamin the Egyptian convert was a friend of mine from the disciples of Rabbi Akiva." Minyamin the Egyptian convert said: "I am the first Egyptian, and I married a first Egyptian woman, I will bring a second Egyptian woman for my son's son so that he may enter the congregation!"</t>
  </si>
  <si>
    <t>And if you will say: those have gone, and these are others — but is it not taught, Rabbi Yehuda said: Minyamin ger haMitzri was to me a friend from the disciples of Rabbi Akiva. Minyamin ger haMitzri said: I am a first-generation Egyptian, and I married a first-generation Egyptian woman; I will marry for my son a second-generation Egyptian woman, in order that my son’s son be permitted to come into the congregation!</t>
  </si>
  <si>
    <t>״וַתֵּתַצַּב אֲחוֹתוֹ מֵרָחוֹק״, אָמַר רַבִּי יִצְחָק: פָּסוּק זֶה כּוּלּוֹ עַל שֵׁם שְׁכִינָה נֶאֱמַר: ״וַתֵּתַצַּב״ — דִּכְתִיב: ״וַיָּבֹא ה׳ וַיִּתְיַצַּב וְגוֹ׳״. ״אֲחוֹתוֹ״ — דִּכְתִיב: ״אֱמֹר לַחׇכְמָה אֲחוֹתִי אָתְּ״. ״מֵרָחוֹק״ — דִּכְתִיב: ״מֵרָחוֹק ה׳ נִרְאָה לִי״. ״לָדַעַת״ — דִּכְתִיב: ״כִּי אֵל דֵּעוֹת ה׳״. ״מָה״ — דִּכְתִיב: ״מַה ה׳ אֱלֹהֶיךָ שֹׁאֵל מֵעִמָּךְ״. ״יֵּעָשֶׂה״ — דִּכְתִיב: ״כִּי לֹא יַעֲשֶׂה ה׳ אֱלֹהִים דָּבָר״. ״לוֹ״ — דִּכְתִיב: ״וַיֹּאמֶר לוֹ ה׳ שָׁלוֹם״.</t>
  </si>
  <si>
    <t>“And his sister stood afar off, Rabbi Yitzḥak says: This entire verse is stated in reference to the Divine Presence, “And stood”; as it is written: “And the Lord came, and stood” “His sister”; as it is written: “Say to wisdom: You are my sister” “Afar off”; as it is written: “From afar the Lord appeared to me” “To know”; as it is written: “For the Lord is a God of knowledge” “What”; as it is written: “What does the Lord God require of you” “Would be done”; as it is written: “For the Lord God will do nothing” “To him”; as it is written: “And the Lord said to him: Peace</t>
  </si>
  <si>
    <t>"And his sister stood from afar," Rabbi Yitzchak said: This entire verse is in reference to the name of the Divine Presence, as it is stated: "And she stood" - as it is written: "And Hashem came and stood, etc." "His sister" - as it is written: "Say to wisdom, 'You are my sister.'" "From afar" - as it is written: "From afar, Hashem appeared to me." "To know" - as it is written: "For the knowledge of Hashem." "What" - as it is written: "What does Hashem your God ask of you." "Shall be done" - as it is written: "For Hashem your God will not do a thing." "To him" - as it is written: "And Hashem said to him, 'Peace.'"</t>
  </si>
  <si>
    <t>mostly correct</t>
  </si>
  <si>
    <t>“‘And his sister stood from afar’”; R. Yitzḥak said: This verse, all of it, on account of the name of the Shekhinah it is said: “‘And she stood’” — as it is written: “And the LORD came and stood, etc.”. “‘His sister’” — as it is written: “Say to wisdom: You are my sister”. “‘From afar’” — as it is written: “From afar the LORD appeared to me”. “‘To know’” — as it is written: “For a God of knowledges is the LORD”. “‘What’” — as it is written: “What does the LORD your God ask from you”. “‘Will be done’” — as it is written: “For the LORD God will not do a thing”. “‘To him’” — as it is written: “And the LORD said to him: Peace”.</t>
  </si>
  <si>
    <t>וְלֹא יָרַד טַל לִבְרָכָה וְנִיטַּל טַעַם פֵּירוֹת וְכוּ׳. תַּנְיָא, רַבִּי שִׁמְעוֹן בֶּן אֶלְעָזָר אוֹמֵר: טׇהֳרָה — בִּטְּלָה טַעַם וָרֵיחַ, מַעֲשֵׂר — בִּיטֵּל שׁוֹמֶן דָּגָן.</t>
  </si>
  <si>
    <t>dew has not descended for a blessing, and the taste has been removed from fruit. It is taught Rabbi Shimon ben Elazar says: purity has removed the taste and the aroma; tithes have removed the fat of grain.</t>
  </si>
  <si>
    <t>The text reads as follows: "And dew did not descend for blessing, and the taste of fruits was removed, etc. It was taught: Rabbi Shimon ben Elazar says: Purity - it nullified the taste and smell, tithes - it nullified the oil of grain."</t>
  </si>
  <si>
    <t>AND dew did not descend for blessing, and the taste of fruits was taken away, etc. It is taught: Rabbi Shim‘on ben El‘azar says: Ṭoharah — it nullified taste and smell; Ma‘aser — it nullified the fatness of grain.</t>
  </si>
  <si>
    <t>הֵיכִי דָּמֵי רָשָׁע עָרוּם? אָמַר רַבִּי יוֹחָנָן: זֶה הַמַּטְעִים דְּבָרָיו לַדַּיָּין קוֹדֶם שֶׁיָּבֹא בַּעַל דִּין חֲבֵרוֹ. רַבִּי אֲבָהוּ אוֹמֵר: זֶה הַנּוֹתֵן דִּינָר לְעָנִי לְהַשְׁלִים לוֹ מָאתַיִם זוּז. דִּתְנַן: מִי שֶׁיֵּשׁ לוֹ מָאתַיִם זוּז — לֹא יִטּוֹל לֶקֶט שִׁכְחָה וּפֵאָה וּמַעְשַׂר עָנִי. הָיָה לוֹ מָאתַיִם חָסֵר דִּינָר, אֲפִילּוּ אֶלֶף נוֹתְנִין לוֹ כְּאַחַת — הֲרֵי זֶה יִטּוֹל.</t>
  </si>
  <si>
    <t>Who is considered a conniving wicked person? Rabbi Yoḥanan says: This is one who presents his statement to the judge before the other litigant comes Rabbi Abbahu says: This one who gives a dinar to a poor man to complete two hundred dinars for him, as we learned One who has two hundred dinars may not collect gleanings, forgotten pe’a , and poor man’s tithe, he has two hundred less dinar, even he is given one thousand at once, he may collect.</t>
  </si>
  <si>
    <t>Talmudic text: How are the words of a wicked person cunning? Rabbi Yochanan said: This refers to one who plants his words with the judge before the litigant arrives. Rabbi Avahu says: This refers to one who gives a dinar to a poor person to complete for him two hundred zuz. As we learned in a Mishnah: One who has two hundred zuz should not take gleanings, forgotten sheaves, pe'ah, or the poor tithe. If he is lacking one dinar of the two hundred, even if a thousand people give it to him at once, he may take it.</t>
  </si>
  <si>
    <t>What is the case of a wicked man who is cunning? Rabbi Yoḥanan said: This is one who loads his words upon the judge before his fellow litigant comes. Rabbi Abbahu says: This is one who gives a dinar to a poor man to complete for him two hundred zuz. As we learned: One who has two hundred zuz — he shall not take leket, shikḥa, and pe’ah, and ma‘aser ‘ani. If he had two hundred lacking a dinar, even a thousand give to him at once — behold this one shall take.</t>
  </si>
  <si>
    <t>אֶלָּא חוּט שֶׁל תְּכֵלֶת, מַאי הִיא? דְּתַנְיָא, הָיָה רַבִּי מֵאִיר אוֹמֵר: מָה נִשְׁתַּנָּה תְּכֵלֶת מִכׇּל מִינֵי צִבְעוֹנִין?</t>
  </si>
  <si>
    <t>But what is the thread of sky-blue As it is taught Rabbi Meir would say: What is different about sky-blue from all other colors</t>
  </si>
  <si>
    <t>Rather, the thread of techelet, what is it? As it was taught: Rabbi Meir would say, "How is techelet different from all other colors?"</t>
  </si>
  <si>
    <t>Rather, a thread of *tekhelet*—what is it? As it is taught: Rabbi Meir would say: In what is *tekhelet* different from all kinds of dyes?</t>
  </si>
  <si>
    <t>אָמַר אַבָּיֵי: תַּרְגְּמַהּ אֲנָשִׁים. אָמַר לֵיהּ רָבָא: וְהָא ״כָּל הָרוֹצֶה לִרְאוֹת בָּהּ רוֹאֶה״ קָתָנֵי!</t>
  </si>
  <si>
    <t>Abaye said: Interpret to women, Rava said to him: But teaches anyone who desires to watch her may watch,</t>
  </si>
  <si>
    <t>Abaye said: Translate it into men. Rava said to him: But doesn't it say, "Whoever wants to see in it, sees"?</t>
  </si>
  <si>
    <t>this is confusing you would tranlsate it the way its said but you need human understanding ot know to translate differently</t>
  </si>
  <si>
    <t>אָמַר אַבָּיֵי: Translate it—people. אָמַר לֵיהּ רָבָא: But behold, “Anyone who wants to see in it, sees” it teaches!</t>
  </si>
  <si>
    <t xml:space="preserve">It keeps simple language in Hebrew 
Rashi or a different commentary would be needed to correctly translate the term "Anashim" which generally means "men" to mean women. </t>
  </si>
  <si>
    <t>3.5 translates anashim as "men" 5 as "people". The latter sounds politically correct: gender smoothing?</t>
  </si>
  <si>
    <t>הָתָם אָמַר בֶּן עַזַּאי: כְּדֵי לִצְלוֹת בֵּיצָה, הָכָא אָמַר: כְּדֵי לִשְׁתּוֹתוֹ. אִידֵּי וְאִידֵּי חַד שִׁיעוּרָא הוּא.</t>
  </si>
  <si>
    <t>There, ben Azzai says: equivalent to roast an egg. Here, he says: equivalent to drink This and that are one measure.</t>
  </si>
  <si>
    <t>There, Ben Azzai said: In order to roast an egg, here it says: In order to boil it. Both are one measure.</t>
  </si>
  <si>
    <t>There, Ben Azzai said: enough to roast an egg; here he said: enough to drink it. Both this and that are one measure.</t>
  </si>
  <si>
    <t>וְאָמַר רַבִּי אִילְעָא בַּר יְבֶרֶכְיָה: שְׁנֵי תַּלְמִידֵי חֲכָמִים הַדָּרִין בְּעִיר אַחַת וְאֵין נוֹחִין זֶה לָזֶה בַּהֲלָכָה — אֶחָד מֵת וְאֶחָד גּוֹלֶה, שֶׁנֶּאֱמַר: ״לָנֻס שָׁמָּה רוֹצֵחַ אֲשֶׁר יִרְצַח אֶת רֵעֵהוּ בִּבְלִי דַעַת״, וְאֵין דַּעַת אֶלָּא תּוֹרָה, שֶׁנֶּאֱמַר: ״נִדְמוּ עַמִּי מִבְּלִי הַדָּעַת״.</t>
  </si>
  <si>
    <t>And Rabbi Ile’a bar Yeverekhya says: two Torah scholars who reside in the same city and they are not pleasant to each other with regard to halakha , one die and one exiled. As is stated: “That the manslayer might flee there, who slays his neighbor without knowledge” and “knowledge” nothing other Torah, as it is stated: “My people are destroyed for lack of knowledge”</t>
  </si>
  <si>
    <t>And Rabbi Ilai son of Yevarekhiya said: Two Torah scholars who reside in one city and do not find rest with each other in matters of halakha - one dies and one is exiled, as it is stated: "To a city of refuge shall the murderer flee, he who kills his fellow unintentionally," and there is no knowledge except for Torah, as it is stated: "My people are destroyed for lack of knowledge."</t>
  </si>
  <si>
    <t>And Rabbi Il’a bar Yeverekhya said: Two talmidei ḥakhamim who dwell in one city and are not agreeable one to the other in halakha — one dies and one is exiled, as it is stated: “to flee there a murderer who will murder his fellow without knowledge”; and knowledge is nothing but Torah, as it is stated: “My people are destroyed for lack of the knowledge.”</t>
  </si>
  <si>
    <t>רַבִּי אֱלִיעֶזֶר בְּנוֹ שֶׁל רַבִּי יוֹסֵי הַגְּלִילִי אוֹמֵר: כְּקָטָן הַמַּקְרֶא אֶת הַלֵּל, וְהֵן עוֹנִין אַחֲרָיו כׇּל מָה שֶׁהוּא אוֹמֵר. מֹשֶׁה אָמַר ״אָשִׁירָה לַה׳״ וְהֵן אוֹמְרִים ״אָשִׁירָה לַה׳״, מֹשֶׁה אָמַר ״כִּי גָאֹה גָּאָה״, וְהֵן אוֹמְרִים ״כִּי גָאֹה גָּאָה״.</t>
  </si>
  <si>
    <t>Rabbi Eliezer, son of Rabbi Yosei HaGelili, says: like a minor boy reciting hallel and repeat after him all that he says, Moses said: “I will sing unto the Lord” and said “I will sing to the Lord.” Moses said: “For He is highly exalted,” and they said “For He is highly exalted.”</t>
  </si>
  <si>
    <t>Rabbi Eliezer, son of Rabbi Yosei the Galilean, says: Like a minor who reads the Hallel, and they respond after him everything that he says. Moses said, "I will sing to the Lord," and they say, "I will sing to the Lord." Moses said, "For exalted, exalted," and they say, "For exalted, exalted."</t>
  </si>
  <si>
    <t>Rabbi Eliezer benno shel Rabbi Yosei HaGelili says: like a katan who recites the Hallel, and they answer after him everything that he says. Moshe said “I will sing to the LORD,” and they say “I will sing to the LORD”; Moshe said “for He has triumphed gloriously,” and they say “for He has triumphed gloriously.”</t>
  </si>
  <si>
    <t>תָּנוּ רַבָּנַן: הִקְדִּים עָפָר לַמַּיִם — פָּסוּל, וְרַבִּי שִׁמְעוֹן מַכְשִׁיר. מַאי טַעְמָא דְּרַבִּי שִׁמְעוֹן —</t>
  </si>
  <si>
    <t>The Rabbis taught places the dust before the water, unfit; but Rabbi Shimon deems it fit. What is the reasoning of Rabbi Shimon?</t>
  </si>
  <si>
    <t>The Rabbis taught: If one precedes water with dust - invalid, and Rabbi Shimon deems it valid. What is the reason for Rabbi Shimon's opinion?</t>
  </si>
  <si>
    <t>**The Rabbis taught:** If he put the dust before the water — it is invalid, and **Rabbi Shim'on** deems it valid. What is the reason of **Rabbi Shim'on** —</t>
  </si>
  <si>
    <t>מִשֶּׁמֵּת רַבִּי מֵאִיר בָּטְלוּ מוֹשְׁלֵי מְשָׁלִים. מִשֶּׁמֵּת בֶּן עַזַּאי בָּטְלוּ הַשַּׁקְדָנִים. מִשֶּׁמֵּת בֶּן זוֹמָא בָּטְלוּ הַדַּרְשָׁנִים. מִשֶּׁמֵּת רַבִּי עֲקִיבָא בָּטַל כְּבוֹד הַתּוֹרָה. מִשֶּׁמֵּת רַבִּי חֲנִינָא בֶּן דּוֹסָא בָּטְלוּ אַנְשֵׁי מַעֲשֶׂה. מִשֶּׁמֵּת רַבִּי יוֹסֵי קְטֹנְתָּא פָּסְקוּ חֲסִידִים. וְלָמָּה נִקְרָא שְׁמוֹ ״קְטֹנְתָּא״ — שֶׁהָיָה קְטֹנְתָּא שֶׁל חֲסִידִים.</t>
  </si>
  <si>
    <t>From when Rabbi Meir died, those who relate parables ceased; from when ben Azzai died, the diligent ceased; from when ben Zoma died, the exegetists ceased; from when Rabbi Akiva died, the honor of the Torah ceased; from when Rabbi Ḥanina ben Dosa died, the men of action ceased; from when Rabbi Yosei the Small died, the pious were no more. And why was he called the Small? Because he was the smallest of the pious,</t>
  </si>
  <si>
    <t>From the death of Rabbi Meir, the interpreters of parables ceased. From the death of Ben Azzai, the almond trees ceased. From the death of Ben Zoma, the expounders ceased. From the death of Rabbi Akiva, the honor of the Torah ceased. From the death of Rabbi Chanina ben Dosa, the men of deeds ceased. From the death of Rabbi Yosei K'tanta, the pious ceased. And why was he called "K'tanta" - because he was the smallest among the pious.</t>
  </si>
  <si>
    <t>From when Rabbi Meir died, the rulers of parables ceased. From when Ben Azzai died, the diligent ones ceased. From when Ben Zoma died, the expounders ceased. From when Rabbi Akiva died, the honor of the Torah ceased. From when Rabbi Chanina ben Dosa died, the men of deed ceased. From when Rabbi Yosei Ketonta died, the chasidim stopped. And why was his name called “Ketonta”?—because he was the small one of the chasidim.</t>
  </si>
  <si>
    <t>שֶׁמְּבַזְבְּזִין דִּין אֲבִיהֶם לֶעָתִיד לָבוֹא. אוֹמְרִים לְפָנָיו: רִבּוֹנוֹ שֶׁל עוֹלָם, מֵאַחַר שֶׁאַתָּה עָתִיד לִיפָּרַע מֵהֶן, לָמָה הִקְהֵיתָה שִׁינֵּיהֶם בָּם?</t>
  </si>
  <si>
    <t>who plunder, their fathers’ future judgment. say before Him: Master of the Universe, because You were destined to exact punishment from why did You blunt their teeth with</t>
  </si>
  <si>
    <t>They degrade the judgment of their Father in Heaven. They say before Him: Master of the World, since You are destined to avenge Yourself from them, why did You provoke them with Your teeth?</t>
  </si>
  <si>
    <t>that they squander the judgment of their Father for the future to come. They say before Him: Master of the universe, since You are destined to exact payment from them, why did You blunt their teeth with them?</t>
  </si>
  <si>
    <t>וְכֵיוָן שֶׁמַּכִּירִין בָּהֶן מִצְרִים בָּאִין לְהוֹרְגָן, וְנַעֲשָׂה לָהֶם נֵס וְנִבְלָעִין בַּקַּרְקַע, וּמְבִיאִין שְׁוָורִים וְחוֹרְשִׁין עַל גַּבָּן, שֶׁנֶּאֱמַר: ״עַל גַּבִּי חָרְשׁוּ חֹרְשִׁים וְגוֹ׳״. לְאַחַר שֶׁהוֹלְכִין הָיוּ מְבַצְבְּצִין וְיוֹצְאִין כְּעֵשֶׂב הַשָּׂדֶה, שֶׁנֶּאֱמַר: ״רְבָבָה כְּצֶמַח הַשָּׂדֶה נְתַתִּיךְ״.</t>
  </si>
  <si>
    <t>And once the Egyptians would notice them, they would come to kill them. But a miracle would occur for them and they would be absorbed by the earth. And would bring oxen and would plow upon them, as it is stated: “The plowers plowed upon my back; After would leave, would emerge and exit like grass of the field, as it is stated: “I caused you to increase even as the growth of the field”</t>
  </si>
  <si>
    <t>And when the Egyptians recognize them, they come to kill them, and a miracle happens for them, and they are swallowed into the ground, and they bring oxen and plow over them, as it is said: "They plowed plowers on my back." After they are gone, they become crushed and go out like the grass of the field, as it is said: "I made you numerous like the plants of the field."</t>
  </si>
  <si>
    <t>And since the Miṣrim recognize them, the Miṣrim come to kill them, and a miracle was done for them and they are swallowed in the ground, and they bring oxen and plow upon their backs, as it is said: “Upon my back plowers plowed, they lengthened their furrow” (and so on). After they go, they would sprout and come out like the grass of the field, as it is said: “A myriad like the growth of the field I have made you.”</t>
  </si>
  <si>
    <t>״וַתִּשְׁלַח אֶת אֲמָתָהּ וַתִּקָּחֶהָ״. רַבִּי יְהוּדָה וְרַבִּי נְחֶמְיָה, חַד אָמַר: יָדָהּ, וְחַד אָמַר: שִׁפְחָתָהּ. מַאן דְּאָמַר יָדָהּ — דִּכְתִיב ״אַמָּתָהּ״. וּמַאן דְּאָמַר שִׁפְחָתָהּ — מִדְּלָא כְּתִיב ״יָדָהּ״.</t>
  </si>
  <si>
    <t>“And she sent amatah to take it” Rabbi Yehuda and Rabbi Neḥemya One says her arm, and one says her maidservant. The one who says her arm as it is written “ amatah ,” And the one who says her maidservant because it does not write Her hand [ yadah ].</t>
  </si>
  <si>
    <t>"And she sent her maidservant, and she took her." Rabbi Yehuda and Rabbi Nechemiah, one said: her hand, and one said: her maidservant. The one who said her hand - as it is written "her maidservant." And the one who said her maidservant - because it is not written "her hand."</t>
  </si>
  <si>
    <t>“‘And she sent *et amatah* and she took her.’ Rabbi Yehudah and Rabbi Neḥemya, one said: her hand, and one said: her maidservant. He who says her hand — as it is written ‘*amatah*.’ And he who says her maidservant — from that it is not written ‘her hand.’”</t>
  </si>
  <si>
    <t>וְכֵן מָצִינוּ בַּסּוֹטָה, שֶׁבַּמִּדָּה שֶׁמָּדְדָה — בָּהּ מָדְדוּ לָהּ: הִיא עָמְדָה עַל פֶּתַח בֵּיתָהּ לֵירָאוֹת לוֹ — לְפִיכָךְ כֹּהֵן מַעֲמִידָהּ עַל שַׁעַר נִקָּנוֹר וּמַרְאֶה קְלוֹנָהּ לַכֹּל. הִיא פָּרְסָה לוֹ סוּדָרִין נָאִין עַל רֹאשָׁהּ — לְפִיכָךְ כֹּהֵן נוֹטֵל כִּפָּה מֵעַל רֹאשָׁהּ וּמַנִּיחוֹ תַּחַת רַגְלֶיהָ. הִיא קִשְּׁטָה לוֹ פָּנֶיהָ — לְפִיכָךְ</t>
  </si>
  <si>
    <t>And we found this with regard to a sota , that with the measure with which she measured, she is measured with it: She stood by the opening of her house to exhibit herself to therefore a priest has her stand at the Gate of Nicanor and exhibits her disgrace to all; she spread beautiful shawls [ sudarin ] on her head for therefore a priest removes kerchief from her head and places it under her feet; she adorned her face for therefore</t>
  </si>
  <si>
    <t>And so we find in the case of the Sotah, that with the measure that she measured - with it they measured for her: if she stood at the entrance of her house to show fear for him - therefore the priest makes her stand at the gate of Nicanor and exposes her disgrace to all. If she adorned herself with fine linen turbans on her head - therefore the priest takes the turban from her head and places it beneath her feet. If she beautified her face - therefore</t>
  </si>
  <si>
    <t>And so we found with the Sotah, that with the measure that she measured — with it they measured for her: she stood at the entrance of her house to be seen by him — therefore a Kohen stands her at Shaʿar Nikanor and shows her disgrace to all. She spread for him fine sudarin upon her head — therefore a Kohen takes a kippah from upon her head and places it under her feet. She adorned for him her face — therefore</t>
  </si>
  <si>
    <t>תָּנוּ רַבָּנַן: אֵין מַשְׁקִין שְׁתֵּי סוֹטוֹת כְּאַחַת, כְּדֵי שֶׁלֹּא יְהֵא לִבָּהּ גַּס בַּחֲבֶירְתָּהּ. רַבִּי יְהוּדָה אוֹמֵר: לֹא מִן הַשֵּׁם הוּא זֶה, אֶלָּא אָמַר קְרָא: ״אֹתָהּ״ — לְבַדָּהּ.</t>
  </si>
  <si>
    <t>The Sages taught Two sota women are not given to drink simultaneously, in order that the heart not be emboldened by the other, Rabbi Yehuda says: This is not for reason. Rather, the verse states: her [ ota ] alone,</t>
  </si>
  <si>
    <t>The Rabbis taught: One may not give two sotot to drink simultaneously, so that her heart should not become arrogant towards her companion. Rabbi Yehuda says: This is not derived from the name itself, but rather the verse states: "her" - exclusively her.</t>
  </si>
  <si>
    <t>relatively close</t>
  </si>
  <si>
    <t>It was taught by the Rabbis: One does not give to drink two Sotot as one, in order that her heart not be bold because of her fellow. Rabbi Yehudah says: This is not from the reason, but rather the verse said: “her” — by herself.</t>
  </si>
  <si>
    <t>וְאַחַר כָּךְ מֵבִיא חֶבֶל וְכוּ׳. בְּעָא מִינֵּיהּ רַבִּי אַבָּא מֵרַב הוּנָא: חֶבֶל הַמִּצְרִי מַהוּ שֶׁיְּעַכֵּב בְּסוֹטָה? מִשּׁוּם שֶׁלֹּא יִשָּׁמְטוּ בְּגָדֶיהָ מֵעָלֶיהָ הוּא, וּבְצִלְצוֹל קָטָן נָמֵי סַגִּי, אוֹ דִילְמָא מִשּׁוּם דְּאָמַר מָר ״הִיא חָגְרָה לוֹ בְּצִלְצוֹל, לְפִיכָךְ כֹּהֵן מֵבִיא חֶבֶל הַמִּצְרִי וְקוֹשֵׁר לָהּ לְמַעְלָה מִדַּדֶּיהָ״ — מְעַכֵּב?</t>
  </si>
  <si>
    <t>And afterward would bring rope, Rabbi Abba raised a dilemma before Rav Huna: What is an Egyptian rope will preclude with regard to a sota ? is so that her clothes will not fall off her, and a small ribbon [ tziltzul ] would also suffice. Or, perhaps because the Master said: She girded with ribbon therefore the priest brings an Egyptian rope, and ties it above her breasts. indispensable.</t>
  </si>
  <si>
    <t>And afterwards he brings a rope, etc. Rabbi Abba asked Rav Huna: What is the status of an Egyptian rope that delays the Sotah? Because it will not let her garments be removed from her, and with a small bell that is also a sufficient noise, or perhaps because the Master said, "If he girded her with a bell, therefore a Kohen brings an Egyptian rope and ties it above her breasts" — is it effective?</t>
  </si>
  <si>
    <t>“And afterward he brings a ḥevel, etc.” Rabbi Abba asked of Rav Huna: A ḥevel haMitzri, what is it that it should impede with regard to a sota? Is it משום that her garments not slip off from upon her, and with a small tziltzul also it is sufficient, or perhaps משום that the Master said: “She girded him with a tziltzul; therefore a kohen brings a ḥevel haMitzri and ties for her above her breasts” — does it impede?</t>
  </si>
  <si>
    <t>אָמַר רַב יִצְחָק בַּר רַב יוֹסֵף אָמַר רַבִּי יוֹחָנָן: כׇּל אֶחָד וְאֶחָד — בְּעַצְמוֹ שִׁיעֵר. וְהָאִיכָּא בֶּן עַזַּאי דְּלָא נְסֵיב?</t>
  </si>
  <si>
    <t>Rav Yitzḥak bar Rav Yosef says Rabbi Yoḥanan says: Each and every one estimated based on himself, But there is ben Azzai, who did not marry,</t>
  </si>
  <si>
    <t>Said Rav Yitzchak son of Rav Yosef said Rabbi Yochanan: Each and every one — by himself he measures. But what about Ben Azzai who did not marry?</t>
  </si>
  <si>
    <t>אָמַר Rav Yitzḥak bar Rav Yosef אָמַר Rabbi Yoḥanan: Each and each—by himself he estimated. And behold there is Ben Azzai who did not marry?</t>
  </si>
  <si>
    <t>וְכֵיוָן שֶׁמִּתְגַּדְּלִין בָּאִין עֲדָרִים עֲדָרִים לְבָתֵּיהֶן, שֶׁנֶּאֱמַר: ״וַתִּרְבִּי וַתִּגְדְּלִי וַתָּבֹאִי בַּעֲדִי עֲדָיִים״, אַל תִּקְרֵי ״בַּעֲדִי עֲדָיִים״, אֶלָּא ״בְּעֶדְרֵי עֲדָרִים״.</t>
  </si>
  <si>
    <t>And once would grow, they would come like many flocks to their homes, as it is stated “And you did increase and grow up and you came with excellent beauty [ ba’adi adayim ]” Do not read “ Ba’adi adayim ,” Rather, Be’edrei adarim ,</t>
  </si>
  <si>
    <t>And when they grow, they come in flocks, flocks to their homes, as it is stated: "And you grew and became tall and reached full womanhood." Do not read "reached full womanhood," rather "in flocks of flocks."</t>
  </si>
  <si>
    <t>And since they grow up, flocks, flocks come to their houses, as it is stated: “And you increased and you grew and you came in ornaments of ornaments”; do not read “in ornaments of ornaments,” but rather “in flocks of flocks.”</t>
  </si>
  <si>
    <t>״לְפַעֲמוֹ בְּמַחֲנֵה דָן״, אָמַר רַבִּי יִצְחָק דְּבֵי רַבִּי אַמֵּי: מְלַמֵּד שֶׁהָיְתָה שְׁכִינָה מְקַשְׁקֶשֶׁת לְפָנָיו כְּזוֹג. כְּתִיב הָכָא: ״לְפַעֲמוֹ בְּמַחֲנֵה דָן״, וּכְתִיב הָתָם: ״פַּעֲמֹן וְרִמֹּן״.</t>
  </si>
  <si>
    <t>“To move him [ lefa’amo ] in Mahaneh Dan.” Rabbi Yitzḥak of the school of Rabbi Ami says: teaches that the Divine Presence jangled before him, like a bell [ zog ], it is written here: “To move him [ lefa’amo ] in Mahaneh Dan,” and it is written there “A bell [ pa’amon ] and a pomegranate”</t>
  </si>
  <si>
    <t>"Toward evening in the camp of Dan," said Rabbi Yitzchak of the school of Rabbi Ammi: It teaches that the Divine Presence would dance before him like a pair. It is written here: "Toward evening in the camp of Dan," and it is written there: "Pammon and Rimon."</t>
  </si>
  <si>
    <t>“‘To stir him in the camp of Dan’”; Rabbi Yitzḥak of the house of Rabbi Ammi said: It teaches that the Shekhinah was jingling before him like a bell. It is written here: “To stir him in the camp of Dan,” and it is written there: “A bell and a pomegranate.”</t>
  </si>
  <si>
    <t>״נְבוֹ״ — שֶׁשָּׁם מֵתוּ שְׁלֹשָׁה נְבִיאִים: מֹשֶׁה וְאַהֲרֹן וּמִרְיָם.</t>
  </si>
  <si>
    <t>“Nebo [ Nevo ],” for three prophets [ nevi’im ] died there: Moses, and Aaron, and Miriam.</t>
  </si>
  <si>
    <t>"Nevo" - where three prophets died: Moses, Aaron, and Miriam.</t>
  </si>
  <si>
    <t>“Nevo” — for there three prophets died: Moshe and Aharon and Miryam.</t>
  </si>
  <si>
    <t xml:space="preserve">This is a correct translation but phrases are in different orders, etc. </t>
  </si>
  <si>
    <t>אָמַר רַבִּי זְרִיקָא אָמַר רַבִּי אֶלְעָזָר: כׇּל הַמְּזַלְזֵל בִּנְטִילַת יָדַיִם נֶעֱקָר מִן הָעוֹלָם. אָמַר רַב חִיָּיא בַּר אָשֵׁי אָמַר רַב: מַיִם רִאשׁוֹנִים — צָרִיךְ שֶׁיַּגְבִּיהַּ יָדָיו לְמַעְלָה, מַיִם אַחֲרוֹנִים — צָרִיךְ שֶׁיַּשְׁפִּיל יָדָיו לְמַטָּה. תַּנְיָא נָמֵי הָכִי: הַנּוֹטֵל יָדָיו — צָרִיךְ שֶׁיַּגְבִּיהַּ יָדָיו לְמַעְלָה, שֶׁמָּא יֵצְאוּ הַמַּיִם חוּץ לַפֶּרֶק, וְיַחְזְרוּ וִיטַמְּאוּ אֶת הַיָּדַיִם.</t>
  </si>
  <si>
    <t>Rabbi Zerika says Rabbi Elazar says: Anyone who treats washing hands with contempt is uprooted from the world. Rav Ḥiyya bar Ashi says Rav says: first water, must raise his hands upward last water, must lower his hands downward. This is also taught One who washes his hands must raise his hands upward lest the water advance past the joint and return rendering hands ritually impure.</t>
  </si>
  <si>
    <t>Rabbi Zerika said in the name of Rabbi Elazar: Anyone who treats the washing of hands lightly is uprooted from the world. Rav Chiya bar Ashe said in the name of Rav: With the first water, one must raise his hands upwards, with the latter water, one must lower his hands downwards. It was also taught similarly: One who lifts his hands must raise them upwards, lest the water flow outside the vessel, return, and render the hands impure.</t>
  </si>
  <si>
    <t>Amar Rabbi Zerika amar Rabbi Elazar: Anyone who treats lightly netilat yadayim is uprooted from the world. Amar Rav Ḥiyya bar Ashi amar Rav: Mayim rishonim—he needs that he raise his hands upward; mayim aḥaronim—he needs that he lower his hands downward. Tanya namei hakhi: One who washes his hands—he needs that he raise his hands upward, lest the water go out beyond the joint, and return and render the hands impure.</t>
  </si>
  <si>
    <t>רַבִּי יְהוֹשֻׁעַ אוֹמֵר: רוֹצָה אִשָּׁה בְּקַב וְתִפְלוּת, מִתִּשְׁעָה קַבִּין וּפְרִישׁוּת. הוּא הָיָה אוֹמֵר: חָסִיד שׁוֹטֶה, וְרָשָׁע עָרוּם, וְאִשָּׁה פְּרוּשָׁה, וּמַכּוֹת פְּרוּשִׁין — הֲרֵי אֵלּוּ מְבַלֵּי עוֹלָם.</t>
  </si>
  <si>
    <t>Rabbi Yehoshua says: A woman desires to a kav and a sexual relationship [ tiflut ] than nine kav and abstinence. He would say: A foolish man of piety, and a conniving wicked person, and an abstinent woman [ perusha ], and those who injure abstinence; these are who erode the world.</t>
  </si>
  <si>
    <t>Rabbi Yehoshua says: A woman desires a kab and prayer, from nine kavim and separation. He used to say: A pious fool, and a cunning wicked person, and a separated woman, and the blows of the separated—these are those who waste the world.</t>
  </si>
  <si>
    <t>Rabbi Yehoshu’a says: A woman wants a kav and tiflut, more than nine kavvin and perishut. He would say: a ḥasid shoteh, and a rasha arum, and an ishah perushah, and makkot perushin — behold these are mevallei olam.</t>
  </si>
  <si>
    <t>וְאָמַר רַבִּי אִילְעָא בַּר יְבֶרֶכְיָה: שְׁנֵי תַּלְמִידֵי חֲכָמִים הַמְהַלְּכִין בַּדֶּרֶךְ וְאֵין בֵּינֵיהֶן דִּבְרֵי תוֹרָה — רְאוּיִן לִישָּׂרֵף בָּאֵשׁ, שֶׁנֶּאֱמַר: ״וַיְהִי הֵמָּה הֹלְכִים הָלוֹךְ וְדַבֵּר וְהִנֵּה רֶכֶב אֵשׁ וְגוֹ׳״, טַעְמָא דְּאִיכָּא דִּיבּוּר, הָא לֵיכָּא דִּיבּוּר — רְאוּיִן לִישָּׂרֵף.</t>
  </si>
  <si>
    <t>And Rabbi Ile’a bar Yeverekhya says: two Torah scholars who are walking along the way and there are no words of Torah between them, they are deserving of being burned in fire. As it is stated “And it was as they walked along, talking, that behold, there appeared a chariot of fire The reason that there was speech but if there had been no speech, they deserving of being burned</t>
  </si>
  <si>
    <t>And Rabbi Ilai the son of Yeverechia said: Two Torah scholars walking on the road, and there are no words of Torah between them - they are fit to be burned with fire, as it is said: "And it came to pass, as they still went on, and talked, that, behold, there appeared a chariot of fire," the reason being that where there is speech, there is no speech - they are fit to be burned.</t>
  </si>
  <si>
    <t>And Rabbi Il’a bar Yeverekhya said: Two talmidei ḥakhamim who are walking on the road and there are not between them words of Torah — they are fit to be burned in fire, as it is said: “And it came to pass, they were going, going and speaking, and behold a chariot of fire, etc.” The reason is that there is speaking; but if there is not speaking — they are fit to be burned.</t>
  </si>
  <si>
    <t>מַתְנִי׳ הָיוּ מַעֲלִין אוֹתָהּ לְבֵית דִּין הַגָּדוֹל שֶׁבִּירוּשָׁלַיִם, וּמְאַיְּימִין עָלֶיהָ כְּדֶרֶךְ שֶׁמְּאַיְּימִין עַל עֵדֵי נְפָשׁוֹת.</t>
  </si>
  <si>
    <t>They would bring her up to the Sanhedrin that was in Jerusalem, and threaten her And in the manner that they threaten witnesses in capital</t>
  </si>
  <si>
    <t>The Mishnah teaches: They would bring her to the Great Court in Jerusalem, and they would intimidate her as they intimidate witnesses in capital cases.</t>
  </si>
  <si>
    <t>**Matni׳:** They would bring her up to the Great Beit Din that is in Yerushalayim, and they would threaten her in the manner that they threaten witnesses of capital cases.</t>
  </si>
  <si>
    <t>זְכוּת דְּמִצְוָה מִי מַגְּנָא כּוּלֵּי הַאי? וְהָתַנְיָא: אֶת זוֹ דָּרַשׁ רַבִּי מְנַחֵם בַּר יוֹסֵי: ״כִּי נֵר מִצְוָה וְתוֹרָה אוֹר״, תָּלָה הַכָּתוּב אֶת הַמִּצְוָה בְּנֵר, וְאֶת הַתּוֹרָה בְּאוֹר. אֶת הַמִּצְוָה בְּנֵר, לוֹמַר לָךְ: מָה נֵר אֵינָהּ מְגִינָּה אֶלָּא לְפִי שָׁעָה — אַף מִצְוָה אֵינָהּ מְגִינָּה אֶלָּא לְפִי שָׁעָה.</t>
  </si>
  <si>
    <t>Does merit of a mitzva protect so much But isn’t it taught Rabbi Menaḥem bar Yosei interpreted this homiletically: “For the mitzva is a lamp and the Torah is light” The verse associates the mitzva with a lamp and the Torah with light The mitzva with a lamp to say to you: Just as a lamp does not protect only temporarily, so too, a mitzva protects only temporarily,</t>
  </si>
  <si>
    <t>Merit of a commandment, who shields all of this? And it was taught: Rabbi Menachem bar Yosei expounded this verse: "For a commandment is a lamp, and the Torah is light." The Scripture connected the commandment with a lamp, and the Torah with light. The commandment with a lamp, to tell you: Just as a lamp only protects temporarily — so too, a commandment only protects temporarily.</t>
  </si>
  <si>
    <t>Merit of a mitzvah—does it protect all this? But is it not taught: This did Rabbi Menaḥem bar Yosei expound: “For a mitzvah is a lamp and Torah is light”; the verse linked the mitzvah to a lamp, and the Torah to light. The mitzvah to a lamp, to say to you: just as a lamp does not protect except for the time being—so too a mitzvah does not protect except for the time being.</t>
  </si>
  <si>
    <t>וְאֶלָּא, עָלְמָא אַמַּאי קָא מִקַּיַּים? אַקְּדוּשָּׁה דְסִידְרָא, וְאַ״יְּהֵא שְׁמֵיהּ רַבָּא״ דְּאַגַּדְתָּא, שֶׁנֶּאֱמַר: ״אֶרֶץ עֵיפָתָה כְּמוֹ אֹפֶל צַלְמָוֶת וְלֹא סְדָרִים״, הָא יֵשׁ סְדָרִים — תּוֹפִיעַ מֵאוֹפֶל.</t>
  </si>
  <si>
    <t>But why does the world exist? By the sanctification that order and Let His great name of aggada . As it is stated: “A land of thick darkness, as darkness itself; a land of the shadow of death, without any order” Therefore, there are orders shall appear from the darkness.</t>
  </si>
  <si>
    <t>Talmudic text: And rather, why is the world established? The holiness of order, and "And His name shall be called Rava" of Aggadta, as it is stated: "A land of darkness, as darkness itself, and of the shadow of death, without any order," but there is order — it emerges from darkness.</t>
  </si>
  <si>
    <t>But rather, the world—on what does it stand? On *Qedushah deSidra*, and on “Yehei Shemei Rabbah” of *Aggadata*, as it is said: “A land of gloom like thick darkness, shadow of death, and no orders”; behold, there are orders—He will shine forth from gloom.</t>
  </si>
  <si>
    <t>בְּעָא מִינֵּיהּ רַבִּי יִרְמְיָה מֵרַבִּי זֵירָא: גְּדוֹלָה וּמַדְחֵת אֶת הַמַּיִם, קְטַנָּה וְנִדְחֵית מִפְּנֵי הַמַּיִם, מַהוּ?</t>
  </si>
  <si>
    <t>Rabbi Yirmeya raised a dilemma before Rabbi Zeira: big and effaces the water, small and is effaced due to the water what is</t>
  </si>
  <si>
    <t>Requested from him Rabbi Yirmeya from Rabbi Zeira: "Great and pushes away the water, small and is pushed away by the water, what is the ruling?"</t>
  </si>
  <si>
    <t>He asked from him, Rabbi Yirmeya from Rabbi Zeira: A large one and it pushes aside the water; a small one and it is pushed aside because of the water—what is it?</t>
  </si>
  <si>
    <t>וְאֵימָא הָכִי נָמֵי? אָמַר קְרָא: ״וְהִקְרִיבָהּ אֶל הַכֹּהֵן וְגוֹ׳ וְהִגִּישָׁהּ אֶל הַמִּזְבֵּחַ״ — מָה הַקְרָבָה אֵצֶל כֹּהֵן בִּכְלִי, אַף הַגָּשָׁה אֵצֶל מִזְבֵּחַ בִּכְלִי.</t>
  </si>
  <si>
    <t>And say indeed The verse states: and it shall be presented unto the priest, and he shall bring it unto the altar” just as presentation to the priest is in a vessel, so too bringing to the altar in a vessel.</t>
  </si>
  <si>
    <t>And why not say it like this? The verse says: "And he shall bring it to the kohen, etc., and he shall bring it near to the altar" - just as bringing near to the kohen is with a vessel, so too bringing near to the altar is with a vessel.</t>
  </si>
  <si>
    <t>And say: so also thus? Said the verse: “And he shall bring it near to the Kohen, etc., and he shall bring it near to the Mizbe’aḥ” — just as the bringing-near is beside a Kohen with a vessel, so too the bringing-near beside the Mizbe’aḥ is with a vessel.</t>
  </si>
  <si>
    <t>וְאִם אִיתָא — לִיחְשׁוֹב נָמֵי הַאי!</t>
  </si>
  <si>
    <t>And if it is so consider this as well</t>
  </si>
  <si>
    <t>And if it is brought up - let them consider this matter!</t>
  </si>
  <si>
    <t>And if it is so — let him count also this!</t>
  </si>
  <si>
    <t>רַבִּי יְהוּדָה אוֹמֵר: אִם הָיָה לִבָּהּ וְכוּ׳. לְמֵימְרָא דְּרַבִּי יְהוּדָה חָיֵישׁ לְהִרְהוּרָא, וְרַבָּנַן לָא חָיְישִׁי?</t>
  </si>
  <si>
    <t>Rabbi Yehuda says: If her heart was Is this to say that Rabbi Yehuda, is concerned about thoughts, and the Rabbis, are not concerned</t>
  </si>
  <si>
    <t>Rabbi Yehuda says: "If her heart was intent and so forth." This is to say according to the opinion of Rabbi Yehuda who is concerned for her intention, and the Rabbis are not concerned?</t>
  </si>
  <si>
    <t>Rabbi Yehudah says: If her heart was, etc. To say that Rabbi Yehudah is concerned for a thought, and the Rabbanan are not concerned?</t>
  </si>
  <si>
    <t>רַבִּי אֶלְעָזָר בֶּן יִרְמְיָה אוֹמֵר: כְּדֵי שֶׁיִּקְשׁוֹר גַּרְדִּי נִימָא. בָּעֵי רַב אָשֵׁי: דִּמְרַחַק, אוֹ דִּמְקָרַב? תֵּיקוּ.</t>
  </si>
  <si>
    <t>Rabbi Elazar ben Yirmeya says: equivalent a weaver to tie a string. Rav Ashi asks: where are far or where are near shall stand</t>
  </si>
  <si>
    <t>Rabbi Elazar ben Yirmeya says: In order to tie a weasel's tail. Rav Ashi inquired: From a distance, or from close by? The matter remains unresolved.</t>
  </si>
  <si>
    <t>Rabbi Elʿazar ben Yirmeya says: enough time that a gardi will tie a thread. Baʿei Rav Ashi: that he distances, or that he brings near? Teiku.</t>
  </si>
  <si>
    <t>״וַתֹּאמֶר לָהּ בַּת פַּרְעֹה הֵילִיכִי אֶת הַיֶּלֶד הַזֶּה״. אָמַר רַבִּי חָמָא בְּרַבִּי חֲנִינָא: מִתְנַבְּאָה וְאֵינָהּ יוֹדַעַת מָה מִתְנַבְּאָה, ״הֵילִיכִי״ — הָא שֶׁלִּיכִי. ״וַאֲנִי אֶתֵּן אֶת שְׂכָרֵךְ״. אָמַר רַבִּי חָמָא בְּרַבִּי חֲנִינָא: לֹא דַּיָּין לַצַּדִּיקִים שֶׁמַּחְזִירִין לָהֶן אֲבֵידָתָן, אֶלָּא שֶׁנּוֹתְנִין לָהֶן שְׂכָרָן.</t>
  </si>
  <si>
    <t>“And Pharaoh’s daughter said to her: Take this [ heilikhi ] child away, Rabbi Ḥama, son of Rabbi Ḥanina, says: is prophesying and she does not know what she is prophesying, heilikhi This is yours [ ha shellikhi ], “And I will give you your wages.” Rabbi Ḥama, son of Rabbi Ḥanina, says: with regard to righteous people, not only that that their lost items are returned to them, but also that they get their wages,</t>
  </si>
  <si>
    <t>"And she said to her, 'Take this child.' Rabbi Ḥama son of Rabbi Ḥanina said: She prophesied and did not know what she prophesied. 'Heilichi' - meaning 'take him.' 'And I will give you your wages.' Rabbi Ḥama son of Rabbi Ḥanina said: It is not enough for the righteous that their lost property is returned to them, but they are also given their wages."</t>
  </si>
  <si>
    <t>“‘And the daughter of Par‘oh said to her: Take this child and nurse him for me’” (Exodus 2:9). Amar Rabbi Ḥama be-Rabbi Ḥanina: She is prophesying and she does not know what she is prophesying: “‘Take’ — this one of yours; take.” “‘And I will give your wages’” (Exodus 2:9). Amar Rabbi Ḥama be-Rabbi Ḥanina: It is not enough for the righteous that they return to them their lost item, but rather that they give to them their wages.</t>
  </si>
  <si>
    <t>שֶׁשָּׁם מַשְׁקִין אֶת הַסּוֹטוֹת וְכוּ׳. בִּשְׁלָמָא סוֹטוֹת, דִּכְתִיב: ״וְהֶעֱמִיד הַכֹּהֵן אֶת הָאִשָּׁה לִפְנֵי ה׳״, מְצוֹרָעִין נָמֵי, דִּכְתִיב: ״וְהֶעֱמִיד הַכֹּהֵן הַמְטַהֵר וְגוֹ׳״, אֶלָּא יוֹלֶדֶת מַאי טַעְמָא?</t>
  </si>
  <si>
    <t>Because there, they give the sota women to drink, Granted, the sota women as it is written: “And the priest shall stand the woman before the Lord” lepers as well, as it is written: “And the priest that cleans But what is the reason that who has given birth</t>
  </si>
  <si>
    <t>Talmudic text: There they give drink to the sotot, etc. Granted for sotot, as it is written: "And the priest shall set the woman before the Lord," for metzora'im, as it is written: "And the priest shall set the cleansed one, etc." But for a woman in childbirth, what is the reason?</t>
  </si>
  <si>
    <t>that there they give to drink the Sotot, etc. Granted, Sotot, as it is written: “and the Kohen shall stand the woman before HaShem”; Metzora‘in also, as it is written: “and the Kohen who purifies shall stand, etc.”; but a Yoledet, what is the reason?</t>
  </si>
  <si>
    <t>רַבִּי יְהוּדָה אוֹמֵר: כׇּל עַצְמוֹ אֵינוֹ כּוֹתֵב אֶלָּא ״יִתֵּן ה׳ אוֹתָךְ לְאָלָה וְלִשְׁבֻעָה וְגוֹ׳ וּבָאוּ הַמַּיִם הַמְאָרְרִים הָאֵלֶּה בְּמֵעַיִךְ וְגוֹ׳״. וְאֵינוֹ כּוֹתֵב ״וְאָמְרָה הָאִשָּׁה אָמֵן אָמֵן״.</t>
  </si>
  <si>
    <t>Rabbi Yehuda says: He writes nothing other “The Lord shall make you a curse and an oath And this water that causes the curse shall go into your bowels, And he does not write “And the woman shall say: Amen, amen.”</t>
  </si>
  <si>
    <t>Rabbi Yehuda says: One does not write only "May the Lord make you a curse and an oath, etc." and "These cursed waters shall enter your body, etc." And one does not write "And the woman shall say, 'Amen, Amen.'"</t>
  </si>
  <si>
    <t>Rabbi Yehudah says: All of it he does not write, but only: “May Hashem make you for an imprecation and for an oath, etc.; and these cursing waters shall come into your innards, etc.” And he does not write: “And the woman shall say: Amen, amen.”</t>
  </si>
  <si>
    <t>אָמַר רַבִּי אִילְעָא בַּר יְבֶרֶכְיָה: אִלְמָלֵא תְּפִלָּתוֹ שֶׁל דָּוִד, הָיוּ כׇּל יִשְׂרָאֵל מוֹכְרֵי רְבָב, שֶׁנֶּאֱמַר: ״שִׁיתָה ה׳ מוֹרָה לָהֶם״. וְאָמַר רַבִּי אִילְעָא בַּר יְבֶרֶכְיָה: אִלְמָלֵא תְּפִלָּתוֹ שֶׁל חֲבַקּוּק, הָיוּ שְׁנֵי תַּלְמִידֵי חֲכָמִים מִתְכַּסִּים בְּטַלִּית אַחַת וְעוֹסְקִין בַּתּוֹרָה, שֶׁנֶּאֱמַר: ״ה׳ שָׁמַעְתִּי שִׁמְעֲךָ יָרֵאתִי ה׳ פׇּעׇלְךָ בְּקֶרֶב שָׁנִים חַיֵּיהוּ״. אַל תִּקְרָא ״בְּקֶרֶב שָׁנִים״, אֶלָּא ״בְּקֵרוּב שְׁנַיִם״.</t>
  </si>
  <si>
    <t>Rabbi Ile’a bar Yeverekhya says: If it were not for the prayer of David all Israel would be sellers of fat [ revav ], as it is stated: “Place for them mastery, O Lord” And Rabbi Ile’a bar Yeverekhya says: If it were not for the prayer of Habakkuk, two Torah scholars would have to cover themselves with a single cloak and engage in Torah study as it is stated: “Lord, I heard Your report and was afraid; O Lord, revive Your work in the midst of the years” Do not read: “In the midst [ bekerev ] of the years [ shanim ],” but in the closeness [ bikrov ] of two [ shenayim ].</t>
  </si>
  <si>
    <t>Said Rabbi Ilai son of Yivraḥya: Were it not for the prayer of David, all of Israel would have been sold for a quarter of a coin, as it is stated: "Set God as a teacher for them." And Rabbi Ilai son of Yivraḥya said: Were it not for the prayer of Ḥavakuk, two Torah scholars would cover themselves with one cloak and engage in Torah study, as it is stated: "O Lord, I have heard the report of You, I am awed, O Lord, by Your deed; renew it in these years, make it known; in these years make it known." Do not read it as "in these years," but rather as "in the closeness of two."</t>
  </si>
  <si>
    <t>Amar Rabbi Il’a bar Yeverekhyah: If not for the prayer of David, all Yisrael would have been sellers of revav, as it is said: “Set, Hashem, a morah for them.” And Amar Rabbi Il’a bar Yeverekhyah: If not for the prayer of Ḥavakkuk, two talmidei ḥakhamim would have been covering themselves with one tallit and engaging in Torah, as it is said: “Hashem, I have heard Your report; I feared; Hashem, Your deed, in the midst of years revive it.” Do not read “in the midst of years,” but rather “in the closeness of two.”</t>
  </si>
  <si>
    <t>מַאי פָּרָשַׁת דְּרָכִים? אָמַר רַב חִסְדָּא: זֶה תַּלְמִיד חָכָם וְיוֹם מִיתָה. רַב נַחְמָן בַּר יִצְחָק אָמַר: זֶה תַּלְמִיד חָכָם וְיִרְאַת חֵטְא. מָר זוּטְרָא אָמַר: זֶה תַּלְמִיד חָכָם דְּסָלְקָא לֵיהּ שְׁמַעְתָּתָא אַלִּיבָּא דְהִלְכְתָא.</t>
  </si>
  <si>
    <t>What crossroads, Rav Ḥisda says: This a Torah scholar and day of death. Rav Naḥman bar Yitzḥak says: This is a Torah scholar fear of sin, Mar Zutra says: This is a Torah scholar who reaches his discussion in accordance with the halakha ,</t>
  </si>
  <si>
    <t>What is the explanation of the verse "ways"? Rav Ḥisda said: This refers to a Torah scholar and the day of death. Rav Naḥman bar Yitzḥak said: This refers to a Torah scholar and fear of sin. Mar Zutra said: This refers to a Torah scholar who has heard a matter of halakha in the name of the one who said it.</t>
  </si>
  <si>
    <t>What is *parashat derakhim*? Rav Ḥisda said: This is a *talmid ḥakham* and the day of death. Rav Naḥman bar Yitzḥak said: This is a *talmid ḥakham* and fear of sin. Mar Zutra said: This is a *talmid ḥakham* for whom the *shema‘ta* ascends for him according to the heart of the halakha.</t>
  </si>
  <si>
    <t>פָּנֶיהָ מוֹרִיקוֹת. הִיא כָּחֲלָה לוֹ עֵינֶיהָ — לְפִיכָךְ עֵינֶיהָ בּוֹלְטוֹת. הִיא קָלְעָה לוֹ אֶת שְׂעָרָהּ — לְפִיכָךְ כֹּהֵן סוֹתֵר אֶת שְׂעָרָהּ. הִיא הֶרְאֲתָה לוֹ בְּאֶצְבַּע — לְפִיכָךְ צִיפּוֹרְנֶיהָ נוֹשְׁרוֹת. הִיא חָגְרָה לוֹ בְּצִילְצוֹל — לְפִיכָךְ כֹּהֵן מֵבִיא חֶבֶל הַמִּצְרִי וְקוֹשֵׁר לָהּ לְמַעְלָה מִדַּדֶּיהָ. הִיא פָּשְׁטָה לוֹ אֶת יְרֵיכָהּ — לְפִיכָךְ יְרֵיכָהּ נוֹפֶלֶת.</t>
  </si>
  <si>
    <t>her face becomes sallow she painted her eyes for therefore her eyes bulge she braided her hair for therefore a priest unbraids her hair she indicated to with a finger therefore her fingernails fall off; she girded herself for with a ribbon therefore a priest brings an Egyptian rope and ties for her above her breasts; she extended her thigh for therefore her thigh falls away</t>
  </si>
  <si>
    <t>Her face is pale. She weakened his eyes - therefore her eyes protrude. She loosened her hair for him - therefore a priest shaves her hair. She pointed with her finger to him - therefore her nails grow long. She girded him with a belt - therefore a priest brings an Egyptian rope and ties it above her breasts. She spread out her thigh for him - therefore her thigh falls.</t>
  </si>
  <si>
    <t>not quite right</t>
  </si>
  <si>
    <t>Her face becomes greenish. She painted for him her eyes — therefore her eyes protrude. She braided for him her hair — therefore the Kohen undoes her hair. She pointed for him with a finger — therefore her fingernails fall off. She girded for him with a belt — therefore the Kohen brings a rope of the Egyptian and ties for her above her breasts. She spread for him her thigh — therefore her thigh falls.</t>
  </si>
  <si>
    <t>מִי לָנוּ גָּדוֹל מִיּוֹסֵף כּוּ׳. תָּנוּ רַבָּנַן: בֹּא וּרְאֵה כַּמָּה חֲבִיבוֹת מִצְוֹת עַל מֹשֶׁה רַבֵּינוּ, שֶׁכׇּל יִשְׂרָאֵל כּוּלָּן נִתְעַסְּקוּ בַּבִּיזָּה, וְהוּא נִתְעַסֵּק בְּמִצְוֹת, שֶׁנֶּאֱמַר: ״חֲכַם לֵב יִקַּח מִצְוֹת וְגוֹ׳״.</t>
  </si>
  <si>
    <t>Who, to us, a greater than Joseph, The Sages taught Come and see how beloved mitzvot are to Moses our teacher. As, all the Jewish people were involved in the plunder and he was involved in mitzvot, as it is stated: “The wise in heart will take mitzvot”</t>
  </si>
  <si>
    <t>Talmudic text: Who is greater than our master Joseph? The Rabbis taught: Come and see how beloved are the commandments to Moses our teacher, for all of Israel were engaged in shearing the paschal lamb and he was engaged in commandments, as it is stated: "A wise heart will take commandments..."</t>
  </si>
  <si>
    <t>Who have we that is greater than Yosef וכו׳. The Rabbis taught: Come and see how beloved are mitzvot upon Moshe Rabbenu, for all Yisrael, all of them, occupied themselves with the spoil, and he occupied himself with mitzvot, as it is said: “A wise of heart will take mitzvot, and etc.”</t>
  </si>
  <si>
    <t>״וַתֵּרֶא דְּלִילָה כִּי הִגִּיד לָהּ אֶת כׇּל לִבּוֹ״. מְנָא יָדְעָה? אָמַר רַבִּי חָנִין אָמַר רַב: נִיכָּרִין דִּבְרֵי אֱמֶת. אַבָּיֵי אָמַר: יָדְעָה בּוֹ בְּאוֹתוֹ צַדִּיק דְּלָא מַפֵּיק שֵׁם שָׁמַיִם לְבַטָּלָה. כֵּיוָן דַּאֲמַר ״נְזִיר אֱלֹהִים אֲנִי״, אֲמַרָה: הַשְׁתָּא וַדַּאי קוּשְׁטָא קָאָמַר.</t>
  </si>
  <si>
    <t>“And when Delilah saw that he had told her all his heart” From where did she know Rabbi Ḥanin says Rav says: Words of truth are recognizable, Abaye says She knew about a righteous individual, that he would not express the name of Heaven in vain. Once he said: I have been a nazirite unto God she said: Now he is certainly saying the truth.</t>
  </si>
  <si>
    <t>"And she saw that he had told her all his heart." How did she know? Rabbi Hanin said in the name of Rav: True words are recognizable. Abaye said: She knew it from that righteous man who does not use the name of Heaven in vain. Since he said, "I am a Nazir of God," she said, "Now for sure he is speaking the truth."</t>
  </si>
  <si>
    <t>“‘And Delilah saw that he had told her all his heart.’ From where did she know? Rabbi Ḥanin said, Rav said: words of truth are recognizable. Abaye said: she knew of him, of that righteous one, that he does not utter the Name of Heaven in vain. Since he said: ‘a Nazirite of God am I,’ she said: now, certainly, he is saying truth.”</t>
  </si>
  <si>
    <t>וַחֲכָמִים אוֹסְרִין.</t>
  </si>
  <si>
    <t>And the Rabbis prohibit</t>
  </si>
  <si>
    <t>And the sages prohibit.</t>
  </si>
  <si>
    <t>But the Ḥakhamim prohibit.</t>
  </si>
  <si>
    <t>דָּבָר אַחֵר: עֲבֵירָה מְכַבָּה מִצְוָה, וְאֵין עֲבֵירָה מְכַבָּה תּוֹרָה, שֶׁנֶּאֱמַר: ״מַיִם רַבִּים לֹא יוּכְלוּ לְכַבּוֹת אֶת הָאַהֲבָה״.</t>
  </si>
  <si>
    <t>Alternatively, a transgression extinguishes a mitzva but a transgression does not extinguish Torah as it is stated: “Many waters cannot extinguish the love,</t>
  </si>
  <si>
    <t>Another matter: sin extinguishes a commandment, and sin does not extinguish the Torah, as it is stated: "Many waters cannot extinguish love."</t>
  </si>
  <si>
    <t>Another matter: a transgression extinguishes a mitzvah, but a transgression does not extinguish Torah, as it is said: “Many waters cannot extinguish the love.”</t>
  </si>
  <si>
    <t>״וַיָּקׇם מֶלֶךְ חָדָשׁ וְגוֹ׳״. רַב וּשְׁמוּאֵל, חַד אָמַר: חָדָשׁ מַמָּשׁ, וְחַד אָמַר: שֶׁנִּתְחַדְּשׁוּ גְּזֵירוֹתָיו. מַאן דְּאָמַר חָדָשׁ מַמָּשׁ — דִּכְתִיב ״חָדָשׁ״, וּמַאן דְּאָמַר שֶׁנִּתְחַדְּשׁוּ גְּזֵירוֹתָיו, דְּלָא כְּתִיב ״וַיָּמׇת וַיִּמְלוֹךְ״. ״אֲשֶׁר לֹא יָדַע אֶת יוֹסֵף״, דַּהֲוָה דָּמֵי כְּמַאן דְּלָא יָדַע לֵיהּ כְּלָל.</t>
  </si>
  <si>
    <t>“And there arose a new king Rav and Shmuel One says actually a new and one says that his decrees were transformed The one who says actually a new because it is written “new.” And the one who says that his decrees were transformed because it is not written: “And died and reigned.” “Who knew not Joseph” that he was like someone who did not know him at all.</t>
  </si>
  <si>
    <t>Talmudic text: "And there arose a new king, etc." Rav and Shmuel, one said: literally new, and one said: that his decrees were renewed. The one who said literally new - as it is written "new," and the one who said that his decrees were renewed, for it is not written "and he died and he reigned." "Who did not know Joseph," it is as if he did not know him at all.</t>
  </si>
  <si>
    <t>“‘And there arose a new king, etc.’” Rav and Shmuel: one said: new ממש, and one said: that his decrees were renewed. The one who said new ממש — as it is written “new”; and the one who said that his decrees were renewed, because it is not written “and he died and he reigned.” “‘Who did not know Yosef’” — for he was like one who did not know him at all.</t>
  </si>
  <si>
    <t>רַבִּי אַבָּא אָמַר: זֶה תַּלְמִיד שֶׁלֹּא הִגִּיעַ לְהוֹרָאָה וּמוֹרֶה. דְּאָמַר רַבִּי אֲבָהוּ אָמַר רַב הוּנָא אָמַר רַב: מַאי דִּכְתִיב ״כִּי רַבִּים חֲלָלִים הִפִּילָה וַעֲצוּמִים כׇּל הֲרוּגֶיהָ״. ״כִּי רַבִּים חֲלָלִים הִפִּילָה״ — זֶה תַּלְמִיד חָכָם שֶׁלֹּא הִגִּיעַ לְהוֹרָאָה וּמוֹרֶה. ״וַעֲצוּמִים כׇּל הֲרוּגֶיהָ״ — זֶה תַּלְמִיד חָכָם שֶׁהִגִּיעַ לְהוֹרָאָה וְאֵינוֹ מוֹרֶה.</t>
  </si>
  <si>
    <t>Rabbi Abba says: This is a student who has not attained to issue rulings, and he issues rulings as Rabbi Abbahu says Rav Huna says Rav says: What which is written: “For she has cast down many wounded; and a mighty host are all her slain” “For she has cast down [ hippila ] many wounded”; this a Torah scholar who has not attained to issue rulings, and he issues rulings. “And a mighty host [ ve’atzumim ] are all her slain”; this a Torah scholar who has attained to issue rulings, but does not issue rulings</t>
  </si>
  <si>
    <t>Rabbi Abba said: This is a student who has not reached the level of teaching and instructing. As Rabbi Abahu said in the name of Rav, "What is the meaning of the verse, 'For she has cast down many wounded, and all her slain are a mighty host' (Proverbs 7:26)?" "For she has cast down many wounded" - this refers to a Torah scholar who has not reached the level of teaching and instructing. "And all her slain are a mighty host" - this refers to a Torah scholar who has reached the level of teaching but does not instruct.</t>
  </si>
  <si>
    <t>Rabbi Abba said: This is a disciple who has not reached fitness for hora’ah and yet rules. For Rabbi Avahu said, Rav Huna said, Rav said: What is that which is written: “For many slain has she cast down, and mighty are all her killed” (Proverbs 7:26). “For many slain has she cast down” — this is a talmid ḥakham who has not reached fitness for hora’ah and yet rules. “And mighty are all her killed” — this is a talmid ḥakham who has reached fitness for hora’ah and does not rule.</t>
  </si>
  <si>
    <t>אוֹמֵר בֶּן עַזַּאי: חַיָּיב אָדָם לְלַמֵּד אֶת וְכוּ׳. רַבִּי אֱלִיעֶזֶר אוֹמֵר: כׇּל הַמְלַמֵּד אֶת בִּתּוֹ תּוֹרָה — מְלַמְּדָהּ תִּיפְלוּת. תִּיפְלוּת סָלְקָא דַּעְתָּךְ? אֶלָּא אֵימָא: כְּאִילּוּ לִמְּדָהּ תִּיפְלוּת.</t>
  </si>
  <si>
    <t>ben Azzai states: A person is obligated to teach Rabbi Eliezer says: Anyone who teaches his daughter Torah is teaching her promiscuity. enter your mind promiscuity? Rather, say: as if he taught her promiscuity.</t>
  </si>
  <si>
    <t>Ben Azzai says: "A person is obligated to teach etc." Rabbi Eliezer says: "Whoever teaches his daughter Torah - it is as if he teaches her frivolity." "Frivolity" - is it according to your opinion? Rather say: "As if he taught her frivolity."</t>
  </si>
  <si>
    <t>Ben Azzai says: A man is obligated to teach his daughter and so forth. Rabbi Eliezer says: Anyone who teaches his daughter Torah — teaches her tiflut. Tiflut עולה upon your mind? Rather say: as if he taught her tiflut.</t>
  </si>
  <si>
    <t>גְּמָ׳ אָמַר רָבָא: מְגִילַּת סוֹטָה שֶׁכְּתָבָהּ בַּלַּיְלָה — פְּסוּלָה. מַאי טַעְמָא — אָתְיָא ״תּוֹרָה״ ״תּוֹרָה״. כְּתִיב הָכָא: ״וְעָשָׂה לָהּ הַכֹּהֵן אֵת כׇּל הַתּוֹרָה הַזֹּאת״, וּכְתִיב הָתָם: ״עַל פִּי הַתּוֹרָה אֲשֶׁר יוֹרוּךָ וְעַל הַמִּשְׁפָּט״, מָה מִשְׁפָּט בַּיּוֹם — אַף מְגִילַּת סוֹטָה בַּיּוֹם.</t>
  </si>
  <si>
    <t>Rava says: A scroll of a sota that one wrote at night is unfit. What is the reason derived “law” “law.” It is written here, “And the priest shall execute upon her all this law” and it is written there, “According to the law, which they shall teach you, and according to the judgment, Just as judgment by day, so too the scroll of a sota by day.</t>
  </si>
  <si>
    <t>Gemara said: Megillat Sotah that was written at night - invalid. What is the reason? It is derived from the repetition of "Torah, Torah." It is written here: "And the kohen shall perform upon her all this Torah," and it is written there: "According to the Torah that they will teach you and according to the judgment." Just as judgment is during the day, so too Megillat Sotah is during the day.</t>
  </si>
  <si>
    <t>GEMARA: Rava said: A megillat sota that he wrote it at night — invalid. What is the reason — it comes from “torah” “torah”. It is written here: “and the kohen shall do to her all this torah”, and it is written there: “according to the torah that they shall instruct you and according to the judgment”; just as judgment is by day — so too the megillat sota is by day.</t>
  </si>
  <si>
    <t>קִינּוּי נָמֵי אִיתַּקַּשׁ לְטוּמְאָה, דִּכְתִיב: ״וְקִנֵּא אֶת אִשְׁתּוֹ וְהִיא נִטְמָאָה״! הָא מִיעֵט רַחֲמָנָא ״בָּהּ״.</t>
  </si>
  <si>
    <t>warning is also juxtaposed to defilement, as it is written: “And he warned his wife, and she had become defiled” The Merciful One excluded bah ,</t>
  </si>
  <si>
    <t>Dispute arises regarding impurity, as it is written: "And he is jealous of his wife, and she is defiled"! Here, the Merciful One limits the scope to "her."</t>
  </si>
  <si>
    <t>Qinnui also was juxtaposed to tum’ah, as it is written: “and he was jealous of his wife and she became defiled”! But the Merciful One limited: “bah.”</t>
  </si>
  <si>
    <t>לְכִדְרַב חִינָּנָא בַּר פָּפָּא. דְּאָמַר רַב חִינָּנָא בַּר פָּפָּא: אֵין הַקָּדוֹשׁ בָּרוּךְ הוּא נִפְרָע מִן הָאוּמָּה עַד שְׁעַת שִׁילּוּחָהּ, שֶׁנֶּאֱמַר: ״בְּסַאסְּאָה בְּשַׁלְּחָהּ וְגוֹ׳״.</t>
  </si>
  <si>
    <t>to as by Rav Ḥinnana bar Pappa, for Rav Ḥinnana bar Pappa says: The Holy One, Blessed be He, does not punish a nation until its time to be banished, as it is stated: “In full measure, when you send her away,</t>
  </si>
  <si>
    <t>Seize Rav Chinana bar Papa. For Rav Chinana bar Papa said: The Holy One, blessed be He, does not exact punishment from the world until the time of its dismissal, as it is stated: "In the measure of its sending forth, etc."</t>
  </si>
  <si>
    <t>In accordance with Rav Ḥinnana bar Pappa. For Rav Ḥinnana bar Pappa said: The Holy One, blessed be He, does not exact punishment from the nation until the time of its sending away, as it is stated: “With measure, when You send it away, etc.”</t>
  </si>
  <si>
    <t>מַאי טַעְמָא דְּרַבִּי יִשְׁמָעֵאל, דִּכְתִיב: ״וְטָבַל אוֹתָם בְּדַם הַצִּפֹּר וְגוֹ׳״, וְתַנְיָא: ״בְּדַם״, יָכוֹל בַּדָּם וְלֹא בַּמַּיִם — תַּלְמוּד לוֹמַר: ״בַּמַּיִם״. אִי מַיִם, יָכוֹל בַּמַּיִם וְלֹא בַּדָּם — תַּלְמוּד לוֹמַר: ״בַּדָּם״. הָא כֵּיצַד? מֵבִיא מַיִם שֶׁדַּם צִיפּוֹר נִיכָּר בָּהֶן, וְכַמָּה — רְבִיעִית.</t>
  </si>
  <si>
    <t>What is the reasoning of Rabbi Yishmael? As it is written and dip them in the blood of the slain bird, And it is taught “in the blood,” might in blood and not in water the verse states: “In the water.” If water,” might in water and not in blood the verse states: “In the blood.” How these bring water that the blood of the bird be recognizable within it. And how much a quarter-</t>
  </si>
  <si>
    <t>What is the reason for Rabbi Yishmael's opinion? As it is written: "And he shall dip them in the blood of the bird, etc." And it was taught: "In the blood," one might have thought it must be in blood and not in water - therefore the verse teaches: "In water." If it is water, one might have thought it must be in water and not in blood - therefore the verse teaches: "In blood." How so? One brings water in which the blood of the bird can be recognized, and how much water is required? A quarter-log.</t>
  </si>
  <si>
    <t>What is the reason of Rabbi Yishma’el? As it is written: “and he shall dip them in the blood of the bird, etc.”; and it is taught: “in the blood,” I might (say): in the blood and not in the water — the Talmud says: “in the water.” If (it is) water, I might (say): in the water and not in the blood — the Talmud says: “in the blood.” How (is it) thus? He brings water in which the blood of a bird is recognizable in them, and how much — a revi‘it.</t>
  </si>
  <si>
    <t>הָתָם קָיְימָא! דְּמַסְּקִינַן לַהּ וּמַחֲתִינַן לַהּ כְּדֵי לְיַיגְּעָהּ. דְּתַנְיָא רַבִּי שִׁמְעוֹן בֶּן אֶלְעָזָר אוֹמֵר: בֵּית דִּין מַסִּיעִין אֶת הָעֵדִים מִמָּקוֹם לְמָקוֹם, כְּדֵי שֶׁתִּטָּרֵף דַּעְתָּן עֲלֵיהֶן וְיַחְזְרוּ בָּהֶן.</t>
  </si>
  <si>
    <t>She is standing there that they bring her up and bring her down in order to fatigue her, as it is taught Rabbi Shimon ben Elazar says: court brings the witnesses from place to place in order to confuse them so that they will retract</t>
  </si>
  <si>
    <t>There, it stands! That we bring her in and take her out in order to weary her. As it was taught: Rabbi Shimon ben Elazar says: The court leads the witnesses from place to place, so that their minds will be confused about them and they will retract.</t>
  </si>
  <si>
    <t xml:space="preserve">maintains the female, translates well </t>
  </si>
  <si>
    <t>There it stands! For we raise it up and we lower it down in order to weary it. As it is taught: Rabbi Shim‘on ben El‘azar says: Beit Din move the witnesses from place to place, in order that their mind be confounded upon them and they will retract in them.</t>
  </si>
  <si>
    <t>בְּמַאי קָמִיפַּלְגִי — רַבִּי עֲקִיבָא סָבַר: ״לֵאמֹר״, אַמִּילְּתָא קַמַּיְיתָא.</t>
  </si>
  <si>
    <t>With regard to what do they disagree? Rabbi Akiva holds “saying,” to the first words</t>
  </si>
  <si>
    <t>In what do they disagree? — Rabbi Akiva holds: "to say," is the primary point.</t>
  </si>
  <si>
    <t>In what do they disagree? — Rabbi Akiva holds: “saying,” on the first matter.</t>
  </si>
  <si>
    <t>וְכֹהֵן מוֹלִיכָהּ אֵצֶל מִזְבֵּחַ, דִּכְתִיב: ״וְהִגִּישָׁהּ אֵצֶל הַמִּזְבֵּחַ״.</t>
  </si>
  <si>
    <t>And the priest carries it to the altar. As it is written: and he shall bring it unto the altar”</t>
  </si>
  <si>
    <t>The Kohen shall bring it near the altar, as it is written: "And he shall bring it near the altar."</t>
  </si>
  <si>
    <t>And a Kohen brings it near the Mizbe’aḥ, as it is written: “and he shall bring it near to the Mizbe’aḥ.”</t>
  </si>
  <si>
    <t>רֵישׁ לָקִישׁ אָמַר: אֵין אָדָם עוֹבֵר עֲבֵירָה אֶלָּא אִם כֵּן נִכְנַס בּוֹ רוּחַ שְׁטוּת, שֶׁנֶּאֱמַר: ״אִישׁ אִישׁ כִּי תִשְׂטֶה אִשְׁתּוֹ״, ״תִּשְׁטֶה״ כְּתִיב.</t>
  </si>
  <si>
    <t>Reish Lakish says: A man commits a transgression only if a spirit of folly [ shetut ] enters him, as it is stated: “If any man’s wife goes aside [ tisteh ]” written tishteh ,</t>
  </si>
  <si>
    <t>Reish Lakish said: A person does not commit a transgression unless a spirit of folly enters him, as it is stated: "If a man's wife goes astray" (Numbers 5:12), "goes astray" is written.</t>
  </si>
  <si>
    <t>Reish Lakish said: A person does not transgress a transgression unless a spirit of folly enters into him, as it is said: “Any man, any man, when his wife goes astray,” “goes astray” is written.</t>
  </si>
  <si>
    <t>וּלְמַאן דְּאָמַר יָדָהּ, לִיכְתּוֹב ״יָדָהּ״! הָא קָא מַשְׁמַע לַן דְּאִישְׁתַּרְבַּב אִישְׁתַּרְבּוֹבֵי. דְּאָמַר מָר: וְכֵן אַתָּה מוֹצֵא בְּאַמָּתָהּ שֶׁל בַּת פַּרְעֹה, וְכֵן אַתָּה מוֹצֵא בְּשִׁינֵּי רְשָׁעִים, דִּכְתִיב: ״שִׁנֵּי רְשָׁעִים שִׁבַּרְתָּ״, וְאָמַר רֵישׁ לָקִישׁ: אַל תִּיקְרֵי ״שִׁבַּרְתָּ״, אֶלָּא ״שֶׁרִיבַּבְתָּה״.</t>
  </si>
  <si>
    <t>And according to the one who says her hand, let write Her hand [ yadah ]. This teaches us that her arm extended [ ishtarbav ] As the Master said And similarly you find with regard to the hand of Pharaoh’s daughter and similarly you find with regard to the teeth of evildoers, as it is written: “You have broken [ shibbarta ] the teeth of the wicked” and Reish Lakish said: Do not read shibbarta , rather sheribbavta ,</t>
  </si>
  <si>
    <t>Talmudic text: And according to the one who said "her hand," why write "her hand"! This teaches us that it is multiplied, it is multiplied. As the Master said: "And so you find in the cubit of the daughter of Pharaoh, and so you find in the teeth of the wicked," as it is written: "You shattered the teeth of the wicked." And Reish Lakish said: Do not read "You shattered," but rather "You shattered and scattered."</t>
  </si>
  <si>
    <t>But according to the one who says: her hand, let him write “her hand”! Rather, it comes to teach us that it was extended—extended. As the Master said: and so you find with the cubit of the daughter of Par‘oh, and so you find with the teeth of the wicked, as it is written: “The teeth of the wicked You have broken,” and Reish Lakish said: do not read “You have broken,” but rather “You have extended.”</t>
  </si>
  <si>
    <t>דְּתַנְיָא: מִנַּיִן לְאֶחָד מִן הָאוּמּוֹת שֶׁבָּא עַל הַכְּנַעֲנִית וְהוֹלִיד מִמֶּנָּה בֵּן, שֶׁאַתָּה רַשַּׁאי לִקְנוֹתוֹ בְּעֶבֶד, תַּלְמוּד לוֹמַר: ״וְגַם מִבְּנֵי הַתּוֹשָׁבִים הַגָּרִים עִמָּכֶם מֵהֶם תִּקְנוּ״.</t>
  </si>
  <si>
    <t>as it is taught From where that one from the nations who engaged in sexual intercourse with a Canaanite woman, and she bore him a child, that you are permitted to purchase as a slave? The verse states: “Moreover, of the children of the strangers that do sojourn among you, of them may you buy”</t>
  </si>
  <si>
    <t>It was taught in a Baraita: From where do we derive that one of the nations that came upon the Canaanite and fathered a son from her, that you are permitted to acquire him as a slave? The verse teaches: "And also from the children of the residents who dwell among you, from them you may acquire."</t>
  </si>
  <si>
    <t xml:space="preserve">- understands "brayta" </t>
  </si>
  <si>
    <t>- does not say purchase or buy, says "acquire" a slave</t>
  </si>
  <si>
    <t>As it is taught: From where is it derived with regard to one of the ummot who came upon the Kena’anit and begot from her a son, that you are permitted to acquire him as an eved? The verse teaches to say: “And also from the children of the toshavim who sojourn with you, from them you shall acquire.”</t>
  </si>
  <si>
    <t>אִינִי? וְהָכְתִיב: ״וְאָבִיו וְאִמּוֹ לֹא יָדְעוּ כִּי מֵה׳ הִיא״. כִּי אֲזַל מִיהָא — בָּתַר יַשְׁרוּתֵיהּ אֲזַל.</t>
  </si>
  <si>
    <t>Is that so? But isn’t it written: “But his father and his mother knew not that it was from the Lord; in any event when he went, he followed his inclination</t>
  </si>
  <si>
    <t>I am not? But it is written: "And his father and his mother did not know that it was from the Lord." When she left him, her righteousness left with her.</t>
  </si>
  <si>
    <t>Is that so? But is it not written: “And his father and his mother did not know that it was from HaShem”? When he went, in any case—he went after his uprightness.</t>
  </si>
  <si>
    <t>תָּנָא דְּבֵי רַבִּי יִשְׁמָעֵאל: מִפְּנֵי מָה הֶאֱמִינָה תּוֹרָה עֵד אֶחָד בְּסוֹטָה — שֶׁרַגְלַיִם לַדָּבָר, שֶׁהֲרֵי קִינֵּא לָהּ, וְנִסְתְּרָה, וְעֵד אֶחָד מְעִידָהּ שֶׁהִיא טְמֵאָה.</t>
  </si>
  <si>
    <t>The school of Rabbi Yishmael taught For what did the Torah deem credible a single witness with regard to a sota ? because there is a basis for the matter, As he warned her and she secluded herself and one witness testifies that she is defiled,</t>
  </si>
  <si>
    <t>The Tanna of the school of Rabbi Yishmael taught: Why did the Torah believe in the testimony of one witness in the case of the Sotah? Because it is a matter of legs, for he was jealous of her, and she secluded herself, and one witness testifies that she is impure.</t>
  </si>
  <si>
    <t>Tanna d’vei Rabbi Yishma’el: For what reason did the Torah believe one witness regarding Sotah — for there are feet to the matter, for behold he warned her, and she secluded herself, and one witness testifies about her that she is impure.</t>
  </si>
  <si>
    <t>מַשְׁקָהּ, וְאַחַר כָּךְ מַקְרִיב אֶת מִנְחָתָהּ. דְּאִי מִשּׁוּם מְגִילָּה הָא אִימְּחִיקָא לַהּ.</t>
  </si>
  <si>
    <t>give to drink, and afterward sacrifice her meal-offering. if due to the scroll, it was erased</t>
  </si>
  <si>
    <t>Beverage, and afterwards brings her meal offering. For if due to the scroll, this is a contradiction to it.</t>
  </si>
  <si>
    <t>He gives her to drink, and afterward he brings near her Minḥah. For if because of the Megillah—behold, it has already been erased for her.</t>
  </si>
  <si>
    <t>תְּרֵי תַּנָּאֵי וְאַלִּיבָּא דְּרַבִּי עֲקִיבָא.</t>
  </si>
  <si>
    <t>two tanna’im , and with regard to of Rabbi Akiva.</t>
  </si>
  <si>
    <t>Two Tannaim and the following of Rabbi Akiva.</t>
  </si>
  <si>
    <t>Two tannaim, and according to the view of Rabbi Akiva.</t>
  </si>
  <si>
    <t>אַבָּיֵי אָמַר: זֶה הַמַּשִּׂיא עֵצָה לִמְכּוֹר בִּנְכָסִים כְּרַבָּן שִׁמְעוֹן בֶּן גַּמְלִיאֵל. דְּתַנְיָא: ״נְכָסַי לְךָ, וְאַחֲרֶיךָ לִפְלוֹנִי״, וְיָרַד הָרִאשׁוֹן וּמָכַר וְאָכַל — הַשֵּׁנִי מוֹצִיא מִיַּד הַלָּקוֹחוֹת, דִּבְרֵי רַבִּי. רַבָּן שִׁמְעוֹן בֶּן גַּמְלִיאֵל אוֹמֵר: אֵין לַשֵּׁנִי אֶלָּא מַה שֶּׁשִּׁיֵּיר רִאשׁוֹן.</t>
  </si>
  <si>
    <t>Abaye says: is one who provides advice to sell property in accordance with Rabban Shimon ben Gamliel, as it is taught My property to you, and after you to so-and-so, and the first entered and sold and consumed the second repossesses from the purchasers, this is the statement of Rabbi Rabban Shimon ben Gamliel says: The second only that which the first left,</t>
  </si>
  <si>
    <t>Abaye said: This is one who gives advice to sell properties like Rabban Shimon ben Gamliel. As it was taught: "My properties are for you, and after you for so-and-so," and the first one descended and sold and ate — the second one takes from the hands of the buyers, the words of Rabbi. Rabban Shimon ben Gamliel says: The second one only has what the first one left.</t>
  </si>
  <si>
    <t>Abaye said: This is the one who gives counsel to sell in properties, like Rabban Shim‘on ben Gamliel. As it is taught: “My properties are to you, and after you to so-and-so,” and the first went down and sold and ate— the second takes out from the hand of the purchasers, the words of Rabbi. Rabban Shim‘on ben Gamliel says: The second has nothing except what the first left over.</t>
  </si>
  <si>
    <t>אֲפִילּוּ הָכִי, סְתִירָה עֲדִיפָא, דְּאַתְחַלְתָּא דְטוּמְאָה הִיא.</t>
  </si>
  <si>
    <t>Even so, preferable seclusion as is the beginning of defilement.</t>
  </si>
  <si>
    <t>Even so, contradiction is preferable, for it is the beginning of impurity.</t>
  </si>
  <si>
    <t>Even so, *setira* is preferable, for it is the beginning of *tum’ah* that it is.</t>
  </si>
  <si>
    <t>אֶלָּא אִי אִיתְּמַר הָכִי אִיתְּמַר: אָמַר רַב חִינָּנָא בַּר פָּפָּא: אֵין הַקָּדוֹשׁ בָּרוּךְ הוּא נִפְרָע מִן הַמֶּלֶךְ עַד שְׁעַת שִׁילּוּחוֹ, שֶׁנֶּאֱמַר: ״בְּסַאסְּאָה בְּשַׁלְּחָהּ תְּרִיבֶנָּה וְגוֹ׳״.</t>
  </si>
  <si>
    <t>Rather, if was stated was stated like this: Rav Ḥinnana bar Pappa says: The Holy One, Blessed be He, does not punish king until his time to be banished, as it is stated: “In full measure, when you send her away, you contend with her”</t>
  </si>
  <si>
    <t>Rather, if it was stated thus, it was stated thus: Rav Chinana bar Papa said: The Holy One, blessed be He, does not exact punishment from the king until the time of his dismissal, as it is stated: "In the vessel of his sending forth, he will contend."</t>
  </si>
  <si>
    <t>Rather, if it was stated, thus it was stated: Rav Ḥinnana bar Pappa said: The Holy One, blessed be He, does not exact payment from the king until the hour of his sending away, as it is stated: “With measure, by her sending away, You contend with her, etc.”</t>
  </si>
  <si>
    <t>וְרַבִּי יִשְׁמָעֵאל, אַיְּידֵי דִּכְתַב ״לָהּ״, כְּתַב נָמֵי ״יִטַּמָּא״. לְכִדְתָנֵי דְּבֵי רַבִּי יִשְׁמָעֵאל. דְּתָנָא דְּבֵי רַבִּי יִשְׁמָעֵאל: כָּל פָּרָשָׁה שֶׁנֶּאֶמְרָה וְנִישְׁנֵית, לֹא נִישְׁנֵית אֶלָּא בִּשְׁבִיל דָּבָר שֶׁנִּתְחַדֵּשׁ בָּהּ.</t>
  </si>
  <si>
    <t>And Rabbi Yishmael Since wrote: “For her,” also wrote: “May he become impure,” for as was taught by the school of Rabbi Yishmael. As the school of Rabbi Yishmael taught: Every passage that was stated and repeated, was repeated only for the novel element introduced therein.</t>
  </si>
  <si>
    <t>Rabbi Yishmael, since it is written "lah," he wrote "yitama." According to the teachings of the school of Rabbi Yishmael. For it was taught in the school of Rabbi Yishmael: Any portion that was stated and repeated, it was repeated only because of a matter that was newly introduced in it.</t>
  </si>
  <si>
    <t>And Rabbi Yishmaʿel, since it is written “lah,” it wrote also “yitamma.” According to that which is taught in the house of Rabbi Yishmaʿel. For it was taught in the house of Rabbi Yishmaʿel: Any parashah that was said and was repeated, it was not repeated except for the sake of a matter that was renewed in it.</t>
  </si>
  <si>
    <t>same issue with שֶׁנִּתְחַדֵּשׁ -  "renewed in it" doesn't make any sense</t>
  </si>
  <si>
    <t>3.5 and 5 both leave words between quotes untranslated.</t>
  </si>
  <si>
    <t>מִדְּאוֹרָיְיתָא מְנָלַן דִּמְהֵימַן עֵד אֶחָד? דְּתָנוּ רַבָּנַן: ״וְעֵד אֵין בָּהּ״, בִּשְׁנַיִם הַכָּתוּב מְדַבֵּר.</t>
  </si>
  <si>
    <t>By Torah law, from where do we that one witness is deemed credible As the Sages taught and there is no witness [ ed ] against her” the verse is speaking of two</t>
  </si>
  <si>
    <t>From the Torah, from where do we derive that one witness is believed? For the Rabbis taught: "And there is no witness in it," the Scripture speaks of two.</t>
  </si>
  <si>
    <t>From the Torah, from where do we know that one witness is believed? As the Rabbis taught: “and a witness there is not in her” — with two the verse speaks.</t>
  </si>
  <si>
    <t>דְּתַנְיָא: אִם יֵשׁ לָהּ זְכוּת תּוֹלָה לָהּ שְׁלֹשָׁה חֳדָשִׁים, כְּדֵי הַכָּרַת הָעוּבָּר, דִּבְרֵי אַבָּא יוֹסֵי בֶּן חָנָן. רַבִּי אֶלְעָזָר בֶּן יִצְחָק אִישׁ כְּפַר דָּרוֹם אוֹמֵר: תִּשְׁעָה חֳדָשִׁים, שֶׁנֶּאֱמַר: ״וְנִקְּתָה וְנִזְרְעָה זָרַע״, וּלְהַלָּן הוּא אוֹמֵר: ״זֶרַע יַעַבְדֶנּוּ יְסֻפַּר״, זֶרַע הָרָאוּי לְסַפֵּר.</t>
  </si>
  <si>
    <t>as it is taught If she has merit, it delays for her three months, equivalent to recognize the fetus; the statement of Abba Yosei ben Ḥanan. Rabbi Elazar ben Yitzḥak of Kefar Darom says: nine months, as it is stated: “Then she shall be cleared, and shall conceive seed” and there, it says: “A seed shall serve him; it shall be told seed be fit to tell</t>
  </si>
  <si>
    <t>It was taught in a Baraita: If she has merit, the pregnancy lasts for three months, in order to recognize the fetus. These are the words of Abba Yosei ben Hanan. Rabbi Elazar ben Yitzhak, a man of Kefar Darom, says: Nine months, as it is stated: "And she shall be cleansed and shall bear a seed." And elsewhere it says: "A seed shall serve Him; it shall be accounted to the Lord." This refers to a seed fit to be counted.</t>
  </si>
  <si>
    <t>As it is taught: If she has merit, it suspends for her three months, in order for recognition of the fetus; the words of Abba Yosei ben Ḥanan. Rabbi Elazar ben Yitzḥak, man of Kefar Darom, says: Nine months, as it is stated: “And she shall be cleared and shall conceive seed,” and there, it says: “Seed shall serve Him; it shall be recounted,” seed that is fit to be recounted.</t>
  </si>
  <si>
    <t>אָמַר רַבִּי יְהוּדָה בְּרֵיהּ דְּרַבִּי חִיָּיא: כׇּל תַּלְמִיד חָכָם הָעוֹסֵק בַּתּוֹרָה מִתּוֹךְ הַדְּחָק — תְּפִלָּתוֹ נִשְׁמַעַת, שֶׁנֶּאֱמַר: ״כִּי עַם בְּצִיּוֹן יֵשֵׁב בִּירוּשָׁלִָם בָּכוֹ לֹא תִבְכֶּה חָנוֹן יׇחְנְךָ לְקוֹל זַעֲקֶךָ כְּשׇׁמְעָתוֹ עָנָךְ״, וּכְתִיב בָּתְרֵיהּ: ״וְנָתַן ה׳ לָכֶם לֶחֶם צָר וּמַיִם לָחַץ״.</t>
  </si>
  <si>
    <t>Rabbi Yehuda, son of Rabbi Ḥiyya, says: any Torah scholar who engages in Torah while experiencing the pressure his prayer is listened to, as it is stated: “For, O people that dwells in Zion at Jerusalem, you shall weep no more; He will surely be gracious to you at the voice of your cry. When He shall hear, He will answer you” and after it is written: “And the Lord shall give you sparse bread and scant water”</t>
  </si>
  <si>
    <t>Said Rabbi Yehudah, son of Rabbi Chiya: Every Torah scholar who studies Torah under pressure - his prayer is heard, as it is stated: "For a people shall dwell in Zion, in Jerusalem; you shall weep no more. He will be very gracious to you at the sound of your cry; when He hears it, He will answer you." And it is written further: "And the Lord will give you bread in adversity and water in oppression."</t>
  </si>
  <si>
    <t>אָמַר רַבִּי יְהוּדָה בְּרֵיהּ דְּרַבִּי חִיָּיא: Rabbi Yehuda, son of Rabbi Ḥiyya, said: כׇּל תַּלְמִיד חָכָם הָעוֹסֵק בַּתּוֹרָה מִתּוֹךְ הַדְּחָק — any talmid ḥakham who engages in the Torah out of pressure — תְּפִלָּתוֹ נִשְׁמַעַת, his prayer is heard, שֶׁנֶּאֱמַר: as it is said: ״כִּי עַם בְּצִיּוֹן יֵשֵׁב בִּירוּשָׁלִָם בָּכוֹ לֹא תִבְכֶּה חָנוֹן יׇחְנְךָ לְקוֹל זַעֲקֶךָ כְּשׇׁמְעָתוֹ עָנָךְ״, “For a people shall dwell in Tziyyon, in Yerushalayim; you shall weep no more; He will surely be gracious to you at the voice of your cry; when He hears it, He will answer you”; וּכְתִיב בָּתְרֵיהּ: and it is written after it: ״וְנָתַן ה׳ לָכֶם לֶחֶם צָר וּמַיִם לָחַץ״. “And the Lord will give you bread of distress and water of pressure.”</t>
  </si>
  <si>
    <t>וְרַבִּי יוֹחָנָן דִּידֵיהּ אָמַר: כְּאִילּוּ כָּפַר בָּעִיקָּר, שֶׁנֶּאֱמַר: ״וְרָם לְבָבֶךָ וְשָׁכַחְתָּ אֶת ה׳ אֱלֹהֶיךָ וְגוֹ׳״.</t>
  </si>
  <si>
    <t>And Rabbi Yoḥanan said his own as if he has denied the core as it is stated: “Then your heart be lifted up, and you forget the Lord your God”</t>
  </si>
  <si>
    <t>Rabbi Yochanan his opinion said: as if denied fundamentally, as it is said: "And your heart becomes haughty, and you forget the Lord your God, etc."</t>
  </si>
  <si>
    <t>And Rabbi Yoḥanan, his own, said: as if he denied the root-principle, as it is said: “And your heart will be lifted up, and you will forget the LORD your God, etc.”</t>
  </si>
  <si>
    <t>בִּשְׁלָמָא שִׁמּוּשׁ אַשִּׁמּוּשׁ לָא קַשְׁיָא: מֵעִיקָּרָא אֲתָא לְקַמֵּיהּ דְּרַבִּי עֲקִיבָא. כֵּיוָן דְּלָא מָצֵי (קָם) [לְמֵיקַם] אַלִּיבֵּיהּ, אֲתָא לְקַמֵּיהּ דְּרַבִּי יִשְׁמָעֵאל, וּגְמַר גְּמָרָא. הֲדַר אֲתָא לְקַמֵּיהּ דְּרַבִּי עֲקִיבָא סָבַר סְבָרָא.</t>
  </si>
  <si>
    <t>Granted, serving serving no difficulty. Initially, he came before Rabbi Akiva since he could not comprehend his method he came before Rabbi Yishmael and learned tradition he returned came before Rabbi Akiva studied reasoning</t>
  </si>
  <si>
    <t>In truth, the usage of "Ashmush" is not difficult. Initially, he came before Rabbi Akiva. Since he did not find a place for himself, he came before Rabbi Yishmael and concluded the matter. Afterwards, he came before Rabbi Akiva again, holding a certain opinion.</t>
  </si>
  <si>
    <t>Granted, *shimmush* after *shimmush* is not difficult: from the outset he came before Rabbi Akiva. Since he was not able (he arose) to arise according to his mind, he came before Rabbi Yishma’el, and learned *gemara*. He then returned and came before Rabbi Akiva; he reasoned a reasoning.</t>
  </si>
  <si>
    <t>אֶלָּא אָמְרִי דְּבֵי רַבִּי שֵׁילָא: אֲפִילּוּ קִיבֵּל תּוֹרָה כְּמֹשֶׁה רַבֵּינוּ, דִּכְתִיב בֵּיהּ ״מִימִינוֹ אֵשׁ דָּת לָמוֹ״ — לֹא יִנָּקֶה מִדִּינָהּ שֶׁל גֵּיהִנָּם.</t>
  </si>
  <si>
    <t>Rather, of the school of Rabbi Sheila say: even received the Torah like Moses our teacher that it is written with regard to him: “At His right hand was a fiery law unto them” will not be unpunished from the judgment of Gehenna.</t>
  </si>
  <si>
    <t>Rather, the house of Rabbi Sheila said: Even if one received the Torah like Moses our teacher, as it is written about him, "A fiery law from His right hand" (Deuteronomy 33:2) — he will not be exempt from the judgment of Gehinnom.</t>
  </si>
  <si>
    <t>Rather, they said of the house of Rabbi Sheila: Even if he received Torah like Moshe Rabbenu, as it is written about it, “From His right hand, a fiery law for them” — he will not be cleared from the judgment of Gehinnam.</t>
  </si>
  <si>
    <t>אֶלָּא אָמַר רָבָא: כׇּל הָרוֹצֶה לִרְאוֹת בָּהּ רוֹאֶה, לָא שְׁנָא גַּבְרֵי וְלָא שְׁנָא נְשֵׁי. וְנָשִׁים חַיָּיבוֹת לִרְאוֹתָהּ, שֶׁנֶּאֱמַר: ״וְנִוַּסְּרוּ כׇּל הַנָּשִׁים וְלֹא תַעֲשֶׂינָה כְּזִמַּתְכֶנָה״.</t>
  </si>
  <si>
    <t>Rather, Rava said: Anyone who desires to watch her may watch, is no difference men is no difference women. And women are obligated to watch her, as is stated: that all women may be chastened not to do after your lewdness”</t>
  </si>
  <si>
    <t>Rather, Rava said: Anyone who wishes to see it may see it, whether male or female. And women are obligated to see it, as it is stated: "And all the women will be humble and not act like their former selves."</t>
  </si>
  <si>
    <t xml:space="preserve">doesnt translate "her lewdness" correctly </t>
  </si>
  <si>
    <t>Rather, Rava said: Anyone who wants to see her, sees; it is no difference men and it is no difference women. And women are obligated to see her, as it is stated: “And all the women shall be chastened, and they shall not do according to your lewdness.”</t>
  </si>
  <si>
    <t>״וְקִנֵּא אֶת אִשְׁתּוֹ״ — רְשׁוּת, דִּבְרֵי רַבִּי יִשְׁמָעֵאל. רַבִּי עֲקִיבָא אוֹמֵר: חוֹבָה.</t>
  </si>
  <si>
    <t>“And he warned his wife,” optional; the statement of Rabbi Yishmael. Rabbi Akiva says: mandatory.</t>
  </si>
  <si>
    <t>"And he shall be jealous of his wife" - this is a permission, the words of Rabbi Yishmael. Rabbi Akiva says: it is an obligation.</t>
  </si>
  <si>
    <t>“‘And he warned his wife’ — optional, the words of Rabbi Yishmaʿel. Rabbi ʿAkiva says: obligation.”</t>
  </si>
  <si>
    <t>מִי שֶׁקִּינֵּא לְאִשְׁתּוֹ וְנִסְתְּרָה, אֲפִילּוּ שָׁמַע מֵעוֹף הַפּוֹרֵחַ — יוֹצִיא וְיִתֵּן כְּתוּבָּה, דִּבְרֵי רַבִּי אֱלִיעֶזֶר.</t>
  </si>
  <si>
    <t>one who warned his wife and she secluded herself even if he heard from a flying bird, he must divorce grant her marriage contract the statement of Rabbi Eliezer,</t>
  </si>
  <si>
    <t>One who is jealous of his wife and she concealed herself, even if he heard from a bird in flight - he must divorce her and give her a written document, the words of Rabbi Eliezer.</t>
  </si>
  <si>
    <t>One who warned his wife and she secluded herself, even if he heard from a flying bird — he shall divorce and give a ketubba, the words of Rabbi Eliezer.</t>
  </si>
  <si>
    <t>אֲמַרוּ לֵיהּ: זַבֵּינְתֵּהּ. אֲמַר לְהוּ: נְהִי דְּזַבֵּינִי בְּכֵירוּתָא, פְּשִׁיטוּתָא מִי זַבֵּינִי? אֲמַרוּ לֵיהּ: אִין, דִּכְתִיב: ״בְּקִבְרִי אֲשֶׁר כָּרִיתִי לִי״, וְאָמַר רַבִּי יוֹחָנָן מִשּׁוּם רַבִּי שִׁמְעוֹן בֶּן יְהוֹצָדָק: אֵין ״כִּירָה״ אֶלָּא לְשׁוֹן מְכִירָה, שֶׁכֵּן בִּכְרַכֵּי הַיָּם קוֹרִין לִמְכִירָה ״כִּירָה״.</t>
  </si>
  <si>
    <t>said to You sold to said to them: Though I sold the birthright, did I sell an ordinary said to him: Yes, as it is written in my grave that I have dug [ kariti ] for me And Rabbi Yoḥanan says in the name of Rabbi Shimon ben Yehotzadak: kira is nothing other a term of a sale [ mekhira ] because in the cities overseas they call a sale kira .</t>
  </si>
  <si>
    <t>They said to him: "Your wife has menstruated." He said to them: "If she has menstruated in her regular cycle, who has caused her to menstruate?" They said to him: "No, as it is written: 'In my grave that I have dug for myself.' And Rabbi Yochanan said in the name of Rabbi Shimon ben Yehotzadak: 'Kira' is only a term of recognition, as in the coral reefs of the sea they call recognition 'kira'."</t>
  </si>
  <si>
    <t>Translates "Zav" - here as menstruation - in conflict with other places where it translates it as women - and here it is with a Bet and is a diffeent word meaning to sell - it does seemt o do something with sounds</t>
  </si>
  <si>
    <t>They said to him: You sold it. He said to them: Granted that I sold in *kheirutā*, did I sell *peshitutā*? They said to him: Yes, as it is written: “in my grave that I have *kariti* for myself”, and Rabbi Yoḥanan said in the name of Rabbi Shim‘on ben Yehoẓadak: “*kirah*” is nothing other than a term of sale, for thus in the coastal towns they call a sale “*kirah*”.</t>
  </si>
  <si>
    <t>״וַתִּירֶאןָ הַמְיַלְּדוֹת אֶת הָאֱלֹהִים וְלֹא עָשׂוּ כַּאֲשֶׁר דִּבֶּר אֲלֵיהֶן וְגוֹ׳״. ״לָהֶן״ מִיבְּעֵי לֵיהּ! אָמַר רַבִּי יוֹסֵי בְּרַבִּי חֲנִינָא: מְלַמֵּד שֶׁתְּבָעָן לִדְבַר עֲבֵירָה וְלֹא נִתְבְּעוּ.</t>
  </si>
  <si>
    <t>“But the midwives feared God, and did not as the king of Egypt spoke about them [ aleihen ], It should have to them [ lahen ].” Rabbi Yosei, son of Rabbi Ḥanina, says: teaches that proposed to them to a sinful act, but they did not accept</t>
  </si>
  <si>
    <t>"And the midwives feared God and did not do as the king of Egypt spoke to them, etc." "To them" - it should have said "to her"! Rabbi Yosei, son of Rabbi Chanina said: This teaches that they demanded to speak of a transgression, but they were not heeded.</t>
  </si>
  <si>
    <t>“‘And the midwives feared God, and did not do as he spoke to them, and etc.’” “To them” it should have said! אמר Rabbi Yosei beRabbi Ḥanina: It teaches that he demanded them for a matter of transgression, and they were not demanded.</t>
  </si>
  <si>
    <t>וְרַבִּי יְהוּדָה מִקַּל וָחוֹמֶר מַיְיתֵי לַהּ? וְהָא רַבִּי יְהוּדָה מִקְּרָאֵי מַיְיתֵי לַהּ! דְּתַנְיָא: ״וְהֵבִיא הָאִישׁ אֶת אִשְׁתּוֹ אֶל הַכֹּהֵן״. מִן הַתּוֹרָה הָאִישׁ מֵבִיא אֶת אִשְׁתּוֹ, אֲבָל אָמְרוּ חֲכָמִים: מוֹסְרִין לוֹ שְׁנֵי תַּלְמִידֵי חֲכָמִים, שֶׁמָּא יָבֹא עָלֶיהָ בַּדֶּרֶךְ.</t>
  </si>
  <si>
    <t>And Rabbi Yehuda derive this from an a fortiori But Rabbi Yehuda derives it from a verse, as it is taught “Then shall the man bring his wife to the priest” by Torah the man brings his wife but the Sages said: provides him two Torah scholars lest he engage in sexual intercourse with her on the way</t>
  </si>
  <si>
    <t>Rabbi Yehuda from a fortiori argument brings it to her? But Rabbi Yehuda brings it from scriptural verses! As it was taught: "And the man shall bring his wife to the kohen." From the Torah, the man brings his wife, but the Sages said: They provide him with two Torah scholars, lest he come upon her on the way.</t>
  </si>
  <si>
    <t>And Rabbi Yehudah—from a *kal va-chomer* does he bring it? But behold, Rabbi Yehudah—from verses does he bring it! As it is taught: “And the man shall bring his wife to the Kohen” (Numbers 5:15). From the Torah, the man brings his wife; but the Sages said: they hand over to him two *talmidei chachamim*, lest he come upon her on the way.</t>
  </si>
  <si>
    <t>הִיא עָשְׂתָה בַּסֵּתֶר — ״יוֹשֵׁב בְּסֵתֶר עֶלְיוֹן״ שָׂם בָּהּ פָּנִים, שֶׁנֶּאֱמַר: ״וְעֵין נֹאֵף שָׁמְרָה נֶשֶׁף לֵאמֹר לֹא תְשׁוּרֵנִי עָיִן וְגוֹ׳״.</t>
  </si>
  <si>
    <t>She acted in secret; “Who dwell in secret, with the Most High” turns face to her, as it is stated: “The eye of the adulterer waits for the twilight, saying: No eye shall see me;</t>
  </si>
  <si>
    <t>She did in secret - "He who dwells in the secret place of the Most High" placed in it a face, as it is said: "And the eye of the adulterer waits for the twilight, saying, 'No eye will see me,' etc."</t>
  </si>
  <si>
    <t>She did it in secret — “He who sits in the secret of the Most High” set His face against her, as it is said: “And the eye of an adulterer watches for twilight, saying: No eye shall see me, etc.”.</t>
  </si>
  <si>
    <t>כָּתַב אוֹת אַחַת וּמָחַק אוֹת אַחַת, וְכָתַב אוֹת אַחַת וּמָחַק אוֹת אַחַת — פְּסוּלָה, דִּכְתִיב: ״וְעָשָׂה לָהּ הַכֹּהֵן אֵת כׇּל הַתּוֹרָה הַזֹּאת״.</t>
  </si>
  <si>
    <t>If one wrote one letter and erased one letter and wrote one letter and erased one letter, it is unfit, as it is written: “And the priest shall execute upon her all this law”</t>
  </si>
  <si>
    <t>He wrote one and erased one, and he wrote one and erased one - it is invalid, as it is written: "And the priest shall make for her all of this law."</t>
  </si>
  <si>
    <t>He wrote one letter and erased one letter, and he wrote one letter and erased one letter — it is invalid, as it is written: “And the Kohen shall do to her all this Torah.”</t>
  </si>
  <si>
    <t>רַבִּי אֲבָהוּ אוֹמֵר: מַשְׁבִּיעִין אוֹתוֹ מִזִּיו שְׁכִינָה, שֶׁנֶּאֱמַר: ״וְהָיוּ עֵינֶיךָ רֹאוֹת אֶת מוֹרֶיךָ״. רַבִּי אַחָא בַּר חֲנִינָא אָמַר: אַף אֵין הַפַּרְגּוֹד נִנְעָל בְּפָנָיו, שֶׁנֶּאֱמַר: ״וְלֹא יִכָּנֵף עוֹד מוֹרֶיךָ״.</t>
  </si>
  <si>
    <t>Rabbi Abbahu says: is satiated with the glory of the Divine Presence, as it is stated “And your eyes shall behold your Teacher.” Rabbi Aḥa, son of Ḥanina, said: Even the partition pargod is not locked before him, as it is stated: “And your Teacher shall not hide Himself anymore”</t>
  </si>
  <si>
    <t>Rabbi Abbahu says: We swear him by the honor of the Divine Presence, as it is said: "And your eyes shall see your teachers." Rabbi Acha bar Chanina says: Even the Paragogic Mem is not locked in his presence, as it is said: "And your teachers shall not be hidden anymore."</t>
  </si>
  <si>
    <t>Rabbi Avahu says: They administer an oath to him from the radiance of the Shekhinah, as it is stated: “And your eyes shall see your Teacher.” Rabbi Aḥa bar Ḥanina said: Even the pargod is not locked before him, as it is stated: “And your Teacher shall no more be hidden.”</t>
  </si>
  <si>
    <t>וּמוֹלִיכוֹת אֵצֶל בַּעְלֵיהֶן לַשָּׂדֶה, וּמַרְחִיצוֹת אוֹתָן, וְסָכוֹת אוֹתָן, וּמַאֲכִילוֹת אוֹתָן, וּמַשְׁקוֹת אוֹתָן, וְנִזְקָקוֹת לָהֶן בֵּין שְׁפַתַּיִם, שֶׁנֶּאֱמַר: ״אִם תִּשְׁכְּבוּן בֵּין שְׁפַתָּיִם וְגוֹ׳״, בִּשְׂכַר ״תִּשְׁכְּבוּן בֵּין שְׁפַתָּיִם״ זָכוּ יִשְׂרָאֵל לְבִיזַּת מִצְרַיִם, שֶׁנֶּאֱמַר: ״כַּנְפֵי יוֹנָה נֶחְפָּה בַכֶּסֶף וְאֶבְרוֹתֶיהָ בִּירַקְרַק חָרוּץ״.</t>
  </si>
  <si>
    <t>And they would take to their husbands, to the field, and would bathe and anoint them and feed them and give them to drink and bond with them between the sheepfolds, as it is stated: “When you lie among the sheepfolds, as a reward lie among the sheepfolds,” the Jewish people merited to the plunder of Egypt, as it is stated “The wings of the dove are covered with silver, and her pinions with the shimmer of gold”</t>
  </si>
  <si>
    <t>And they lead him to their husbands to the field, and they wash them, and they anoint them, and they feed them, and they give them drink, and they adorn themselves for them between the lips, as it is said: "If you lie between the lips, etc." In reward for "you lie between the lips," the Israelites merited the spoils of Egypt, as it is said: "The wings of a dove are covered with silver, and her pinions with yellow gold."</t>
  </si>
  <si>
    <t>and they lead them אצל their husbands to the field, and they wash them, and they anoint them, and they feed them, and they give them drink, and they attend to them between the lips, as it is said: “If you lie between the lips, etc.”; in the reward of “you lie between the lips” Israel merited to the spoil of Egypt, as it is said: “The wings of a dove are covered with silver, and her pinions with the greenish-yellow of fine gold.”</t>
  </si>
  <si>
    <t>וְהָתַנְיָא: טְמֵא מֵת מוּתָּר לִיכָּנֵס לְמַחֲנֵה לְוִיָּה. וְלֹא טְמֵא מֵת בִּלְבַד אָמְרוּ, אֶלָּא אֲפִילּוּ מֵת עַצְמוֹ, שֶׁנֶּאֱמַר: ״וַיִּקַּח מֹשֶׁה אֶת עַצְמוֹת יוֹסֵף עִמּוֹ״, עִמּוֹ בִּמְחִיצָתוֹ!</t>
  </si>
  <si>
    <t>But isn’t it taught One who is ritually impure a corpse is permitted to enter the Levite camp. And said not only one who is ritually impure a corpse; rather, even a corpse itself as it is stated: “And Moses took the bones of Joseph with him” With him, in his vicinity,</t>
  </si>
  <si>
    <t>Talmudic text: And it was taught: One who is impure due to contact with a corpse is permitted to enter the camp of the Levites. And they did not say only one impure due to contact with a corpse, but even if he himself is dead, as it is stated: "And Moses took the bones of Joseph with him," with him in his partition!</t>
  </si>
  <si>
    <t>And was it not taught: A *tamei met* is permitted to enter the *Machaneh Leviyah*. And they said not a *tamei met* alone, but even the dead himself, as it is stated: “And Moshe took the bones of Yosef with him,” with him—in his partition!</t>
  </si>
  <si>
    <t>גְּמָ׳ תַּנְיָא, אַבָּא חָנִין אוֹמֵר מִשּׁוּם רַבִּי אֱלִיעֶזֶר: [וְכׇל כָּךְ לָמָּה —] כְּדֵי לְיַגְּעָהּ, כְּדֵי שֶׁתַּחֲזוֹר בָּהּ. אִם כָּכָה חָסָה תּוֹרָה עַל עוֹבְרֵי רְצוֹנוֹ, קַל וָחוֹמֶר עַל עוֹשֵׂי רְצוֹנוֹ.</t>
  </si>
  <si>
    <t>It is taught Abba Ḥanin says in the name of Rabbi Eliezer: And why so much in order to fatigue her, so that she will retract if the Torah is so protective of those who transgress His will, a fortiori of those who do His will.</t>
  </si>
  <si>
    <t>Talmudic text: "Gemara, tanya, Abba Hanin says in the name of Rabbi Eliezer: And why all this? In order to toil in it, in order that it may be retained. If so, the Torah has shown mercy to those who transgress His will, all the more so to those who fulfill His will."</t>
  </si>
  <si>
    <t>GEMARA: It is taught, Abba Ḥanin says in the name of Rabbi Eliezer: And all this why— in order to weary her, in order that she return in her. If thus the Torah had pity upon transgressors of His will, kal va-ḥomer upon doers of His will.</t>
  </si>
  <si>
    <t>מִי שֶׁנִּתְחַיֵּיב סְקִילָה — אוֹ נוֹפֵל מִן הַגָּג, אוֹ חַיָּה דּוֹרַסְתּוֹ. מִי שֶׁנִּתְחַיֵּיב שְׂרֵיפָה — אוֹ נוֹפֵל בִּדְלֵיקָה, אוֹ נָחָשׁ מַכִּישׁוֹ. מִי שֶׁנִּתְחַיֵּיב הֲרִיגָה — אוֹ נִמְסָר לַמַּלְכוּת, אוֹ לִיסְטִין בָּאִין עָלָיו. מִי שֶׁנִּתְחַיֵּיב חֲנִיקָה — אוֹ טוֹבֵעַ בַּנָּהָר, אוֹ מֵת בִּסְרוֹנְכֵי.</t>
  </si>
  <si>
    <t>One who is liable stoning either falls from a roof or an animal mauls him One who is liable burning either falls into a fire or a snake bites him, One who is liable to slaying either is turned over to the authorities or robbers come upon him One who is liable strangling either drowns in a river or dies of diphtheria [ seronekhi ],</t>
  </si>
  <si>
    <t>One who is liable for stoning — or falls from the roof, or a wild animal tramples him. One who is liable for burning — or falls into a fire, or a snake bites him. One who is liable for execution — or is handed over to the authorities, or bandits come upon him. One who is liable for strangulation — or drowns in the river, or dies by hanging.</t>
  </si>
  <si>
    <t>tranlsates effectively</t>
  </si>
  <si>
    <t>doesnt quite understand the logic</t>
  </si>
  <si>
    <t>One who has become liable to **seqilah** — either he falls from the roof, or a wild animal tramples him. One who has become liable to **sereifah** — either he falls into a fire, or a snake bites him. One who has become liable to **harigah** — either he is handed over to the **malkhut**, or **listin** come upon him. One who has become liable to **ḥanikah** — either he drowns in the river, or he dies of **seronkhi**.</t>
  </si>
  <si>
    <t>אֲמַר לְהוּ קַל וָחוֹמֶר בְּרֵישָׁא וּפַרְכוּהּ, וַהֲדַר אָמַר לְהוּ קְרָא.</t>
  </si>
  <si>
    <t>first said to them a fortiori and they refuted it and then said to them verse.</t>
  </si>
  <si>
    <t>He said to them a fortiori at the beginning and refute it, and then he said to them a verse.</t>
  </si>
  <si>
    <t>He said to them: A *kal va-ḥomer* at the outset, and they refuted it; and then he said to them: a verse.</t>
  </si>
  <si>
    <t>וְכֵן לְעִנְיַן הַטּוֹבָה: מִרְיָם הִמְתִּינָה לְמֹשֶׁה שָׁעָה אַחַת, שֶׁנֶּאֱמַר: ״וַתֵּתַצַּב אֲחוֹתוֹ מֵרָחוֹק״ — לְפִיכָךְ נִתְעַכְּבוּ לָהּ יִשְׂרָאֵל שִׁבְעָה יָמִים בַּמִּדְבָּר, שֶׁנֶּאֱמַר: ״וְהָעָם לֹא נָסַע עַד הֵאָסֵף מִרְיָם״.</t>
  </si>
  <si>
    <t>And the same with regard to the good Miriam waited for Moses one hour as it is stated: “And his sister stood afar off, Therefore the Jewish people delayed seven days for her as it is stated: and the people journeyed not until Miriam was brought in again”</t>
  </si>
  <si>
    <t>And so for the matter of the good: Miriam waited for Moses one hour, as it is stated: "And his sister stood at a distance" — therefore, the Israelites delayed for her seven days in the wilderness, as it is stated: "And the people did not journey until Miriam was gathered."</t>
  </si>
  <si>
    <t>AND so too with regard to the good: Miryam waited for Moshe one hour, as it is stated: “And his sister stood from afar” — therefore Yisrael were delayed for her seven days in the wilderness, as it is stated: “And the people did not journey until Miryam was gathered in.”</t>
  </si>
  <si>
    <t>רַבִּי שְׁמוּאֵל בַּר נַחְמָנִי אָמַר: אַף קוֹבֵר אִשְׁתּוֹ וּבָנָיו, דִּכְתִיב: ״וַתָּמׇת בַּת שׁוּעַ אֵשֶׁת יְהוּדָה וְגוֹ׳״, וּכְתִיב: ״וַיָּמׇת עֵר וְאוֹנָן״.</t>
  </si>
  <si>
    <t>Rabbi Shmuel bar Naḥmani says: also bury his wife and children as it is written: “And Shua’s daughter, the wife of Judah, died” and it is written but Er and Onan died</t>
  </si>
  <si>
    <t>Rabbi Shmuel bar Nachmani said: Even one who buries his wife and children, as it is written: "And the daughter of Shua, Judah's wife, died," and it is written: "And Er and Onan died."</t>
  </si>
  <si>
    <t>Rabbi Shemu’el bar Naḥmani said: even one who buries his wife and his sons, as it is written: “And Bat Shua, the wife of Yehuda, died, etc.”, and it is written: “And Er and Onan died.”</t>
  </si>
  <si>
    <t>[ גְּמָ׳ ] תָּנוּ רַבָּנַן: רַבִּי פִּנְחָס בֶּן יָאִיר אוֹמֵר: מִשֶּׁחָרַב בֵּית הַמִּקְדָּשׁ בּוֹשׁוּ חֲבֵרִים וּבְנֵי חוֹרִין, וְחָפוּ רֹאשָׁם, וְנִדַּלְדְּלוּ אַנְשֵׁי מַעֲשֶׂה, וְגָבְרוּ בַּעֲלֵי זְרוֹעַ וּבַעֲלֵי לָשׁוֹן, וְאֵין דּוֹרֵשׁ וְאֵין מְבַקֵּשׁ וְאֵין שׁוֹאֵל,</t>
  </si>
  <si>
    <t>The Sages taught: Rabbi Pineḥas ben Ya’ir says: From when the Temple was destroyed, the ḥaverim and free men were ashamed, and their heads were covered and men of action dwindled, and violent and smooth-talking men gained the upper hand, and none seek, and none ask, and none inquire</t>
  </si>
  <si>
    <t>גְּמָ׳ The Sages taught: Rabbi Pinchas ben Yair says: When the Temple was destroyed, humility ceased among friends and free men, and their heads were covered, and the men of action were despised, and the strong-armed and the eloquent prevailed, and no one inquired, and no one sought, and no one asked.</t>
  </si>
  <si>
    <t>*Gemara* The Rabbis taught: Rabbi Pinḥas ben Ya’ir says: From when the Temple was destroyed, *ḥaverim* and free-men were put to shame, and they covered their head, and men of deed were diminished, and masters of arm and masters of tongue prevailed, and there is none who expounds and there is none who seeks and there is none who asks,</t>
  </si>
  <si>
    <t>וְכֵן מָצִינוּ בְּנָחָשׁ הַקַּדְמוֹנִי, שֶׁנָּתַן עֵינָיו בְּמַה שֶּׁאֵינוֹ רָאוּי לוֹ — מַה שֶּׁבִּיקֵּשׁ לֹא נָתְנוּ לוֹ, וּמַה שֶּׁבְּיָדוֹ נְטָלוּהוּ מִמֶּנּוּ. אָמַר הַקָּדוֹשׁ בָּרוּךְ הוּא: אֲנִי אָמַרְתִּי יְהֵא מֶלֶךְ עַל כׇּל בְּהֵמָה וְחַיָּה, וְעַכְשָׁיו ״אָרוּר הוּא מִכׇּל הַבְּהֵמָה וּמִכֹּל חַיַּת הַשָּׂדֶה״.</t>
  </si>
  <si>
    <t>And, so too, we found with regard to the primeval snake for he placed his eyes on that which was unfit for him, that which he desired was not given to him, and that which was in his possession was taken from him. The Holy One, Blessed be He, said: I said will be king over every domesticated animal and non-domesticated animal, but now he is cursed more than all the domesticated animals and all the non-domesticated animals of the field,</t>
  </si>
  <si>
    <t>And so we find with the ancient serpent, that he placed his eyes on something that was not fitting for him - what he desired, they did not give him, and what was in his hand, they took from him. The Holy One, blessed be He, said: I said, "Let there be a king over every beast and wild animal," and now, "Cursed is he from all the beasts and from all the wild animals of the field."</t>
  </si>
  <si>
    <t>And so we found with the Naḥash ha-Kadmoni, that he set his eyes on that which is not fit for him — what he sought they did not give him, and what was in his hand they took it from him. Said HaKadosh Barukh Hu: I said, let him be king over every behemah and ḥayyah, and now: “cursed is he more than every behemah and more than every ḥayyat ha-sadeh.”</t>
  </si>
  <si>
    <t>תָּנוּ רַבָּנַן, דָּרַשׁ רַבִּי יוֹסֵי הַגְּלִילִי: בְּשָׁעָה שֶׁעָלוּ יִשְׂרָאֵל מִן הַיָּם נָתְנוּ עֵינֵיהֶם לוֹמַר שִׁירָה. וְכֵיצַד אָמְרוּ שִׁירָה — עוֹלָל מוּטָּל עַל בִּרְכֵּי אִמּוֹ, וְתִינוֹק יוֹנֵק מִשְּׁדֵי אִמּוֹ. כֵּיוָן שֶׁרָאוּ אֶת הַשְּׁכִינָה, עוֹלָל הִגְבִּיהַּ צַוָּארוֹ, וְתִינוֹק שָׁמַט דַּד מִפִּיו, וְאָמְרוּ ״זֶה אֵלִי וְאַנְוֵהוּ״, שֶׁנֶּאֱמַר: ״מִפִּי עוֹלְלִים וְיֹנְקִים יִסַּדְתָּ עֹז״.</t>
  </si>
  <si>
    <t>The Sages taught Rabbi Yosei HaGelili taught: At the time that the Jewish people ascended from the sea they resolved to sing And how did they recite a baby lying on his mother’s lap or an infant nursing from his mother’s breasts, once they saw the Divine Presence, the baby straightened his neck and the infant dropped the breast from his mouth, and they recited: “This is my God and I will glorify Him” As it is stated: “Out of the mouths of babies and sucklings You have founded strength”</t>
  </si>
  <si>
    <t>The Rabbis taught: Rabbi Yosei the Galilean expounded: When the Israelites ascended from the sea, they directed their eyes to say a song. And how did they say the song? — An infant lying on his mother's knees, and a suckling child nursing from his mother's breasts. Once they saw the Divine Presence, the infant raised his neck, and the suckling child released the breast from his mouth, and they said, "This is my God, and I will glorify Him," as it is stated: "Out of the mouth of babes and sucklings You have established strength."</t>
  </si>
  <si>
    <t>It was taught: Rabbi Yosei ha-Gelili expounded: At the hour that Yisrael went up from the sea, they set their eyes to say song. And how did they say song?—a suckling lying upon the knees of its mother, and an infant nursing from the breasts of its mother. Once they saw the Shekhinah, the suckling lifted its neck, and the infant let go a breast from its mouth, and they said: “This is my God and I will glorify Him,” as it is said: “Out of the mouth of sucklings and nurslings You have founded strength.”</t>
  </si>
  <si>
    <t>וְרַבָּנַן: הַהוּא לְגוּפֵיהּ, דְּהָכִי קָאָמַר רַחֲמָנָא: אַטְבֵּיל בְּדָם וּבְמַיִם.</t>
  </si>
  <si>
    <t>And the Rabbis, That for its own as this is what the Merciful One is saying: Dip in blood and in water</t>
  </si>
  <si>
    <t>The Sages: That one for himself, for thus the Merciful One said: "Dip in blood and in water."</t>
  </si>
  <si>
    <t>And the Rabbanan: that one is for its own body, for thus the Merciful One said: dip in blood and in water.</t>
  </si>
  <si>
    <t>וְהַיְינוּ דְּאָמַר רַבִּי חָמָא בְּרַבִּי חֲנִינָא: מַאי דִּכְתִיב ״הֵמָּה מֵי מְרִיבָה אֲשֶׁר רָבוּ״ — הֵמָּה שֶׁרָאוּ אִיצְטַגְנִינֵי פַּרְעֹה וְטָעוּ. וְהַיְינוּ דְּקָאָמַר מֹשֶׁה: ״שֵׁשׁ מֵאוֹת אֶלֶף רַגְלִי וְגוֹ׳״, אָמַר לָהֶן מֹשֶׁה לְיִשְׂרָאֵל: בִּשְׁבִילִי נִצַּלְתֶּם כּוּלְּכֶם.</t>
  </si>
  <si>
    <t>And this is what Rabbi Ḥama, son of Rabbi Ḥanina, says: What is which is written: “These [ hemma ] are the waters of Meribah, where strove these are that the astrologers of Pharaoh saw and erred. And this is what Moses said: are six hundred thousand men on foot [ ragli ]; Moses said to the Jewish people: On account of me, all of you were saved,</t>
  </si>
  <si>
    <t>Talmudic text: And this is what Rabbi Ḥama son of Rabbi Ḥanina said: What is the meaning of what is written, "They are the waters of Meribah, where the children of Israel strove" (Numbers 20:13) — they are those who saw the punishments of Pharaoh and erred. And this is what Moses was saying: "Six hundred thousand footmen, etc." (Exodus 12:37), Moses said to the children of Israel: For my sake, you were all saved.</t>
  </si>
  <si>
    <t>And this is that which Rabbi Ḥama son of Rabbi Ḥanina said: What is that which is written, “These are the waters of Meriva, where they strove” — these are that the astrologers of Par‘oh saw and erred. And this is that which Moshe was saying: “Six hundred thousand footmen, etc.” Moshe said to them, to Yisrael: For my sake you all were saved.</t>
  </si>
  <si>
    <t>וְכׇל הָרוֹצֶה לִרְאוֹת בָּא לִרְאוֹת, חוּץ מֵעֲבָדֶיהָ וְשִׁפְחוֹתֶיהָ, מִפְּנֵי שֶׁלִּבָּהּ גַּס בָּהֶן. וְכׇל הַנָּשִׁים מוּתָּרוֹת לִרְאוֹתָהּ, שֶׁנֶּאֱמַר: ״וְנִוַּסְּרוּ כׇּל הַנָּשִׁים וְלֹא תַעֲשֶׂינָה כְּזִמַּתְכֶנָה״.</t>
  </si>
  <si>
    <t>And anyone who desires to watch her may come to watch, except for her slaves and maidservants, because her heart is emboldened by them, And all of the women are permitted to watch her, as it is stated: that all women may be taught not to do after your lewdness”</t>
  </si>
  <si>
    <t>And all who want to see, may come to see, except for her maidservants and her handmaidens, because her heart is proud of them. And all women are permitted to see her, as it is said: "And all the women will be modest and not act wantonly."</t>
  </si>
  <si>
    <t>And anyone who wants to see comes to see, except her ʿavadim and her shifḥot, because her heart is familiar with them. And all the women are permitted to see her, as it is stated: “And all the women shall be chastened, and they shall not do according to your lewdness.”</t>
  </si>
  <si>
    <t>״וַיֹּאמֶר בְּיַלֶּדְכֶן אֶת הָעִבְרִיּוֹת וְגוֹ׳״. מַאי ״אׇבְנָיִם״ — אָמַר רַבִּי חָנָן: סִימָן גָּדוֹל מָסַר לָהֶן. אָמַר לָהֶן: בְּשָׁעָה שֶׁכּוֹרַעַת לֵילֵד יַרְכוֹתֶיהָ מִצְטַנְּנוֹת כַּאֲבָנִים.</t>
  </si>
  <si>
    <t>“And he said: When you deliver the Hebrew women, What “stones”? Rabbi Ḥanan says: transmitted a great sign to them. He said to them: At the time crouches to give birth, her thighs become as cold as stones,</t>
  </si>
  <si>
    <t>"And he said, 'When you help the Hebrew women in childbirth, etc.'" What is "Avnayim"? - Rabbi Hanan said: He gave them a great sign. He said to them: At the moment when she crouches to give birth, her hips become chilled like stones.</t>
  </si>
  <si>
    <t>“‘And he said: when you deliver the Hebrew women, etc.’ What is ‘ovnayim’? — Rabbi Ḥanan said: a great sign he transmitted to them. He said to them: at the hour that she crouches to give birth, her thighs become cold like stones.”</t>
  </si>
  <si>
    <t>תָּנוּ רַבָּנַן: סוֹטָה נָתְנָה עֵינֶיהָ בְּמִי שֶׁאֵינוֹ רָאוּי לָהּ, מַה שֶּׁבִּיקְּשָׁה — לֹא נִיתַּן לָהּ, וּמַה שֶּׁבְּיָדָהּ — נְטָלוּהוּ מִמֶּנָּה. שֶׁכׇּל הַנּוֹתֵן עֵינָיו בְּמַה שֶּׁאֵינוֹ שֶׁלּוֹ — מַה שֶּׁמְבַקֵּשׁ אֵין נוֹתְנִין לוֹ, וּמַה שֶּׁבְּיָדוֹ — נוֹטְלִין הֵימֶנּוּ.</t>
  </si>
  <si>
    <t>The Sages taught sota placed her eyes, on one who is unfit for her, That which she desired, is not given to her, And that which she had, was taken away from her, that anyone who places his eyes on that which is not his is not given what he desires, and that which he had is taken from him.</t>
  </si>
  <si>
    <t>The Rabbis taught: If a woman gazes at a man who is not fitting for her, that which she desires is not given to her, and that which is in her possession is taken away from her. For anyone who gazes at that which is not his, that which he desires is not given to him, and that which is in his possession is taken away from him.</t>
  </si>
  <si>
    <t>**The Sages taught:** A *sotah* set her eyes upon one who was not fit for her; what she sought—was not given to her, and what was in her hand—they took it from her. For anyone who sets his eyes upon that which is not his—what he seeks they do not give him, and what is in his hand—they take from him.</t>
  </si>
  <si>
    <t>רַבִּי יְהוֹשֻׁעַ אוֹמֵר: רוֹצָה אִשָּׁה וְכוּ׳. מַאי קָאָמַר? הָכִי קָאָמַר: רוֹצָה אִשָּׁה בְּקַב וְתִיפְלוּת עִמּוֹ, מִתִּשְׁעַת קַבִּין וּפְרִישׁוּת.</t>
  </si>
  <si>
    <t>Rabbi Yehoshua says: A woman desires What is he saying? This is what is saying: A woman desires to a kav and with it a sexual relationship, than nine kav and abstinence,</t>
  </si>
  <si>
    <t>Rabbi Yehoshua says: "Desires a woman, etc." What is he saying? This is what he is saying: "Desires a woman with a kab and prayer with him, from nine kavs and separation."</t>
  </si>
  <si>
    <t>Rabbi Yehoshua says: She wants, a woman, etc. What is he saying? Thus he is saying: She wants, a woman, with a kav and tiflut with him, more than nine kavvin and perishut.</t>
  </si>
  <si>
    <t>״נָא״. אֵין ״נָא״ אֶלָּא לְשׁוֹן בַּקָּשָׁה. אָמְרָה לֵיהּ: בְּבַקָּשָׁה מִמְּךָ, הַכֵּר פְּנֵי בּוֹרַאֲךָ וְאַל תַּעֲלִים עֵינֶיךָ מִמֶּנִּי.</t>
  </si>
  <si>
    <t>please [ na ].” na nothing other a language of request. She said to him: I request of you: Discern the image of your Creator and do not avert your eyes from me.</t>
  </si>
  <si>
    <t>"Na." There is no "na" except as a language of difficulty. She said to him: 'With difficulty from you, recognize the face of your Creator, and do not hide your eyes from me.'</t>
  </si>
  <si>
    <t>“Na.” “Na” is nothing other than an expression of request. She said to him: With request from you, recognize the face of your Creator and do not hide your eyes from me.</t>
  </si>
  <si>
    <t>אֲמַר לְהוּ: הַבוּ לִי אִיגַּרְתָּא! אֲמַרוּ לֵיהּ: אִיגַּרְתָּא בְּאַרְעָא דְמִצְרַיִם הִיא. וּמַאן נֵיזִיל — נֵיזִיל נַפְתָּלִי דְּקַלִּיל כִּי אַיָּילְתָּא, דִּכְתִיב: ״נַפְתָּלִי אַיָּלָה שְׁלוּחָה הַנּוֹתֵן אִמְרֵי שָׁפֶר״, אָמַר רַבִּי אֲבָהוּ: אַל תִּקְרֵי ״אִמְרֵי שָׁפֶר״, אֶלָּא ״אִמְרֵי סֵפֶר״.</t>
  </si>
  <si>
    <t>said to them: Bring the bill to me, They said to him: The bill is in the land of Egypt. And who will go Naphtali will go, for he is as fast as a doe, as it is written: “Naphtali is a doe let loose, he gives goodly words” Rabbi Abbahu says: Do not read goodly words [ imrei shafer ]”; rather, imrei sefer ,</t>
  </si>
  <si>
    <t>He said to them: "Bring me the letter!" They said to him: "The letter is in the land of Egypt." And who goes there? - Let Naftali, who is swift as a hind, go, as it is written: "Naftali is a hind let loose, who gives beautiful words." Rabbi Abbahu said: Do not read "beautiful words," but rather "beautiful books."</t>
  </si>
  <si>
    <t>He said to them: Give me the letter! They said to him: The letter is in the land of Egypt. And who shall go—let Naftali go, who is light like a hind, as it is written: “Naftali is a hind let loose, who gives words of beauty”; Rabbi Avahu said: Do not read “words of beauty,” but rather “words of a book.”</t>
  </si>
  <si>
    <t>אִיבָּעֵית אֵימָא: נְסֵיב וּפֵירַשׁ הֲוָה. וְאִיבָּעֵית אֵימָא: מֵרַבֵּיהּ שְׁמִיעַ לֵיהּ. וְאִיבָּעֵית אֵימָא: ״סוֹד ה׳ לִירֵאָיו״.</t>
  </si>
  <si>
    <t>If you wish, say he was married and separated And if you wish, say he heard from his teacher. And if you wish, say “The counsel of the Lord is with them that fear Him”</t>
  </si>
  <si>
    <t>If you ask, say: He was married and separated. And if you ask, say: Listen to his teacher. And if you ask, say: "The secret of the Lord is for those who fear Him."</t>
  </si>
  <si>
    <t>If you wish, say: he had taken and had explained. And if you wish, say: from his master he heard it. And if you wish, say: “The secret of Hashem is to those who fear Him.”</t>
  </si>
  <si>
    <t>הִיא קִיבְּלַתּוּ עַל כְּרֵיסָהּ — לְפִיכָךְ בִּטְנָהּ צָבָה. הִיא הֶאֱכִילַתּוּ מַעֲדַנֵּי עוֹלָם — לְפִיכָךְ קׇרְבָּנָהּ מַאֲכַל בְּהֵמָה. הִיא הִשְׁקַתְהוּ יַיִן מְשׁוּבָּח בְּכוֹסוֹת מְשׁוּבָּחִים — לְפִיכָךְ כֹּהֵן מַשְׁקֶה מַיִם הַמָּרִים בִּמְקִידָּה שֶׁל חֶרֶשׂ.</t>
  </si>
  <si>
    <t>She received upon her stomach, therefore her stomach swells; she fed him delicacies of the world, therefore her offering animal food, she gave him fine wine to drink in fine cups, therefore a priest gives her bitter water in an earthenware mekeida , to drink.</t>
  </si>
  <si>
    <t>She received him on her lap - therefore her womb was satisfied. She fed him delicacies of the world - therefore her offering is animal food. She gave him excellent wine in excellent cups - therefore a priest gives bitter water in an earthenware vessel.</t>
  </si>
  <si>
    <t>mistranslates צָבָה from "swells" to "Satisfied" potentially a transliteration thing שָׂבַע</t>
  </si>
  <si>
    <t>She received him upon her belly — therefore her belly swells. She fed him delicacies of the world — therefore her offering is food of an animal. She gave him to drink choice wine in choice cups — therefore a Kohen gives to drink the bitter waters in an earthenware jug.</t>
  </si>
  <si>
    <t>הָנְהוּ תְּרֵי תַּלְמִידֵי דַּהֲווֹ יָתְבִי קַמֵּיהּ דְּרָבָא, חַד אָמַר לֵיהּ אַקְרְיוּן בְּחֶלְמַאי: ״מָה רַב טוּבְךָ אֲשֶׁר צָפַנְתָּ לִּירֵאֶיךָ״, וְחַד אָמַר לֵיהּ: אַקְרְיוּן בְּחֶלְמַאי ״וְיִשְׂמְחוּ כׇל חוֹסֵי בָךְ לְעוֹלָם יְרַנֵּנוּ וְיַעְלְצוּ בְךָ אֹהֲבֵי שְׁמֶךָ״. אֲמַר לְהוּ: תַּרְוַיְיכוּ רַבָּנַן צַדִּיקֵי גְּמוּרֵי אַתּוּן. מָר מֵאַהֲבָה, וּמָר מִיִּרְאָה.</t>
  </si>
  <si>
    <t>these two students who were sitting before Rava, one said to him: It was read to me in my dream: “How abundant is Your goodness, which You have laid up for those who fear You” And one said to It was read to me in my dream: “So shall all those who take refuge in You rejoice; they will forever shout for joy, let them also who love Your name exult in You” said to them: You are both completely righteous Sages. Sage, out of love, and Sage, out of fear.</t>
  </si>
  <si>
    <t>Behold, there were two disciples who were sitting before Rava. One said to him, "Read in your dreams: 'How great is Your goodness that You have stored away for those who fear You.'" And the other said to him, "Read in your dreams: 'Let all who take refuge in You rejoice; let them ever shout for joy. May You shelter them, and those who love Your name exult in You.'" He said to them: "You are truly righteous scholars. One serves out of love, and one serves out of fear."</t>
  </si>
  <si>
    <t>Those two students who were sitting before Rava, one said to him: They recited to me in my dream: “How abundant is Your goodness that You have hidden for those who fear You” (Psalms 31:20), and one said to him: They recited to me in my dream: “And all who take refuge in You shall rejoice; forever they shall sing, and You shall shelter them; and those who love Your name shall exult in You” (Psalms 5:12). He said to them: Both of you are complete righteous Rabbanan. Master—from love, and master—from fear.</t>
  </si>
  <si>
    <t>אָמַר רַבָּה: הָכָא טַעְמָא מַאי — שֶׁמָּא תֵּצֵא מִבֵּית דִּין זַכָּאִית, וְיִתְגָּרוּ בָּהּ פִּרְחֵי כְהוּנָּה. הָתָם — הָא מִסְתַּלְּקָא. וְכִי תֵּימָא: אָתֵי לְאִיגָּרוֹיֵי בְּאַחְרָנְיָיתָא — הָאָמַר רָבָא: גְּמִירִי דְּאֵין יֵצֶר הָרָע שׁוֹלֵט אֶלָּא בְּמַה שֶּׁעֵינָיו רוֹאוֹת.</t>
  </si>
  <si>
    <t>Rabba said: What is the reason here, Perhaps will leave the court innocent, and the young priests will become provoked by her. There, she departs And if you would say will be provoked with regard to other didn’t Rava say: is learned that the evil inclination controls only that which eyes see.</t>
  </si>
  <si>
    <t>Rabah said: Here, what is the reason? Perhaps an innocent woman will leave the court, and the young priests will engage with her. There, she is departing. And if you say: she will come to the outskirts - Rava said: We have a tradition that the evil inclination only rules over what the eyes see.</t>
  </si>
  <si>
    <t>אָמַר רַבָּה: Rabba said: הָכָא טַעְמָא מַאי — here, what is the reason? שֶׁמָּא תֵּצֵא מִבֵּית דִּין זַכָּאִית, lest she go out from the Beit Din acquitted, וְיִתְגָּרוּ בָּהּ פִּרְחֵי כְהוּנָּה. and the Pirḥei Kehunna will provoke themselves with her. הָתָם — there — הָא מִסְתַּלְּקָא. behold, she departs. וְכִי תֵּימָא: and if you will say: אָתֵי לְאִיגָּרוֹיֵי בְּאַחְרָנְיָיתָא — he will come to provoke himself with another — הָאָמַר רָבָא: Rava said: גְּמִירִי דְּאֵין יֵצֶר הָרָע שׁוֹלֵט אֶלָּא בְּמַה שֶּׁעֵינָיו רוֹאוֹת. it is learned by tradition that the Yetzer HaRa rules only over that which his eyes see.</t>
  </si>
  <si>
    <t xml:space="preserve">GPT 5 again keeps the Hebrew terms to show the translation at every couple of words. Maintains the transliteration of "Yetzer Hara" which is the evil inclination, this is appropriate transliteration of a technical term that is often kept in English (i.e. transliterated) when spoken in Yeshiva. </t>
  </si>
  <si>
    <t>You say: "appropriate transliteration of a technical term that is often kept in English when spoken in Yeshiva. " Interesting, I did not know that.</t>
  </si>
  <si>
    <t>לָא שְׁכִיחָא.</t>
  </si>
  <si>
    <t>not common,</t>
  </si>
  <si>
    <t>Not common.</t>
  </si>
  <si>
    <t>כׇּל אוֹתָן שָׁנִים שֶׁהָיוּ יִשְׂרָאֵל בַּמִּדְבָּר, הָיוּ עַצְמוֹתָיו שֶׁל יְהוּדָה מְגוּלְגָּלִין בָּאָרוֹן, עַד שֶׁעָמַד מֹשֶׁה וּבִקֵּשׁ עָלָיו רַחֲמִים. אָמַר לְפָנָיו: רִבּוֹנוֹ שֶׁל עוֹלָם, מִי גָּרַם לִרְאוּבֵן שֶׁהוֹדָה — יְהוּדָה: ״וְזֹאת לִיהוּדָה״?!</t>
  </si>
  <si>
    <t>All those years that the Jewish people were in the desert, the bones of Judah, were rolling in the coffin, until Moses arose and asked for compassion on said before Master of the Universe, who served as the impetus for Reuben that he admit Judah, “And this for Judah,”</t>
  </si>
  <si>
    <t>All those years that Israel was in the wilderness, the bones of Judah were rolling in the Ark, until Moses stood and sought mercy for him. He said before Him: Master of the Universe, who caused Reuben to confess? — Judah: "And this is for Judah"?!</t>
  </si>
  <si>
    <t>All those years that Yisrael were in the wilderness, the bones of Yehudah were rolling about in the Ark, until Moshe stood and sought mercy for him. He said before Him: Master of the world, who caused Re’uven that he confessed—Yehudah: “And this is for Yehudah”?!</t>
  </si>
  <si>
    <t>מַתְנִי׳ בָּא לוֹ לִכְתּוֹב אֶת הַמְּגִילָּה, מֵאֵיזֶה מָקוֹם הוּא כּוֹתֵב?</t>
  </si>
  <si>
    <t>When comes to write the scroll from what place does he write?</t>
  </si>
  <si>
    <t>The Mishnah teaches: He who comes to write the Megillah, from where does he write?</t>
  </si>
  <si>
    <t>**Mishnah:** He came to write the *megillah*; from which place does he write?</t>
  </si>
  <si>
    <t>אָמַר רַב יוֹסֵף: מִצְוָה, בְּעִידָּנָא דְּעָסֵיק בָּהּ — מַגְּנָא וּמַצְּלָא, בְּעִידָּנָא דְּלָא עָסֵיק בָּהּ — אַגּוֹנֵי מַגְּנָא, אַצּוֹלֵי לָא מַצְּלָא. תּוֹרָה, בֵּין בְּעִידָּנָא דְּעָסֵיק בָּהּ וּבֵין בְּעִידָּנָא דְּלָא עָסֵיק בָּהּ — מַגְּנָא וּמַצְּלָא.</t>
  </si>
  <si>
    <t>Rav Yosef said a mitzva, at the time when one is engaged in its protects and saves at the time when one is not engaged in its protects does not save Torah both at the time when one is engaged in it and at the time when one is not engaged in it, protects and saves</t>
  </si>
  <si>
    <t>Rav Yosef said: Regarding a mitzvah, when one is engaged in it - he is shielded and saved, when one is not engaged in it - he is exposed to danger and not saved. Torah, whether one is engaged in it or not engaged in it - he is shielded and saved.</t>
  </si>
  <si>
    <t>אָמַר Rav Yosef: A mitzvah, at the time that he is engaged in it — it protects and it saves; at the time that he is not engaged in it — it protects, it protects; it saves — it does not save. Torah, whether at the time that he is engaged in it and whether at the time that he is not engaged in it — it protects and it saves.</t>
  </si>
  <si>
    <t>כׇּל הַמְּנָחוֹת וְכוּ׳. וּרְמִינְהוּ: סֵדֶר מְנָחוֹת, כֵּיצַד? אָדָם מֵבִיא מִנְחָה מִתּוֹךְ בֵּיתוֹ בִּקְלָתוֹת שֶׁל כֶּסֶף וְשֶׁל זָהָב, וְנוֹתְנָהּ לְתוֹךְ כְּלִי שָׁרֵת, וּמְקַדְּשָׁהּ בִּכְלִי שָׁרֵת, וְנוֹתֵן עָלֶיהָ שַׁמְנָהּ וּלְבוֹנָתָהּ, וּמוֹלִיכָהּ אֵצֶל כֹּהֵן. וְכֹהֵן מוֹלִיכָהּ אֵצֶל מִזְבֵּחַ, וּמַגִּישָׁהּ בְּקֶרֶן דְּרוֹמִית מַעֲרָבִית כְּנֶגֶד חוּדָּהּ שֶׁל קֶרֶן, וְדַיּוֹ.</t>
  </si>
  <si>
    <t>All meal-offerings, raises a contradiction What is the procedure for meal-offerings? A person brings his meal-offering from his property in baskets [ kelatot ] of silver and of gold, and he places it in a service vessel and sanctifies it in service vessel, and he puts its oil and frankincense on it, and he carries it to the priest. And the priest carries it to the altar and brings it near to the southwest horn opposite the corner of the horn And is sufficient.</t>
  </si>
  <si>
    <t>Talmudic text: All the meal offerings, etc. And they raised a dilemma: The order of meal offerings, how? A person brings a meal offering from within his house in silver and gold baskets, and places it into a service vessel, and sanctifies it in a service vessel, and puts on it its oil and frankincense, and brings it to the priest. And the priest brings it to the altar, and offers it on the northeastern corner opposite the southwestern corner of the altar, and that suffices.</t>
  </si>
  <si>
    <t>ALL THE MENACHOT, etc. And they raise a contradiction: The order of Menachot, how? A man brings a Mincha from within his house in silver baskets and in gold, and he puts it into a Keli Sharet, and he sanctifies it with a Keli Sharet, and he puts upon it its oil and its frankincense, and he brings it near to a Kohen. And a Kohen brings it near to the Mizbe’ach, and he presents it at the southwestern corner opposite the point of the corner, and it is enough.</t>
  </si>
  <si>
    <t>״פּוּעָה״ — זוֹ מִרְיָם. וְלָמָּה נִקְרָא שְׁמָהּ ״פּוּעָה״ שֶׁהָיְתָה פּוֹעָה וּמוֹצִיאָה אֶת הַוָּלָד. דָּבָר אַחֵר: ״פּוּעָה״ — שֶׁהָיְתָה פּוֹעָה בְּרוּחַ הַקּוֹדֶשׁ וְאוֹמֶרֶת: עֲתִידָה אִמִּי שֶׁתֵּלֵד בֵּן שֶׁמּוֹשִׁיעַ אֶת יִשְׂרָאֵל.</t>
  </si>
  <si>
    <t>Puah, this Miriam. And why was she called Puah? Because she would make a comforting sound [ po’a ] as she would remove the child Alternatively, Puah as she would speak [ po’a ] through divine inspiration and say: In the future, my mother will give birth to a son who will save the Jewish people.</t>
  </si>
  <si>
    <t>"Puah" - this is Miriam. And why was she called "Puah"? Because she would coo and bring out the infant. Another explanation: "Puah" - because she would coo with the Holy Spirit and say: My mother is destined to give birth to a son who will save Israel.</t>
  </si>
  <si>
    <t>“Pu’ah” — this is Miryam. And why is her name called “Pu’ah”? Because she would po’ah and bring out the child. Another matter: “Pu’ah” — because she would po’ah with Ru’aḥ HaQodesh and say: My mother is destined to give birth to a son who will save Yisrael.</t>
  </si>
  <si>
    <t>מִכְּלַל דִּכְפִיפָה מִצְרִית לָא חַזְיָא, כְּמַאן — דְּלָא כְּרַבִּי יוֹסֵי בְּרַבִּי יְהוּדָה, דְּתַנְיָא: כְּלֵי שָׁרֵת שֶׁעֲשָׂאָן שֶׁל עֵץ, רַבִּי פּוֹסֵל וְרַבִּי יוֹסֵי בְּרַבִּי יְהוּדָה מַכְשִׁיר.</t>
  </si>
  <si>
    <t>by inference that an Egyptian wicker basket is not suitable In accordance with whose not in accordance with Rabbi Yosei, son of Rabbi Yehuda, as it is taught service vessels that were made of wood, Rabbi deems them unfit, and Rabbi Yosei, son of Rabbi Yehuda, deems them fit.</t>
  </si>
  <si>
    <t>From the principle of an Egyptian basket, it is not seen. Like who? - Like one who is not like Rabbi Yosei son of Rabbi Yehuda, as it was taught: Vessels of service made of wood, Rabbi Posa'el and Rabbi Yosei son of Rabbi Yehuda deem them unfit and fit.</t>
  </si>
  <si>
    <t>From the implication that *khefifa Mitzrit* is not fit, like whom? — not like Rabbi Yosei beRabbi Yehuda, as it is taught: Service vessels that he made of wood, Rabbi disqualifies, and Rabbi Yosei beRabbi Yehuda deems fit.</t>
  </si>
  <si>
    <t>וְאִי לָא עֲסִיק בֵּיהּ מֹשֶׁה — יִשְׂרָאֵל לָא הֲווֹ מִיעַסְקִי בֵּיהּ? וְהָכְתִיב: ״וְאֶת עַצְמוֹת יוֹסֵף אֲשֶׁר הֶעֱלוּ בְנֵי יִשְׂרָאֵל מִמִּצְרַיִם קָבְרוּ בִשְׁכֶם״! וְתוּ: אִי לָא אִיעֲסַקוּ בֵּיהּ יִשְׂרָאֵל — בָּנָיו לָא הֲווֹ מִיעַסְקִי בֵּיהּ? וְהָכְתִיב: ״וַיִּהְיוּ לִבְנֵי יוֹסֵף לְנַחֲלָה״?!</t>
  </si>
  <si>
    <t>And if Moses had not dealt with would the Jewish people not have dealt with it? But isn’t it written “And the bones of Joseph, which the children of Israel brought up out of Egypt, they buried in Shechem” And furthermore, if the Jewish people had not dealt with would his children not have dealt with it? But isn’t it written “And they became the inheritance of the children of Joseph,”</t>
  </si>
  <si>
    <t>If Moses did not engage with it - did the Israelites not engage with it? And it is written: "And the bones of Joseph, which the children of Israel brought up from Egypt, they buried in Shechem"! And if the Israelites did not engage with it - did his sons not engage with it? And it is written: "And the children of Joseph became a possession"?!</t>
  </si>
  <si>
    <t>And if not did Moshe occupy himself with it — Israel would not have occupied themselves with it? But is it not written: “And the bones of Yosef, which the children of Israel brought up from Egypt, they buried in Shekhem”! And further: if not occupied themselves with it Israel — his sons would not have occupied themselves with it? But is it not written: “And they were to the children of Yosef for an inheritance”?!</t>
  </si>
  <si>
    <t>אֲגַם, כְּדִכְתִיב: ״קָנֶה וָסוּף קָמֵלוּ״.</t>
  </si>
  <si>
    <t>a marsh, as it is written: “The reeds and willows [ suf ] shall wither”</t>
  </si>
  <si>
    <t>Agam, as it is written: "Kaneh v'suf kamelu."</t>
  </si>
  <si>
    <t>Agam, as it is written: “Reed and suf withered.”</t>
  </si>
  <si>
    <t>כְּתָבָהּ לְמַפְרֵעַ — פְּסוּלָה, דִּכְתִיב: ״וְכָתַב אֶת הָאָלוֹת הָאֵלֶּה״, כִּי דִּכְתִיבָא.</t>
  </si>
  <si>
    <t>If one wrote out of sequence, it is unfit, as it is written: “And shall write these curses as they are written</t>
  </si>
  <si>
    <t>The written document for rebellion — invalid, as it is written: "And he shall write these curses," for it is written thus.</t>
  </si>
  <si>
    <t>If he wrote it backward — it is invalid, as it is written: “and he shall write these curses,” as it is written.</t>
  </si>
  <si>
    <t>כְּדֵי הַקָּפַת דֶּקֶל, דִּבְרֵי רַבִּי יִשְׁמָעֵאל. רַבִּי אֱלִיעֶזֶר אוֹמֵר: כְּדֵי מְזִיגַת הַכּוֹס. רַבִּי יְהוֹשֻׁעַ אוֹמֵר: כְּדֵי לִשְׁתּוֹתוֹ.</t>
  </si>
  <si>
    <t>equivalent circling a palm the statement of Rabbi Yishmael. Rabbi Eliezer says: equivalent for mixing a cup Rabbi Yehoshua says: equivalent to drink</t>
  </si>
  <si>
    <t>As much as the bending of a palm tree, the words of Rabbi Yishmael. Rabbi Eliezer says: As much as pouring a cup. Rabbi Yehoshua says: As much as drinking it.</t>
  </si>
  <si>
    <t>As much as the encircling of a deqel, the words of Rabbi Yishmaʿel. Rabbi Eliʿezer says: as much as the mixing of the cup. Rabbi Yehoshuʿa says: as much as to drink it.</t>
  </si>
  <si>
    <t xml:space="preserve">why does GPT 5 not translate the word "deqel" to mean palm tree? That doesnt seem to be a technical term of a sensitive term? </t>
  </si>
  <si>
    <t>deqel, strange indeed</t>
  </si>
  <si>
    <t>רַבִּי יוֹסֵי אוֹמֵר, בַּעְלָהּ נֶאֱמָן עָלֶיהָ מִקַּל וָחוֹמֶר: וּמָה נִדָּה שֶׁהִיא בְּכָרֵת — בַּעְלָהּ נֶאֱמָן עָלֶיהָ, סוֹטָה שֶׁהִיא בְּלָאו — לֹא כׇּל שֶׁכֵּן?!</t>
  </si>
  <si>
    <t>Rabbi Yosei says: Her husband is trusted with regard to her an a fortiori And just as a menstruating woman, who is by karet , her husband is trusted with regard to her, a sota , who is by a prohibition, not all the more so</t>
  </si>
  <si>
    <t>Rabbi Yosei says, "Her husband is trusted regarding her from a fortiori argument: And if a menstruant woman, who is liable to karet, her husband is trusted regarding her, how much more so a sotah, who is only in a negative prohibition — is it not all the more so?!"</t>
  </si>
  <si>
    <t>Rabbi Yosei says: her husband is believed about her from a kal va-chomer: and what of niddah, that she is in karet — her husband is believed about her; sotah, that she is in a lav — is it not all the more so?!</t>
  </si>
  <si>
    <t>״וְהִיא שָׁלְחָה אֶל חָמִיהָ לֵאמֹר לְאִישׁ אֲשֶׁר אֵלֶּה לּוֹ אָנֹכִי הָרָה״. וְתֵימָא לֵיהּ מֵימָר! אָמַר רַב זוּטְרָא בַּר טוֹבִיָּה אָמַר רַב, וְאָמְרִי לַהּ אָמַר רַב חָנָא בַּר בִּיזְנָא אָמַר רַבִּי שִׁמְעוֹן חֲסִידָא, וְאָמְרִי לָהּ אָמַר רַבִּי יוֹחָנָן מִשּׁוּם רַבִּי שִׁמְעוֹן בֶּן יוֹחַי: נוֹחַ לוֹ לָאָדָם שֶׁיַּפִּיל עַצְמוֹ לְתוֹךְ כִּבְשַׁן הָאֵשׁ, וְאַל יַלְבִּין פְּנֵי חֲבֵירוֹ בָּרַבִּים. מְנָלַן — מִתָּמָר.</t>
  </si>
  <si>
    <t>“She sent to her father-in-law, saying: By the man whose these are, am I with child” And let her say to him Rav Zutra bar Tuviyya says Rav says, and some say Rav Ḥana bar Bizna says Rabbi Shimon Ḥasida says, and some say Rabbi Yoḥanan says in the name of Rabbi Shimon ben Yoḥai: It is more amenable for a person to throw himself into a fiery furnace and not humiliate another in public. From where do we From Tamar,</t>
  </si>
  <si>
    <t>"And she sent to her father-in-law, saying, 'By the man to whom these belong, I am pregnant.' And say to him: from where? Rav Zutra bar Toviya said in the name of Rav, and some say in the name of Rav Chana bar Bizna said in the name of Rabbi Shimon Chasida, and some say in the name of Rabbi Yochanan in the name of Rabbi Shimon ben Yochai: It is better for a person to cast himself into a fiery furnace than to shame his fellow in public. From where do we derive this? From the date palm."</t>
  </si>
  <si>
    <t>“And she sent to her father-in-law, saying: ‘To the man to whom these belong, I am pregnant.’” And let her say to him explicitly! אמר Rav Zutra bar Toviyya said Rav, and some say: אמר Rav Ḥana bar Bizna said Rabbi Shim‘on Ḥasida, and some say: אמר Rabbi Yoḥanan in the name of Rabbi Shim‘on ben Yoḥai: It is preferable for a man that he cast himself into a fiery furnace, and not whiten the face of his fellow in public. From where do we derive it?—from Tamar.</t>
  </si>
  <si>
    <t>״לָהּ יִטַּמָּא״ — רְשׁוּת, דִּבְרֵי רַבִּי יִשְׁמָעֵאל. רַבִּי עֲקִיבָא אוֹמֵר: חוֹבָה.</t>
  </si>
  <si>
    <t>for her may he become impure” optional; the statement of Rabbi Yishmael. Rabbi Akiva says: mandatory</t>
  </si>
  <si>
    <t>"To her, she shall become impure" - a domain, the words of Rabbi Yishmael. Rabbi Akiva says: an obligation.</t>
  </si>
  <si>
    <t>“‘For her he shall become impure’ — optional, the words of Rabbi Yishmaʿel. Rabbi ʿAqiva says: an obligation.”</t>
  </si>
  <si>
    <t>Despite quotes, a good translation by 5. 5 adds the ayins in the names</t>
  </si>
  <si>
    <t>״וְכָלֵב בֶּן חֶצְרוֹן הוֹלִיד אֶת עֲזוּבָה אִשָּׁה וְאֶת יְרִיעוֹת וְאֵלֶּה בָנֶיהָ יֵשֶׁר וְשׁוֹבָב וְאַרְדּוֹן״. בֶּן חֶצְרוֹן? בֶּן יְפֻנֶּה הוּא! בֵּן שֶׁפָּנָה מֵעֲצַת מְרַגְּלִים.</t>
  </si>
  <si>
    <t>“And Caleb, the son of Hezron, begot children of Azubah his wife, and of Jerioth, and these were her sons: Jesher, and Shobab, and Ardon” son of Hezron? Wasn’t he son of Jephunneh, a son who turned away [ sheppana ] from the counsel of the spies.</t>
  </si>
  <si>
    <t>"And Caleb son of Hezron fathered Azubah, wife, and Jerioth, and these her sons: Jesher and Shobab and Ardon." Son of Hezron? He is the son of Jephunneh! Son of Shephatiah from the counsel of the spies.</t>
  </si>
  <si>
    <t>“And Kalev ben Chetzron begot Azuvah a woman, and Yeri’ot; and these are her sons: Yesher and Shovav and Ardon.” (I Chronicles 2:18). Ben Chetzron? He is ben Yefunneh! Ben she-panah me-atzat meraggelim.</t>
  </si>
  <si>
    <t>אָמַר רַבִּי חִיָּיא בַּר אַבָּא אָמַר רַבִּי סִימַאי: שְׁלֹשָׁה הָיוּ בְּאוֹתָהּ עֵצָה: בִּלְעָם, וְאִיּוֹב, וְיִתְרוֹ.</t>
  </si>
  <si>
    <t>Rabbi Ḥiyya bar Abba says Rabbi Simai says: Three were in that counsel Balaam, and Job, and Yitro.</t>
  </si>
  <si>
    <t>Said Rabbi Chiya bar Abba said Rabbi Simai: Three were in that council: Balaam, Job, and Jethro.</t>
  </si>
  <si>
    <t>אָמַר רַבִּי חִיָּיא בַּר אַבָּא אָמַר רַבִּי סִימַאי: Rabbi Ḥiyya bar Abba said, Rabbi Simai said: שְׁלֹשָׁה הָיוּ בְּאוֹתָהּ עֵצָה: three were in that counsel: בִּלְעָם, וְאִיּוֹב, וְיִתְרוֹ. Bil‘am, and Iyyov, and Yitro.</t>
  </si>
  <si>
    <t>אָמַר רַבִּי שְׁמוּאֵל בַּר נַחְמָנִי אָמַר רַבִּי יוֹנָתָן: לָצֵאת וְלָבוֹא בְּדִבְרֵי תוֹרָה. מְלַמֵּד שֶׁנִּסְתַּתְּמוּ מִמֶּנּוּ שַׁעֲרֵי חׇכְמָה.</t>
  </si>
  <si>
    <t>Rabbi Shmuel bar Naḥmani says Rabbi Yonatan says: go out and come in with words of Torah. teaches that the gates of wisdom were closed off to him.</t>
  </si>
  <si>
    <t>Rabbi Shmuel bar Nachmani said in the name of Rabbi Yonatan: To go out and come in with matters of Torah. This teaches that you should be closed off from him the gates of wisdom.</t>
  </si>
  <si>
    <t>אָמַר רַבִּי שְׁמוּאֵל בַּר נַחְמָנִי אָמַר רַבִּי יוֹנָתָן: Rabbi Shemu’el bar Naḥmani said, Rabbi Yonatan said: לָצֵאת וְלָבוֹא בְּדִבְרֵי תוֹרָה. “to go out and to come in” in matters of Torah. מְלַמֵּד שֶׁנִּסְתַּתְּמוּ מִמֶּנּוּ שַׁעֲרֵי חׇכְמָה. It teaches that the gates of wisdom were stopped up from him.</t>
  </si>
  <si>
    <t>״לָכֵן אֲחַלֶּק לוֹ בָּרַבִּים״. יָכוֹל כָּאַחֲרוֹנִים וְלֹא כָּרִאשׁוֹנִים, תַּלְמוּד לוֹמַר: ״וְאֶת עֲצוּמִים יְחַלֵּק שָׁלָל״, כְּאַבְרָהָם יִצְחָק וְיַעֲקֹב, שֶׁהֵן עֲצוּמִים בַּתּוֹרָה וּבְמִצְוֹת. ״תַּחַת אֲשֶׁר הֶעֱרָה לַמָּוֶת נַפְשׁוֹ״, שֶׁמָּסַר עַצְמוֹ לְמִיתָה, שֶׁנֶּאֱמַר: ״וְאִם אַיִן מְחֵנִי נָא וְגוֹ׳״.</t>
  </si>
  <si>
    <t>“Therefore will I divide him a portion among the great” might like the later ones and not like the earlier ones, the verse states: “And he shall divide the spoil with the mighty,” like Abraham, Isaac, and Jacob, who were mighty in Torah and in mitzvot. “Because he bared his soul unto death,” he gave himself over to death as it is stated: and if not, blot me, I pray</t>
  </si>
  <si>
    <t>"Therefore I will divide him a portion with the many." Could be like the latter ones and not like the former ones, Scripture says: "And he shall divide the spoil with the strong," like Abraham, Isaac, and Jacob, who are strong in Torah and commandments. "Because he exposed himself to death," as he delivered himself to death, as it is said: "But if You will not redeem me."</t>
  </si>
  <si>
    <t>“Therefore I will apportion to him among the many”. One might say: like the later ones and not like the earlier ones; the Talmud says: “and with the mighty he shall apportion spoil”, like Avraham, Yitzḥak, and Ya‘akov, who are mighty in Torah and in mitzvot. “Because he poured out to death his soul”, that he handed himself over to death, as it is said: “and if not, erase me, please, etc.”.</t>
  </si>
  <si>
    <t>רַבִּי אֶלְעָזָר אוֹמֵר: קְשׁוּרָה בּוֹ כְּכֶלֶב, שֶׁנֶּאֱמַר: ״וְלֹא שָׁמַע אֵלֶיהָ לִשְׁכַּב אֶצְלָהּ לִהְיוֹת עִמָּהּ״. ״לִשְׁכַּב אֶצְלָהּ״ — בָּעוֹלָם הַזֶּה, ״לִהְיוֹת עִמָּהּ״ — לָעוֹלָם הַבָּא.</t>
  </si>
  <si>
    <t>Rabbi Elazar says: is chained to him like a dog, as it is stated “That he listened not to her, to lie by her, or to be with her” “to lie by her” in this world, “to be with her” to the World-to-Come.</t>
  </si>
  <si>
    <t>Rabbi Elazar says: tied to him like a dog, as it is said: "and he did not listen to her to lie with her, to be with her." "to lie with her" - in this world, "to be with her" - in the world to come.</t>
  </si>
  <si>
    <t>Rabbi Elazar says: Bound to him like a dog, as it is said: “And he did not listen to her, to lie beside her, to be with her.” “To lie beside her” — in this world; “to be with her” — for the World-to-Come.</t>
  </si>
  <si>
    <t>וּמְסַלֵּק אֶת לְבוֹנָתָהּ לְצַד אֶחָד. כִּי הֵיכִי דְּלָא תִּקְּמוֹץ בַּהֲדֵי מִנְחָה, כְּדִתְנַן: קָמַץ וְעָלָה בְּיָדוֹ צְרוֹר אוֹ גַּרְגֵּר מֶלַח אוֹ קוֹרֶט לְבוֹנָה — פָּסוּל.</t>
  </si>
  <si>
    <t>And he removes its frankincense to one side. in order that not be removed along with the meal-offering As we learned removed handful and a pebble, or a grain of salt, or a crumb [ koret ] of frankincense came out in his hand, it is invalid.</t>
  </si>
  <si>
    <t>And removes its frankincense to one side. So that it does not become mixed with the meal offering, as we learned: If one gathered and went up with a handful of salt, or a lump of frankincense, it is invalid.</t>
  </si>
  <si>
    <t>And he removes its levonah to one side. So that he not take a kemitzah together with the minchah, as we learned: He took a kemitzah and there came up in his hand a pebble or a grain of salt or a speck of levonah — invalid.</t>
  </si>
  <si>
    <t>תָּנָא דְּבֵי רַבִּי יִשְׁמָעֵאל: אֵין אָדָם מְקַנֵּא לְאִשְׁתּוֹ אֶלָּא אִם כֵּן נִכְנְסָה בּוֹ רוּחַ, שֶׁנֶּאֱמַר: ״וְעָבַר עָלָיו רוּחַ קִנְאָה וְקִנֵּא אֶת אִשְׁתּוֹ״. מַאי רוּחַ?</t>
  </si>
  <si>
    <t>The school of Rabbi Yishmael taught: A man issues a warning to his wife only if a spirit entered him, as it is stated: “And the spirit of jealousy came upon him, and he warned his wife” what spirit</t>
  </si>
  <si>
    <t>Mishnaic teaching of the school of Rabbi Ishmael: A man does not become jealous of his wife unless a spirit of jealousy has entered him, as it is stated: "And the spirit of jealousy comes upon him, and he is jealous of his wife." What is the spirit?</t>
  </si>
  <si>
    <t>Tana deVei Rabbi Yishma’el: A man does not become jealous of his wife unless a spirit entered into him, as it is said: “and a spirit of jealousy passed over him, and he became jealous of his wife.” What is “spirit”?</t>
  </si>
  <si>
    <t>כׇּל הַמְּנָחוֹת טְעוּנוֹת שֶׁמֶן וּלְבוֹנָה, וְזוֹ אֵינָהּ טְעוּנָה לֹא שֶׁמֶן וְלֹא לְבוֹנָה. כׇּל הַמְּנָחוֹת בָּאוֹת מִן הַחִטִּין, וְזוֹ בָּאָה מִן הַשְּׂעוֹרִין. מִנְחַת הָעוֹמֶר, אַף עַל פִּי שֶׁבָּאָה מִן הַשְּׂעוֹרִין — הִיא הָיְתָה בָּאָה גֶּרֶשׂ, וְזוֹ בָּאָה קֶמַח. רַבָּן גַּמְלִיאֵל אוֹמֵר: כְּשֵׁם שֶׁמַּעֲשֶׂיהָ מַעֲשֵׂה בְּהֵמָה, כָּךְ קׇרְבָּנָהּ מַאֲכַל בְּהֵמָה.</t>
  </si>
  <si>
    <t>All meal-offerings require oil and frankincense, and this one requires neither oil nor frankincense. all meal-offerings are brought from wheat, and this one is brought from barley. Although the omer meal-offering brought from barley, it was brought as groats, is brought as flour. Rabban Gamliel says: just as her actions were the actions of an animal, so too her offering is animal food,</t>
  </si>
  <si>
    <t>All meal offerings require oil and frankincense, except this one which does not require either oil or frankincense. All meal offerings come from wheat, except this one which comes from barley. The Omer meal offering, even though it comes from barley, it was brought as coarse flour, while this one is brought as fine flour. Rabban Gamliel says: Just as its preparation is similar to the work of an animal, so too its offering is food for an animal.</t>
  </si>
  <si>
    <t>All the menaḥot require oil and frankincense, and this one does not require neither oil nor frankincense. All the menaḥot come from the wheat, and this one comes from the barley. Minḥat ha-Omer, even though it comes from the barley — it would come groats, and this one comes flour. Rabban Gamliel says: Just as her deeds are the deed of an animal, so her offering is the food of an animal.</t>
  </si>
  <si>
    <t>כִּדְרַבִּי. דְּתַנְיָא, רַבִּי אוֹמֵר: לָמָּה נִסְמְכָה פָּרָשַׁת נָזִיר לְפָרָשַׁת סוֹטָה, לוֹמַר לָךְ: שֶׁכׇּל הָרוֹאֶה סוֹטָה בְּקִלְקוּלָהּ — יַזִּיר עַצְמוֹ מִן הַיַּיִן.</t>
  </si>
  <si>
    <t>in accordance with of Rabbi as it is taught Rabbi says: Why is the portion of a nazirite placed adjacent to the portion of a sota to tell you that anyone who sees a sota in her disgrace should renounce wine,</t>
  </si>
  <si>
    <t>As Rabbi. For it was taught, Rabbi says: Why is the portion of Nazir juxtaposed to the portion of Sotah? To tell you: Anyone who sees a Sotah in her disgrace - let him abstain himself from wine.</t>
  </si>
  <si>
    <t>Like Rabbi. As it is taught, Rabbi says: Why was the section of Nazir placed adjacent to the section of Sotah? To say to you: that anyone who sees a Sotah in her disgrace — should make himself a Nazir from wine.</t>
  </si>
  <si>
    <t>״כִּי אָמַר אֵין לִי בֵן״. וְלָא הֲווֹ לֵיהּ בְּנֵי? וְהָכְתִיב: ״וַיִּוָּלְדוּ לְאַבְשָׁלוֹם שְׁלֹשָׁה בָּנִים וּבַת אַחַת״! אָמַר רַב יִצְחָק בַּר אַבְדִּימִי: שֶׁלֹּא הָיָה לוֹ בֵּן הָגוּן לַמַּלְכוּת. רַב חִסְדָּא אָמַר, גְּמִירִי: כׇּל הַשּׂוֹרֵף תְּבוּאָתוֹ שֶׁל חֲבֵירוֹ, אֵינוֹ מַנִּיחַ בֵּן לְיוֹרְשׁוֹ. וְאִיהוּ קַלְיַיהּ לִדְיוֹאָב, דִּכְתִיב: ״וַיֹּאמֶר אֶל עֲבָדָיו רְאוּ חֶלְקַת יוֹאָב אֶל יָדִי וְלוֹ שָׁם שְׂעֹרִים לְכוּ וְהַצִּיתוּהָ בָאֵשׁ וַיַּצִּיתוּ עַבְדֵי אַבְשָׁלוֹם אֶת הַחֶלְקָה בָּאֵשׁ״.</t>
  </si>
  <si>
    <t>“For he said: I have no son And did not have sons? But isn’t it written: “And to Absalom there were born three sons, and one daughter” Rav Yitzḥak bar Avdimi says: that he did not have a son worthy for royalty. Rav Ḥisda said: It is learned Anyone who burns the produce of another does not leave a son to inherit him, and he, burned of Joab, as it is written: “Therefore he said to his servants: See, Joab’s field is near mine, and he has barley there; go and set it on fire. And Absalom’s servants set the field on fire”</t>
  </si>
  <si>
    <t>"When he said, 'I have no son,' did he not have sons? But it is written: 'And to Absalom were born three sons and one daughter'! Rav Yitzchak bar Avdimi said: He did not have a son fitting for the kingdom. Rav Chisda said, it is a tradition: Anyone who burns his friend's produce does not leave a son to inherit from him. And he called it a 'portion' to Joab, as it is written: 'And he said to his servants, 'See, Joab's portion is by my hand, and there is barley there. Go and set it on fire.' And the servants of Absalom set the portion on fire."</t>
  </si>
  <si>
    <t>“for he said: ‘I have no son.’” But did he not have sons? But is it not written: “And there were born to Avshalom three sons and one daughter”! Amar Rav Yitzḥak bar Avdimi: that he did not have a son fit for kingship. Rav Ḥisda amar, gemiri: anyone who burns the produce of his fellow, he does not leave a son to inherit him. And he burned it, of Yoav, as it is written: “And he said to his servants: See, the portion of Yoav is beside mine, and he has there barley; go and set it on fire; and the servants of Avshalom set the portion on fire.”</t>
  </si>
  <si>
    <t>רַבִּי יוֹסֵי אוֹמֵר: לֹא הָיָה מַפְסִיק.</t>
  </si>
  <si>
    <t>Rabbi Yosei says: He does not interrupt</t>
  </si>
  <si>
    <t>Rabbi Yosei says: "He did not interrupt."</t>
  </si>
  <si>
    <t>Rabbi Yosei says: He would not interrupt.</t>
  </si>
  <si>
    <t>קִיבּוּל שָׂכָר מֵאַלְמָנָה — דְּהָהִיא אַלְמָנָה דַּהֲוַאי בֵּי כְנִישְׁתָּא בְּשִׁיבָבוּתַהּ. כׇּל יוֹמָא הֲוָת אָתְיָא וּמְצַלָּה בֵּי מִדְרְשֵׁיהּ דְּרַבִּי יוֹחָנָן. אֲמַר לַהּ: בִּתִּי, לֹא בֵּית הַכְּנֶסֶת בְּשִׁיבָבוּתִיךְ? אֲמַרָה לֵיהּ: רַבִּי, וְלֹא שְׂכַר פְּסִיעוֹת יֵשׁ לִי?</t>
  </si>
  <si>
    <t>receiving reward from a widow, as a certain widow in whose neighborhood there was a synagogue, every day she went and prayed in the study hall of Rabbi Yoḥanan. said to her: My daughter, not a synagogue in your neighborhood? She said to him: My teacher, don’t I attain a reward the steps</t>
  </si>
  <si>
    <t>Acceptance of reward from a widow - for she was a widow who was in the synagogue in her old age. Every day she would come and sit in the study hall of Rabbi Yochanan. He said to her: My daughter, is it not the synagogue in your old age? She said to him: Rabbi, do I not have reward for my steps?</t>
  </si>
  <si>
    <t>Receiving reward from a widow — for that widow who had a synagogue in her neighborhood. Every day she would come and pray in the study hall of Rabbi Yoḥanan. He said to her: My daughter, is there not a synagogue in your neighborhood? She said to him: Rabbi, and do I not have reward for steps?</t>
  </si>
  <si>
    <t>וּלְמַאן דְּאָמַר שִׁפְחָתָהּ, הָא אָמְרַתְּ בָּא גַּבְרִיאֵל וַחֲבָטָן בַּקַּרְקַע! דְּשַׁיַּיר לַהּ חֲדָא, דְּלָאו אוֹרְחַהּ דְּבַת מַלְכָּא לְמֵיקַם לְחוֹדַהּ.</t>
  </si>
  <si>
    <t>And according to the one who says her maidservant, didn’t you say Gabriel came and beat them to the ground that left her one as it is not proper that a princess should stand alone.</t>
  </si>
  <si>
    <t>And according to the one who says her maidservant, behold, you said, "Come Gabriel and strike them to the ground!" For he left her one, that she not be bereft of the king's offspring to establish her praise.</t>
  </si>
  <si>
    <t>And according to the one who says: her maidservant—behold, you said: Gavri’el came and struck them to the ground! That he left her one, for it is not the way of a king’s daughter to stand alone.</t>
  </si>
  <si>
    <t>דִּכְתִיב: ״וְזֹאת תּוֹרַת הַמִּנְחָה הַקְרֵב אוֹתָהּ בְּנֵי אַהֲרֹן לִפְנֵי ה׳ אֶל פְּנֵי הַמִּזְבֵּחַ״, וְתַנְיָא: ״לִפְנֵי ה׳״, יָכוֹל בַּמַּעֲרָב — תַּלְמוּד לוֹמַר: ״אֶל פְּנֵי הַמִּזְבֵּחַ״. אִי אֶל פְּנֵי הַמִּזְבֵּחַ, יָכוֹל בַּדָּרוֹם — תַּלְמוּד לוֹמַר: ״לִפְנֵי ה׳״. הָא כֵּיצַד — מַגִּישָׁהּ בְּקֶרֶן דְּרוֹמִית מַעֲרָבִית כְּנֶגֶד חוּדָּהּ שֶׁל קֶרֶן, וְדַיּוֹ.</t>
  </si>
  <si>
    <t>As it is written: “And this is the law of the meal-offering: The sons of Aaron shall offer it before the Lord in front of the altar” And it is taught “Before the Lord,” might on the western side the verse states: “In front of the altar.” If In front of the altar, might on the southern side. the verse states: “Before the Lord,” How these brings it near to the southwest corner opposite the corner of the horn. And is sufficient.</t>
  </si>
  <si>
    <t>Talmudic text: As it is written: "And this is the law of the meal offering: the sons of Aaron shall offer it before the Lord, in front of the altar." And it was taught: "before the Lord," one might think in the west — the teaching is necessary to say: "in front of the altar." If not in front of the altar, one might think in the south — the teaching is necessary to say: "before the Lord." How so? One brings it in the southwest corner, opposite the corner of the altar, and it suffices.</t>
  </si>
  <si>
    <t>As it is written: “And this is the law of the minḥah: the sons of Aharon shall bring it near before Hashem, to the face of the mizbe’aḥ”; and it is taught: “before Hashem”—one might have thought in the west; the Talmud says: “to the face of the mizbe’aḥ.” If “to the face of the mizbe’aḥ,” one might have thought in the south; the Talmud says: “before Hashem.” How so?—he brings it near at the southwestern corner, opposite the point of the corner, and it is enough for him.</t>
  </si>
  <si>
    <t>אָמַר רַב הַמְנוּנָא: אֵין הַקָּדוֹשׁ בָּרוּךְ הוּא נִפְרָע מִן הָאָדָם עַד שֶׁתִּתְמַלֵּא סְאָתוֹ, שֶׁנֶּאֱמַר: ״בִּמְלֹאות שִׂפְקוֹ יֵצֶר לוֹ וְגוֹ׳״.</t>
  </si>
  <si>
    <t>Rav Hamnuna says: The Holy One, Blessed be He, does not punish a person until his se’a , is filled, as it is stated: “In the fullness of his sufficiency he shall be in straits;</t>
  </si>
  <si>
    <t>Rav Hamnuna said: The Holy One, blessed be He, does not exact punishment from a person until his measure is full, as it is stated: "When his belly is filled, He will send His fierce anger upon him" (Job 20:23).</t>
  </si>
  <si>
    <t>אָמַר Rav Hamnuna: The Holy One, blessed be He, does not exact payment from a man until his se’ah is filled, as it is said: “In the fullness of his sufficiency it shall be strait for him, etc.”</t>
  </si>
  <si>
    <t>וְקוֹמֵץ מִמָּקוֹם שֶׁנִּתְרַבָּה שַׁמְנָהּ. מְנָלַן? דִּכְתִיב ״מִסׇּלְתָּהּ וּמִשַּׁמְנָהּ״, ״מִגִּרְשָׂהּ וּמִשַּׁמְנָהּ״.</t>
  </si>
  <si>
    <t>And he removes a handful from the place where its oil has accumulated. From where do we As it is written: of the fine flour thereof, and of the oil thereof” of the groats thereof, and of the oil thereof”</t>
  </si>
  <si>
    <t>"And a handful from the place where its fat increased. From where do we derive this? As it is written, 'from its fine flour and from its oil,' 'from its threshing floor and from its oil.'"</t>
  </si>
  <si>
    <t>And he takes a kometz from a place where its oil has increased. From where do we know this? As it is written: “from its fine flour and from its oil,” “from its crushed grain and from its oil.”</t>
  </si>
  <si>
    <t>רַבִּי שִׁמְעוֹן אוֹמֵר: ״וְאַחַר יַשְׁקֶה״ מָה תַּלְמוּד לוֹמַר? וַהֲלֹא כְּבָר נֶאֱמַר ״וְהִשְׁקָהּ״! אֶלָּא, לְאַחַר כׇּל מַעֲשִׂים כּוּלָּן הָאֲמוּרִין לְמַעְלָה. מַגִּיד שְׁלֹשָׁה דְּבָרִים מְעַכְּבִין בָּהּ: עַד שֶׁלֹּא קָרַב הַקּוֹמֶץ, וְעַד שֶׁלֹּא נִמְחֲקָה מְגִילָּה, וְעַד שֶׁלֹּא תְּקַבֵּל עָלֶיהָ שְׁבוּעָה.</t>
  </si>
  <si>
    <t>Rabbi Shimon says: What the verse states: and afterward he shall make drink But isn’t it already stated “And he shall make drink” Rather, after all the actions that are stated above teaches three matters preclude her until the handful is sacrificed, and until the scroll is erased, and until she accepts the oath upon herself.</t>
  </si>
  <si>
    <t>Rabbi Shimon says: "And afterward he shall drink" - what is the Talmud to say? Has it not already been said, "and make her drink"! Rather, after all the actions mentioned above. The following three things delay the matter: until the dough offering is brought near, until the scroll is erased, and until she accepts an oath upon herself.</t>
  </si>
  <si>
    <t>Rabbi Shim‘on says: “And afterward he shall make her drink” — what does the Talmud say to teach by it? But is it not already said: “and he shall make her drink”! Rather, after all the acts, all of them, that are said above. It teaches: three things delay in it: until the kometz has not been brought near, and until the megillah has not been erased, and until she has not accepted upon herself an oath.</t>
  </si>
  <si>
    <t>דִּכְתִיב: ״וַיָּבֹאוּ עַד גּוֹרֶן הָאָטָד״, וְכִי גוֹרֶן יֵשׁ לוֹ לָאָטָד? אָמַר רַבִּי אֲבָהוּ: מְלַמֵּד שֶׁהִקִּיפוּהוּ כְּתָרִים לַאֲרוֹנוֹ שֶׁל יַעֲקֹב כְּגוֹרֶן זֶה שֶׁמַּקִּיפִים לוֹ אָטָד, שֶׁבָּאוּ בְּנֵי עֵשָׂו וּבְנֵי יִשְׁמָעֵאל וּבְנֵי קְטוּרָה.</t>
  </si>
  <si>
    <t>As it is written: “And they came to the threshing floor of Atad, And does a boxthorn have a threshing floor? Rabbi Abbahu says: teaches that they surrounded the casket of Jacob with crowns, like this threshing floor that is surrounded with boxthorns, because the children of Esau and the children of Ishmael and the children of Keturah came</t>
  </si>
  <si>
    <t>It is written: "And they came to the threshing floor of Atad." Does Atad have a threshing floor? Rabbi Abbahu said: It teaches that they encircled it with crowns like the crown of the Ark of Jacob, as this threshing floor that they encircled with the atad, which the sons of Esau, the sons of Ishmael, and the sons of Keturah came to.</t>
  </si>
  <si>
    <t>As it is written: “And they came as far as Goren ha-Atad”; and is there a threshing floor for the atad? Rabbi Avahu said: It teaches that they surrounded it with crowns for the coffin of Ya‘akov, like this threshing floor that they surround with atad, for the sons of Esav and the sons of Yishma‘el and the sons of Keturah came.</t>
  </si>
  <si>
    <t>וְאֵינוֹ כּוֹתֵב ״וְהִשְׁבִּיעַ הַכֹּהֵן אֶת הָאִשָּׁה״. וְכוֹתֵב: ״יִתֵּן ה׳ אוֹתָךְ לְאָלָה וְלִשְׁבֻעָה. וּבָאוּ הַמַּיִם הַמְאָרְרִים הָאֵלֶּה בְּמֵעַיִךְ לַצְבּוֹת בֶּטֶן וְלַנְפִּל יָרֵךְ״. וְאֵינוֹ כּוֹתֵב ״וְאָמְרָה הָאִשָּׁה אָמֵן אָמֵן״.</t>
  </si>
  <si>
    <t>And he does not write “Then the priest shall cause the woman to swear but he does write “The Lord shall make you a curse and an oath And this water that causes the curse shall go into your bowels, and cause your belly to swell, and your thigh to fall away” but he does not write “And the woman shall say: Amen, amen”</t>
  </si>
  <si>
    <t>He does not write, "and the priest shall make the woman swear." Rather, he writes, "may the Lord make you a curse and an oath. And these cursed waters shall enter your body to cause your belly to swell and your thigh to sag." And he does not write, "and the woman shall say, 'Amen, Amen.'"</t>
  </si>
  <si>
    <t>And he does not write: “And the kohen shall administer an oath to the woman.” And he writes: “May Hashem make you for an imprecation and for an oath. And these bitter waters shall come into your innards, to swell the belly and to cause the thigh to fall.” And he does not write: “And the woman shall say: Amen, amen.”</t>
  </si>
  <si>
    <t>רַבִּי יְהוּדָה אוֹמֵר: מִן הַתּוֹרָה הָאִישׁ מֵבִיא אֶת אִשְׁתּוֹ אֶל הַכֹּהֵן, שֶׁנֶּאֱמַר: ״וְהֵבִיא הָאִישׁ אֶת אִשְׁתּוֹ״!</t>
  </si>
  <si>
    <t>Rabbi Yehuda says: By Torah the man brings his wife as is stated: “Then shall the man bring his wife to the priest.”</t>
  </si>
  <si>
    <t>Rabbi Yehuda says: From the Torah, a man brings his wife to the kohen, as it is stated: "And the man shall bring his wife!"</t>
  </si>
  <si>
    <t>Rabbi Yehudah says: From the Torah the man brings his wife to the Kohen, as it is stated: “And the man shall bring his wife”!</t>
  </si>
  <si>
    <t>״וַתֵּרֶד בַּת פַּרְעֹה לִרְחוֹץ עַל הַיְאֹר״, אָמַר רַבִּי יוֹחָנָן מִשּׁוּם רַבִּי שִׁמְעוֹן בֶּן יוֹחַי: מְלַמֵּד שֶׁיָּרְדָה לִרְחוֹץ מִגִּלּוּלֵי [בֵּית] אָבִיהָ, וְכֵן הוּא אוֹמֵר: ״אִם רָחַץ ה׳ אֵת צוֹאַת בְּנוֹת צִיּוֹן וְגוֹ׳״.</t>
  </si>
  <si>
    <t>“And the daughter of Pharaoh came down to bathe [ lirḥotz ] in the river” Rabbi Yoḥanan says in the name of Rabbi Shimon ben Yoḥai: teaches that she came down to cleanse from her father’s idols, And similarly it states: “When the Lord shall have washed [ raḥatz ] away the filth of the daughters of Zion,</t>
  </si>
  <si>
    <t>"And she went down, the daughter of Pharaoh, to bathe in the river," Rabbi Yochanan said in the name of Rabbi Shimon ben Yochai: This teaches that she went down to bathe from the idols of her father's house, as it is also stated: "If the Lord washes away the filth of the daughters of Zion, etc."</t>
  </si>
  <si>
    <t>“‘And the daughter of Par‘oh went down to wash by the Ye’or’”; Amar Rabbi Yoḥanan mishum Rabbi Shim‘on ben Yoḥai: This teaches that she went down to wash from the idols of the house of her father; and so it says: “‘If Hashem shall have washed away the filth of the daughters of Tziyyon, etc.’”.</t>
  </si>
  <si>
    <t>גּוּפָא: ״וְקִנֵּא אֶת אִשְׁתּוֹ״ — רְשׁוּת, דִּבְרֵי רַבִּי יִשְׁמָעֵאל. וְרַבִּי עֲקִיבָא אוֹמֵר: חוֹבָה. ״לָהּ יִטַּמָּא״ — רְשׁוּת, דִּבְרֵי רַבִּי יִשְׁמָעֵאל. וְרַבִּי עֲקִיבָא אוֹמֵר: חוֹבָה.</t>
  </si>
  <si>
    <t>the itself. “And he warned his wife,” optional; the statement of Rabbi Yishmael. And Rabbi Akiva says: mandatory. “For her may he become impure” optional; the statement of Rabbi Yishmael. And Rabbi Akiva says: mandatory</t>
  </si>
  <si>
    <t>Body: "And he shall be jealous of his wife" - a permission, the words of Rabbi Yishmael. And Rabbi Akiva says: an obligation. "And it shall be defiled to her" - a permission, the words of Rabbi Yishmael. And Rabbi Akiva says: an obligation.</t>
  </si>
  <si>
    <t>Gufa: “And he shall warn his wife” — permission, the words of Rabbi Yishma’el. And Rabbi Akiva says: obligation. “For her he shall become impure” — permission, the words of Rabbi Yishma’el. And Rabbi Akiva says: obligation.</t>
  </si>
  <si>
    <t>דָּבָר אַחֵר: עֲבֵירָה מְכַבָּה מִצְוָה, וְאֵין עֲבֵירָה מְכַבָּה תּוֹרָה. אָמַר רַב יוֹסֵף: דַּרְשֵׁיהּ רַבִּי מְנַחֵם בַּר יוֹסֵי לְהַאי קְרָא כִּי סִינַי, וְאִילְמָלֵא דַּרְשׁוּהּ דּוֹאֵג וַאֲחִיתוֹפֶל הָכִי לָא רְדַפוּ בָּתַר דָּוִד, דִּכְתִיב: ״לֵאמֹר אֱלֹהִים עֲזָבוֹ וְגוֹ׳״.</t>
  </si>
  <si>
    <t>Alternatively: A transgression extinguishes a mitzva, but a transgression does not extinguish Torah. Rav Yosef says: Rabbi Menaḥem bar Yosei interpreted this verse as Sinai, and had Doeg and Ahithophel only interpreted it in this way they would not have pursued David, as it is written: me…saying, God has forsaken him;</t>
  </si>
  <si>
    <t>Another matter: Sin extinguishes a commandment, but sin does not extinguish the Torah. Rav Yosef said: Rabbi Menachem bar Yosei interpreted this verse as "for from Sinai," and if they had not interpreted it thus, Doeg and Achitofel would not have pursued after David, as it is written: "saying, 'God has forsaken him.'"</t>
  </si>
  <si>
    <t>Another matter: a transgression extinguishes a mitzvah, but a transgression does not extinguish Torah. Rav Yosef said: Rabbi Menachem bar Yosei expounded it on this verse as at Sinai, and if not that Doeg and Achitofel had expounded it, thus they would not have pursued after David, as it is written: “saying: God has forsaken him, etc.”</t>
  </si>
  <si>
    <t>וְאַכַּתִּי: בֶּן קְנַז הוּא, דִּכְתִיב: ״וַיִּלְכְּדָהּ עׇתְנִיאֵל בֶּן קְנַז אֲחִי כָלֵב״! אָמַר רָבָא: חוֹרְגוֹ דִּקְנַז הֲוָה.</t>
  </si>
  <si>
    <t>But still was son of Kenaz, as it is written: “And Othniel, the son of Kenaz, Caleb’s brother, took it” Rava said: was the stepson of Kenaz,</t>
  </si>
  <si>
    <t>And once: Ben K'naz he, as it is written: "And Othniel the son of Kenaz, Caleb's brother, took it." Rava said: He was a weaver of Kenaz.</t>
  </si>
  <si>
    <t>And still: he is the son of Kenaz, as it is written: “And Otniel son of Kenaz, brother of Kalev, captured it”! Rava said: he was the stepson of Kenaz.</t>
  </si>
  <si>
    <t>״וַיַּכֵּר יְהוּדָה וַיֹּאמֶר צָדְקָה מִמֶּנִּי״. הַיְינוּ דְּאָמַר רַב חָנִין בַּר בִּיזְנָא אָמַר רַבִּי שִׁמְעוֹן חֲסִידָא: יוֹסֵף שֶׁקִּדֵּשׁ שֵׁם שָׁמַיִם בַּסֵּתֶר — זָכָה וְהוֹסִיפוּ לוֹ אוֹת אַחַת מִשְּׁמוֹ שֶׁל הַקָּדוֹשׁ בָּרוּךְ הוּא, דִּכְתִיב: ״עֵדוּת בִּיהוֹסֵף שָׂמוֹ״.</t>
  </si>
  <si>
    <t>“And Judah acknowledged them, and said: She is more righteous than I; This is as Rav Ḥanin bar Bizna says Rabbi Shimon Ḥasida says: Joseph, who sanctified the name of Heaven in private merited that one letter from the name of the Holy One, Blessed be He, was added to his as it is written: “He appointed it in Joseph [ bihosef ] for a testimony in his name,</t>
  </si>
  <si>
    <t>"And Judah recognized and said, 'She is more righteous than I.' That is what Rav Hanin bar Bizna said in the name of Rabbi Shimon Chasida: Anyone who sanctifies the name of Heaven in secret - he merits, and they add to him one letter from the name of the Holy One, blessed be He, as it is written: 'The testimony of Joseph he set.'"</t>
  </si>
  <si>
    <t>“‘And Yehudah recognized, and he said: She is more righteous than I.’” This is that which Rav Ḥanin bar Bizna said, Rav Shim‘on Ḥasida said: Yosef, who sanctified the Name of Heaven in secret — merited, and they added to him one letter from His Name of the Holy One, blessed be He, as it is written: “A testimony in Yehosef He placed.”</t>
  </si>
  <si>
    <t>אָמַר אַבָּיֵי, תְּנִי: ״מְקָרַעַת״. אֲמַר לֵיהּ רָבָא: וְהָא ״שׁוֹבֶרֶת״ קָתָנֵי! אֶלָּא אָמַר רָבָא: בִּמְקוֹם שֶׁאֵין כּוֹתְבִין כְּתוּבָּה עָסְקִינַן.</t>
  </si>
  <si>
    <t>Abaye said: Teach She tears Rava said to him: But teaches she writes a receipt. Rather, Rava said: We are dealing with a place in they do not write a marriage contract,</t>
  </si>
  <si>
    <t>Abaye said, "It was taught: 'tearing'." Rava said to him, "But doesn't it teach 'breaking'?" Rather, Rava said: We are dealing with a case where a document is not written.</t>
  </si>
  <si>
    <t>אָמַר אַבָּיֵי, teach: “she tears.” אֲמַר לֵיהּ רָבָא: but behold “she breaks” it teaches! Rather אָמַר רָבָא: in a place where they do not write a ketubba we are dealing.</t>
  </si>
  <si>
    <t>אָמַרְתִּי לוֹ: דָּבָר אֶחָד יֵשׁ לִי שֶׁאֲנִי מֵטִיל לְתוֹךְ הַדְּיוֹ, וְקַנְקַנְתּוֹם שְׁמוֹ. אָמַר לִי: וְכִי מְטִילִין קַנְקַנְתּוֹם לְתוֹךְ הַדְּיוֹ? הַתּוֹרָה אָמְרָה ״וּמָחָה״, כְּתָב שֶׁיּוּכַל לִמְחוֹת!</t>
  </si>
  <si>
    <t>I said to I have one substance that I put into the ink, and it is called iron sulfate, He said to me: And may iron sulfate be put into the ink? The Torah said and he shall blot writing that can be blotted out.</t>
  </si>
  <si>
    <t>I said to him: "I have one thing that I throw into the ink, and its name is 'kanakantom'." He said to me: "Do we indeed throw 'kanakantom' into the ink? The Torah said 'and erase,' meaning that it can be erased!"</t>
  </si>
  <si>
    <t>I said to him: One thing I have that I cast into the ink, and *kankantum* is its name. He said to me: But do they cast *kankantum* into the ink? The Torah said: “and he shall blot out,” writing that is able to be blotted out!</t>
  </si>
  <si>
    <t>״וַיִּסְפְּדוּ שָׁם מִסְפֵּד גָּדוֹל וְכָבֵד מְאֹד״. תָּנָא: אֲפִילּוּ סוּסִים וַאֲפִילּוּ חֲמוֹרִים.</t>
  </si>
  <si>
    <t>“And there they wailed with a very great and sore wailing” taught: Even horses and even donkeys</t>
  </si>
  <si>
    <t>"And they mourned there with a great and very heavy mourning." It was taught: Even horses and even donkeys.</t>
  </si>
  <si>
    <t>“‘And they lamented there a lamentation great and very heavy.’” Tana: even horses and even donkeys.</t>
  </si>
  <si>
    <t>וְאִם אָמְרָה ״טְהוֹרָה אֲנִי״ מַעֲלִין אוֹתָהּ לְשַׁעֲרֵי מִזְרָח. מַעֲלִין אוֹתָהּ?!</t>
  </si>
  <si>
    <t>But if she says: I am pure, they bring her up to the Eastern Gate. they bring her up?</t>
  </si>
  <si>
    <t>And if she said, "I am pure," we bring her up to the eastern gates. Bring her up?!</t>
  </si>
  <si>
    <t>And if she said: “Tehorah I am,” they bring her up to the gates of Mizrach. They bring her up?!</t>
  </si>
  <si>
    <t>הָכָא כְּתִיב: ״לַאֲלָפִים לְאֹהֲבַי וּלְשֹׁמְרֵי מִצְוֹתָי״, וְהָתָם כְּתִיב: ״וּלְשֹׁמְרֵי מִצְוֹתָיו לְאֶלֶף דּוֹר״.</t>
  </si>
  <si>
    <t>here it is written: “And showing mercy unto thousands of generations of those who love Me and keep My commandments” and there it is written: and keep His commandments for a thousand generations”</t>
  </si>
  <si>
    <t>Here is the English translation of the Talmudic text: Talmudic text: Here it is written: "To thousands of those who love Me and keep My commandments," and there it is written: "And to those who keep His commandments to a thousand generations."</t>
  </si>
  <si>
    <t>Here it is written: “to thousands, to those who love Me and to those who keep My commandments,” and there it is written: “and to those who keep His commandments, to a thousand generations.”</t>
  </si>
  <si>
    <t>יוֹסֵף זָכָה וְכוּ׳. מַאי שְׁנָא מֵעִיקָּרָא דִּכְתִיב: ״וַיַּעַל יוֹסֵף לִקְבּוֹר אֶת אָבִיו וַיַּעֲלוּ אִתּוֹ כׇּל עַבְדֵי פַּרְעֹה וְגוֹ׳״, וַהֲדַר: ״וְכֹל בֵּית יוֹסֵף וְאֶחָיו וּבֵית אָבִיו״, וּמַאי שְׁנָא לְבַסּוֹף דִּכְתִיב: ״וַיָּשׇׁב יוֹסֵף מִצְרַיְמָה הוּא וְאֶחָיו״, וַהֲדַר: ״וְכׇל הָעוֹלִים אִתּוֹ לִקְבּוֹר אֶת אָבִיו״?</t>
  </si>
  <si>
    <t>Joseph merited What is different initially that it is written: “And Joseph went up to bury his father; and with him went up all the servants of Pharaoh, and afterward “And all the house of Joseph, and his brethren, and his father’s house; And what is different at the end that it is written: “And Joseph returned into Egypt, he, and his brethren,” and afterward “And all that went up with him to bury his father,</t>
  </si>
  <si>
    <t>Joseph merited, etc. What is different from the beginning where it is written: "And Joseph went up to bury his father, and all of Pharaoh's servants went up with him, etc." And afterwards: "And all the household of Joseph and his brothers and his father's household." And what is different at the end where it is written: "And Joseph went up from Egypt, he and his brothers," and afterwards: "And all those who went up with him to bury his father"?</t>
  </si>
  <si>
    <t>Yosef merited, etc. What is different from the beginning, as it is written: “And Yosef went up to bury his father, and with him went up all the servants of Par‘oh, etc.”, and then: “and all the house of Yosef and his brothers and the house of his father”; and what is different at the end, as it is written: “And Yosef returned to Egypt, he and his brothers”, and then: “and all those who went up with him to bury his father”?</t>
  </si>
  <si>
    <t>אֶלָּא כְּהִלֵּל וְשֶׁבְנָא. דְּכִי אֲתָא רַב דִּימִי, אָמַר: הִלֵּל וְשֶׁבְנָא אַחֵי הֲווֹ. הִלֵּל עֲסַק בַּתּוֹרָה, שֶׁבְנָא עֲבַד עִיסְקָא. לְסוֹף, אֲמַר לֵיהּ: תָּא נַעֲרוֹב וְלִיפְלוֹג! יָצְתָה בַּת קוֹל וְאָמְרָה: ״אִם יִתֵּן אִישׁ אֶת כׇּל הוֹן בֵּיתוֹ וְגוֹ׳״.</t>
  </si>
  <si>
    <t>Rather, like Hillel and Shevna, as when Rav Dimi came he said: Hillel and Shevna were brothers; Hillel engaged in Torah Shevna entered into a venture In the end, said to Come, let us join together and divide a Divine Voice issued forth and said: “If a man would give all the fortune of his house</t>
  </si>
  <si>
    <t>Rather, like Hillel and Shevna. For when Rav Dimi came, he said: Hillel and Shevna were brothers. Hillel engaged in Torah study, while Shevna engaged in business. In the end, he said to him: "Come, let us form a partnership and divide!" A Bat Kol (heavenly voice) emerged and said: "If a man gives all the wealth of his house, etc."</t>
  </si>
  <si>
    <t>Rather, like Hillel and Shevna. For when Rav Dimi came, he said: Hillel and Shevna were brothers. Hillel engaged in Torah, Shevna did business. In the end, he said to him: Come, let us join together and divide! A bat kol went out and said: “If a man would give all the wealth of his house, etc.”.</t>
  </si>
  <si>
    <t>מַתְנִי׳ כֵּיצַד עוֹשֶׂה לָהּ? מוֹלִיכָהּ לְבֵית דִּין שֶׁבְּאוֹתוֹ מָקוֹם, וּמוֹסְרִין לוֹ שְׁנֵי תַּלְמִידֵי חֲכָמִים, שֶׁמָּא יָבֹא עָלֶיהָ בַּדֶּרֶךְ. רַבִּי יְהוּדָה אוֹמֵר: בַּעְלָהּ נֶאֱמָן עָלֶיהָ.</t>
  </si>
  <si>
    <t>What does do with her He brings her to the court that is in that location, and provides him two Torah scholars lest he engage in sexual intercourse with her on the way Rabbi Yehuda says: Her husband is trusted with regard to her,</t>
  </si>
  <si>
    <t>Mishnah: How does one prepare her? They bring her to the court in that place, and they appoint two Torah scholars to accompany him, lest he come upon her on the way. Rabbi Yehuda says: Her husband is trusted regarding her.</t>
  </si>
  <si>
    <t>**Mishnah:** How does he do for her? He leads her to the Beit Din that is in that place, and they hand over to him two talmidei chachamim, lest he come upon her on the way. Rabbi Yehudah says: Her husband is trusted concerning her.</t>
  </si>
  <si>
    <t>כְּדֵי שֶׁיֵּרָאֶה עַל הַמַּיִם. תָּנוּ רַבָּנַן, שְׁלֹשָׁה צְרִיכִין שֶׁיֵּרָאוּ: עֲפַר סוֹטָה, וְאֵפֶר פָּרָה, וְרוֹק יְבָמָה. מִשּׁוּם רַבִּי יִשְׁמָעֵאל אָמְרוּ: אַף דַּם צִפּוֹר.</t>
  </si>
  <si>
    <t>so that would be visible upon the water. The Sages taught Three are required to be seen: The dust of the sota the ashes of the heifer and the spittle of a woman whose husband, who has a brother, died childless [ yevama ] In the name of Rabbi Yishmael they said: Even the blood of the bird</t>
  </si>
  <si>
    <t>In order that it may be seen upon the water. The Rabbis taught: Three things require to be seen: the dust of the Sotah, the ashes of the heifer, and the spittle of the yevamah. In the name of Rabbi Ishmael they said: Also the blood of a bird.</t>
  </si>
  <si>
    <t>So that it be seen upon the water. The Rabbis taught: Three require that they be seen: the dust of Sotah, and the ash of Parah, and the spittle of Yevamah. In the name of Rabbi Yishma’el they said: even the blood of a bird.</t>
  </si>
  <si>
    <t>דָּוִד — דִּכְתִיב: ״טָבְעוּ בָאָרֶץ שְׁעָרֶיהָ״. מֹשֶׁה — דְּאָמַר מָר: מִשֶּׁנִּבְנָה מִקְדָּשׁ רִאשׁוֹן נִגְנַז אֹהֶל מוֹעֵד, קְרָשָׁיו קְרָסָיו וּבְרִיחָיו וְעַמּוּדָיו וַאֲדָנָיו. הֵיכָא? אָמַר רַב חִסְדָּא אָמַר אֲבִימִי: תַּחַת מְחִילּוֹת שֶׁל הֵיכָל.</t>
  </si>
  <si>
    <t>David, as it is written: “Her gates are sunk into the ground” Moses, as the Master said: When the first Temple was built, the Tent of Meeting was sequestered, its boards, its clasps, and its bars, and its pillars, and its sockets. Where Rav Ḥisda says Avimi says: Beneath the tunnels of the Sanctuary.</t>
  </si>
  <si>
    <t>David — as it is written: "Its gates have sunk into the ground." Moses — as the Master said: From the time the First Temple was built, the Tent of Meeting was hidden, its planks, bars, bolts, pillars, and sockets. Where? Rav Ḥisdah said in the name of Avimi: Beneath the chambers of the Temple.</t>
  </si>
  <si>
    <t>David — as it is written: “Her gates have sunk into the earth.” Moshe — as the Master said: From when the First Mikdash was built, the Ohel Mo‘ed was hidden away, its boards, its clasps, and its bars, and its pillars, and its sockets. Where? Rav Ḥisda said, Avimi said: beneath the tunnels of the Heikhal.</t>
  </si>
  <si>
    <t>״לְעֹלָם בָּהֶם תַּעֲבֹדוּ״ — רְשׁוּת, דִּבְרֵי רַבִּי יִשְׁמָעֵאל. רַבִּי עֲקִיבָא אוֹמֵר: חוֹבָה.</t>
  </si>
  <si>
    <t>“Of them may you take your bondmen forever” optional, this is the statement of Rabbi Yishmael. Rabbi Akiva says: mandatory,</t>
  </si>
  <si>
    <t>"Forever in them you shall serve" - permission, the words of Rabbi Yishmael. Rabbi Akiva says: obligation.</t>
  </si>
  <si>
    <t>“‘Le-olam bahem ta’avodu’ — permission, the words of Rabbi Yishma’el. Rabbi Akiva says: obligation.”</t>
  </si>
  <si>
    <t>לְעוֹלָם רַבִּי יִשְׁמָעֵאל, וְאַשְׁכַּח קְרָא דְּאָמַר וְתָנֵי, דִּכְתִיב: ״כֹּה אָמַר ה׳ עַל שְׁלֹשָׁה פִּשְׁעֵי אֱדוֹם״,</t>
  </si>
  <si>
    <t>Actually, Rabbi Yishmael, and he found a verse which states and repeats as it is written: “Thus says the Lord: For three transgressions of Edom,</t>
  </si>
  <si>
    <t>Always Rabbi Yishmael, and found a verse that says and teaches, as it is written: "So says the Lord, 'For three transgressions of Edom'"</t>
  </si>
  <si>
    <t>Forever, Rabbi Yishmaʿel; and he found a verse that says and teaches, as it is written: “So said Hashem: For three transgressions of Edom,”</t>
  </si>
  <si>
    <t>אוֹתָהּ שָׁנָה מְעוּבֶּרֶת הָיְתָה: רוּבּוֹ שֶׁל רִאשׁוֹן, וְרוּבּוֹ שֶׁל אַחֲרוֹן, וְאֶמְצָעִי שָׁלֵם.</t>
  </si>
  <si>
    <t>That year was a leap year most of the first and most of the last and the entire middle one.</t>
  </si>
  <si>
    <t>That year was a leap year: the majority of the first, and the majority of the last, and the middle complete.</t>
  </si>
  <si>
    <t>That year was an intercalated year: the majority of the first, and the majority of the last, and the middle complete.</t>
  </si>
  <si>
    <t>״וַתִּפְתַּח וַתִּרְאֵהוּ אֶת הַיֶּלֶד״. ״וַתֵּרֶא״ מִיבְּעֵי לֵיהּ! אָמַר רַבִּי יוֹסֵי בְּרַבִּי חֲנִינָא: שֶׁרָאֲתָה שְׁכִינָה עִמּוֹ.</t>
  </si>
  <si>
    <t>“And she opened it and saw it [ vatirehu ], even the child” it should have And she saw. Rabbi Yosei, son of Rabbi Ḥanina, says: she saw the Divine Presence with him.</t>
  </si>
  <si>
    <t>"And she opened and saw him, the child." "And she saw" - is it necessary to say? Rabbi Yosei, son of Rabbi Chanina, said: She saw the Divine Presence with him.</t>
  </si>
  <si>
    <t>“‘And she opened and she saw him, the child.’ ‘And she saw’ it is required for it! Amar Rabbi Yosei beRabbi Ḥanina: that she saw Shekhinah with him.”</t>
  </si>
  <si>
    <t>״וַיֹּאמֶר אֶל עַמּוֹ הִנֵּה עַם בְּנֵי יִשְׂרָאֵל״. תָּנָא: הוּא הִתְחִיל בְּעֵצָה תְּחִילָּה לְפִיכָךְ לָקָה תְּחִילָּה. הוּא הִתְחִיל בְּעֵצָה תְּחִילָּה — דִּכְתִיב: ״וַיֹּאמֶר אֶל עַמּוֹ״, לְפִיכָךְ לָקָה תְּחִילָּה — כְּדִכְתִיב: ״וּבְכָה וּבְעַמְּךָ וּבְכׇל עֲבָדֶיךָ״.</t>
  </si>
  <si>
    <t>“And he said to his people: Behold, the people of the children of Israel taught He, initiated the proposal. Therefore, he was stricken first. He initiated the proposal, as it is written: “And he said to his people.” Therefore, he was stricken first, as it is written: both upon you, and upon your people, and upon all your servants”</t>
  </si>
  <si>
    <t>Talmudic text: "And he said to his people, 'Behold, the people of the children of Israel.'" It was taught: He began with advice first, therefore he was struck first. He began with advice first - as it is written: "And he said to his people," therefore he was struck first - as it is written: "And on you, and on your people, and on all your servants."</t>
  </si>
  <si>
    <t>“‘And he said to his people: Behold, the people of the children of Yisrael.’” It was taught: He began with counsel first; therefore he was smitten first. He began with counsel first—as it is written: “And he said to his people”; therefore he was smitten first—as it is written: “and in you and in your people and in all your servants.”</t>
  </si>
  <si>
    <t>״וַיְהִי כִּי יָרְאוּ הַמְיַלְּדוֹת אֶת הָאֱלֹהִים וַיַּעַשׂ לָהֶם בָּתִּים״. רַב וּשְׁמוּאֵל, חַד אָמַר: בָּתֵּי כְהוּנָּה וּלְוִיָּה, וְחַד אָמַר: בָּתֵּי מַלְכוּת. מַאן דְּאָמַר בָּתֵּי כְהוּנָּה וּלְוִיָּה — אַהֲרֹן וּמֹשֶׁה. וּמַאן דְּאָמַר בָּתֵּי מַלְכוּת — דָּוִד נָמֵי מִמִּרְיָם קָאָתֵי, דִּכְתִיב: ״וַתָּמׇת עֲזוּבָה אֵשֶׁת כָּלֵב וַיִּקַּח לוֹ כָלֵב אֶת אֶפְרָת וַתֵּלֶד לוֹ אֶת חוּר״. וּכְתִיב: ״וְדָוִד בֶּן אִישׁ אֶפְרָתִי וְגוֹ׳״.</t>
  </si>
  <si>
    <t>“And it came to pass, because the midwives feared God, that He made them houses” Rav and Shmuel One says the houses of priesthood and Levites and one says houses of royalty The one who says houses of priesthood and Levites Aaron and Moses, And the one who says houses of royalty David, also comes from Miriam, as it is written: “And Azubah,” the wife of Caleb, “died, and Caleb took to him Ephrath, who bore him Hur” And it is written: “David was the son of that Ephrathite</t>
  </si>
  <si>
    <t>"And it came to pass, when the midwives feared God, that He made them houses." Rav and Shmuel, one said: houses of priesthood and Levites, and one said: houses of royalty. Whoever said houses of priesthood and Levites—Aaron and Moses. And whoever said houses of royalty—David also from Miriam descends, as it is written: "And she was left by her husband Caleb, and Caleb took for himself Ephrath, and she bore him Hur." And it is written: "And David, the son of an Ephrathite man, etc."</t>
  </si>
  <si>
    <t>correct</t>
  </si>
  <si>
    <t>“‘And it was, כי they feared the God, and He made for them houses.’ Rav and Shmuel, חד said: houses of kehunah and leviyyah, and חד said: houses of malkhut. The one who said houses of kehunah and leviyyah — Aharon and Moshe. And the one who said houses of malkhut — David also comes from Miryam, as it is written: ‘And Azuvah the wife of Kalev died, and Kalev took for himself Efrat, and she bore to him Hur.’ And it is written: ‘And David was son of a man, an Efrati, etc.’”</t>
  </si>
  <si>
    <t>וְאִם אָמְרָה ״טְהוֹרָה אֲנִי״ — מַעֲלִין אוֹתָהּ לְשַׁעַר הַמִּזְרָח שֶׁעַל פֶּתַח שַׁעַר נִקָּנוֹר, שֶׁשָּׁם מַשְׁקִין אֶת הַסּוֹטוֹת, וּמְטַהֲרִין אֶת הַיּוֹלְדוֹת, וּמְטַהֲרִין אֶת הַמְצוֹרָעִין.</t>
  </si>
  <si>
    <t>But if she says: I am pure, they bring her up to the Eastern Gate, which is at the opening of Gate of Nicanor, because there: They give the sota women to drink, and they purify women who have given birth and they purify the lepers</t>
  </si>
  <si>
    <t>And if she said, "I am pure" — they bring her up to the Gate of the East that is at the entrance of the Gate of Nicanor, where they would give the sotahs to drink, and purify the women who have given birth, and purify the lepers.</t>
  </si>
  <si>
    <t>And if she said: “Tehorah I am” — they bring her up to the Eastern Gate that is at the entrance of Sha’ar Nikanor, for there they give drink to the sotot, and they purify the yoledot, and they purify the metzora’in.</t>
  </si>
  <si>
    <t>אֶלָּא ״וַיַּקְרִיא״. מְלַמֵּד שֶׁהִקְרִיא אַבְרָהָם אָבִינוּ לִשְׁמוֹ שֶׁל הַקָּדוֹשׁ בָּרוּךְ הוּא בְּפֶה כׇּל עוֹבֵר וָשָׁב. כֵּיצַד? לְאַחַר שֶׁאָכְלוּ וְשָׁתוּ, עָמְדוּ לְבָרְכוֹ. אָמַר לָהֶם: וְכִי מִשֶּׁלִּי אֲכַלְתֶּם? מִשֶּׁל אֱלֹהֵי עוֹלָם אֲכַלְתֶּם! הוֹדוּ וְשַׁבְּחוּ וּבָרְכוּ לְמִי שֶׁאָמַר וְהָיָה הָעוֹלָם.</t>
  </si>
  <si>
    <t>rather vayyakri , and he caused to call. teaches that Abraham our forefather caused the name of the Holy One, Blessed be He, to be called in the mouth of all passersby. How so? After ate and drank, they arose to bless him. He said to them: But did you eat from mine? you ate from the God of the world. you thank and praise and bless the One Who spoke and the world was</t>
  </si>
  <si>
    <t>Talmudic text: Rather, "And he called." Teaches that our father Abraham called the name of the Holy One, blessed be He, with the mouth of every passerby. How so? After they ate and drank, they stood to bless. He said to them: Did you eat from what is mine? You ate from what belongs to the God of the world! Give thanks, praise, and bless to the One who spoke and the world came into being.</t>
  </si>
  <si>
    <t>Rather, “and he made proclaim.” This teaches that Avraham Avinu made proclaim to the name of HaKadosh Barukh Hu in the mouth of every passerby and returner. How so? After they ate and drank, they stood to bless him. He said to them: And is it from mine that you ate? From the God of the world you ate! Give thanks and praise and bless to Him Who said and the world came to be.</t>
  </si>
  <si>
    <t>וְטוּמְאָה בְּעָלְמָא בְּלֹא קִינּוּי וּבְלֹא סְתִירָה, דְּלָא מְהֵימַן עֵד אֶחָד, מְנָלַן? נֶאֱמַר כָּאן: ״כִּי מָצָא בָהּ עֶרְוַת דָּבָר״, וְנֶאֱמַר לְהַלָּן: ״עַל פִּי שְׁנֵי עֵדִים אוֹ עַל פִּי שְׁלֹשָׁה עֵדִים יָקוּם דָּבָר״. מָה ״דָּבָר״ הָאָמוּר לְהַלָּן — עֵדִים שְׁנַיִם, אַף כָּאן — עֵדִים שְׁנַיִם.</t>
  </si>
  <si>
    <t>And defilement in general, without warning and without seclusion, from where do we that one witness is not deemed credible? Here it is stated: “Because he has found some unseemly matter about her” and there it is stated: “By the mouth of two witnesses or by the mouth of three witnesses shall a matter be established” just as “matter” stated there two witnesses, so too here, two witnesses.</t>
  </si>
  <si>
    <t>Talmudic text: And impurity in general without designation and without contradiction, for not trusted one witness, from where? It is stated here: "For he found in her the nakedness of a thing," and it is stated there: "By the mouth of two witnesses or by the mouth of three witnesses shall a matter be confirmed." What is the "matter" mentioned there — two witnesses, so too here — two witnesses.</t>
  </si>
  <si>
    <t>desnt maintain its translation of jealousy</t>
  </si>
  <si>
    <t>And impurity in general, without kinui and without setirah, that one witness is not believed— from where do we derive it? It is said here: “for he has found in her a matter of nakedness,” and it is said there: “by the mouth of two witnesses or by the mouth of three witnesses shall a matter be established.” Just as “matter” said there— two witnesses, so too here— two witnesses.</t>
  </si>
  <si>
    <t>מַאי טַעְמָא דְּרַבִּי יוֹסֵי בְּרַבִּי יְהוּדָה? אָמַר קְרָא ״בָּהּ״ — בָּהּ וְלֹא בִּסְתִירָה.</t>
  </si>
  <si>
    <t>What is the reasoning of Rabbi Yosei, son of Rabbi Yehuda? The verse states: “ Bah ,” with regard to it, but not with regard to seclusion,</t>
  </si>
  <si>
    <t>What is the reason for Rabbi Yosei, son of Rabbi Yehuda? The verse says, "in it" - in it and not in concealment.</t>
  </si>
  <si>
    <t>What is the reason of Rabbi Yosei be-Rabbi Yehudah? The verse said: “in it” — in it and not in concealment.</t>
  </si>
  <si>
    <t>חֲמוֹתָהּ וּבַת חֲמוֹתָהּ וְצָרָתָהּ וִיבִמְתָּהּ וּבַת בַּעְלָהּ — הֲרֵי אֵלּוּ נֶאֱמָנוֹת. וְלֹא לְפוֹסְלָהּ מִכְּתוּבָּתָהּ, אֶלָּא שֶׁלֹּא תִּשְׁתֶּה.</t>
  </si>
  <si>
    <t>Her mother-in-law, and her mother in-law’s daughter, and her rival wife, and her yevama , and her husband’s daughter, They are deemed credible but not to disqualify her from her marriage contract; rather, not drink</t>
  </si>
  <si>
    <t>Her mother-in-law, and her daughter-in-law, and her rival, and her co-wife, and her husband's daughter - these are considered trustworthy. And not to disqualify her from her written document, but that she should not drink.</t>
  </si>
  <si>
    <t>her ḥamotah and the daughter of her ḥamotah and her tzaratah and her yevimtah and the daughter of her ba‘al — behold these are believed. and not to disqualify her from her ketubbah, but rather that she not drink.</t>
  </si>
  <si>
    <t>יָכוֹל אַף הַכְּנַעֲנִי שֶׁבָּא עַל אַחַת מִן הָאוּמּוֹת וְהוֹלִיד מִמֶּנָּה בֵּן, שֶׁאַתָּה רַשַּׁאי לִקְנוֹתוֹ בְּעֶבֶד, תַּלְמוּד לוֹמַר: ״אֲשֶׁר הוֹלִידוּ בְּאַרְצְכֶם״, מִן הַנּוֹלָדִים בְּאַרְצְכֶם, וְלֹא מִן הַגָּרִים בְּאַרְצְכֶם.</t>
  </si>
  <si>
    <t>might even a Canaanite who engaged in sexual intercourse with a woman from the nations and she bore him a child, that you are permitted to purchase as a slave, the verse states: “Which they have given birth to in your land,” from the born in your land but not from the reside in your land,</t>
  </si>
  <si>
    <t>One might have thought that even a Canaanite who came from one of the nations and fathered a son from her, that you are permitted to acquire him as a slave, the Scripture teaches: "Those born in your land," from those born in your land, and not from the strangers in your land.</t>
  </si>
  <si>
    <t>understands the logic of the mishna - that this is a challenge</t>
  </si>
  <si>
    <t xml:space="preserve">- still doesnt use "purchase language" </t>
  </si>
  <si>
    <t>Talmudic text: Could it be, even the Kena‘ani who came upon one of the ummot and begot from her a son, that you are permitted to acquire him as an ‘eved? The Talmud says: “whom they begot in your land”; from those born in your land, and not from the gerim in your land.</t>
  </si>
  <si>
    <t>רַבִּי אֱלִיעֶזֶר הַגָּדוֹל אוֹמֵר: מִיּוֹם שֶׁחָרַב בֵּית הַמִּקְדָּשׁ שָׁרוֹ חַכִּימַיָּא לְמֶהֱוֵי כְּסָפְרַיָּא, וְסָפְרַיָּא כְּחַזָּנַיָּא, וְחַזָּנַיָּא כְּעַמָּא דְאַרְעָא, וְעַמָּא דְאַרְעָא</t>
  </si>
  <si>
    <t>Rabbi Eliezer the Great says: From the day the Temple was destroyed, Scholars have begun to become like scribes and scribes have become like beadles, and beadles have become like ignoramuses, and ignoramuses</t>
  </si>
  <si>
    <t>Rabbi Eliezer the Great says: From the day the Temple was destroyed, the wise have become like scribes, the scribes like Pharisees, the Pharisees like a council, and the council like an ordinary people of the land, and the ordinary people of the land.</t>
  </si>
  <si>
    <t>Rabbi Eliezer haGadol says: From the day that the Beit haMikdash was destroyed, the ḥakhamayya began to be like the safraiyya, and the safraiyya like the ḥazzanayya, and the ḥazzanayya like the ammah de’ar‘a, and the ammah de’ar‘a.</t>
  </si>
  <si>
    <t>וְהִלְכְתָא: מְגַלֵּחַ כְּדַלַּעַת. דִּתְנַן: בָּא לוֹ לְהַקִּיף אֶת הַמְצוֹרָע — מַעֲבִיר תַּעַר עַל כׇּל בְּשָׂרוֹ, וְקָתָנֵי סֵיפָא: וּבַיּוֹם הַשְּׁבִיעִי מְגַלְּחוֹ תִּגְלַחַת שְׁנִיָּה כְּתִגְלַחַת רִאשׁוֹנָה.</t>
  </si>
  <si>
    <t>And the halakha is: shaves like a gourd, As we learned comes to shave the leper, he passes a razor over all of his flesh. And the latter clause, teaches: On the seventh day he shaves The second shaving is like the first shaving.</t>
  </si>
  <si>
    <t>The Halacha: One shaves like a hyssop. As we learned in a Mishnah: If one comes to encircle the leper - he passes a razor over all his flesh. And the latter clause teaches: And on the seventh day, he shaves him a second shaving like the first shaving of his head.</t>
  </si>
  <si>
    <t>And the halakhta: he shaves like a gourd. As we learned: if it came to him to shave around the metzora — he passes a razor over all his flesh, and it teaches the latter clause: “And on the seventh day he shall shave him a second shaving like the first shaving.”</t>
  </si>
  <si>
    <t>דִּכְתִיב: ״זֹאת״. בִּשְׁנֵי אֲנָשִׁים וּשְׁנֵי בּוֹעֲלִין — דְּכוּלֵּי עָלְמָא לָא פְּלִיגִי דְּהָאִשָּׁה שׁוֹתָה וְשׁוֹנָה, דִּכְתִיב: ״תּוֹרַת״.</t>
  </si>
  <si>
    <t>as it is written: “This With regard to two husbands and two paramours, everyone agrees that the woman drinks and repeats, as it is written: the law of</t>
  </si>
  <si>
    <t>Talmudic text: It is written: "this". In the case of two men and two husbands - everyone agrees that the woman drinks and drinks, as it is written: "Torat".</t>
  </si>
  <si>
    <t>As it is written: “This.” With two men and two cohabiters — for everyone does not disagree that the woman drinks and repeats, as it is written: “The law of.”</t>
  </si>
  <si>
    <t>“Of them may you take your bondmen forever” optional; the statement of Rabbi Yishmael. Rabbi Akiva says: mandatory,</t>
  </si>
  <si>
    <t>"Forever in them you shall serve" - permissive, the words of Rabbi Yishmael. Rabbi Akiva says: obligation.</t>
  </si>
  <si>
    <t>“‘Le-olam bahem ta‘avodu’ — permission, the words of Rabbi Yishma‘el. Rabbi ‘Akiva says: obligation.”</t>
  </si>
  <si>
    <t xml:space="preserve">GPT 5 transliteration of a challenging concept, regarding slavery. Might be smoothing. </t>
  </si>
  <si>
    <t>Yes, but could also be untranslated becauseit is between quotes. Maybe test translation without quotes.</t>
  </si>
  <si>
    <t>״לֹא אוּכַל עוֹד לָצֵאת וְלָבוֹא״. מַאי ״לָצֵאת וְלָבוֹא״? אִילֵימָא לָצֵאת וְלָבֹא מַמָּשׁ, וְהָכְתִיב: ״וּמֹשֶׁה בֶּן מֵאָה וְעֶשְׂרִים שָׁנָה בְּמוֹתוֹ לֹא נָס לֵחֹה״, וּכְתִיב: ״וַיַּעַל מֹשֶׁה מֵעַרְבֹת מוֹאָב אֶל הַר נְבוֹ״, וְתַנְיָא: שְׁתֵּים עֶשְׂרֵה מַעֲלוֹת הָיוּ שָׁם, וּפְסָעָן מֹשֶׁה בִּפְסִיעָה אַחַת.</t>
  </si>
  <si>
    <t>“I can no longer go out and come in” What “go out and come in”? If we say actually going out and coming in, but isn’t it written: “And Moses was a hundred and twenty years old when he died, nor his natural force abated” And it is written “And Moses went up from the plains of Moab to Mount Nebo” And it is taught There were twelve steps there and Moses stepped over them one step,</t>
  </si>
  <si>
    <t>"Not able anymore to go out and come in." What is "to go out and come in"? If you say to go out and come in literally, but it is written: "Moses was a hundred and twenty years old when he died, his eye was not dim," and it is written: "And Moses went up from the plains of Moab to Mount Nebo," and it was taught: There were twelve steps there, and Moses ascended them in one stride.</t>
  </si>
  <si>
    <t>“ ‘I am not able anymore to go out and to come in.’ What is ‘to go out and to come in’? If we say, to go out and to come in ממש, but is it not written: ‘And Moshe was a son of one hundred and twenty years at his death; his moisture had not fled,’ and it is written: ‘And Moshe went up from the plains of Moav to Mount Nevo,’ and it is taught: twelve steps were there, and Moshe stepped them in one step.”</t>
  </si>
  <si>
    <t>תַּנְיָא, הָיָה רַבִּי אוֹמֵר: מִנַּיִן שֶׁבְּמִדָּה שֶׁאָדָם מוֹדֵד בָּהּ מוֹדְדִין לוֹ — שֶׁנֶּאֱמַר: ״בְּסַאסְּאָה בְּשַׁלְּחָהּ תְּרִיבֶנָּה״.</t>
  </si>
  <si>
    <t>It is taught Rabbi would say: From where that with the measure that a person measures, he is measured with it? As it is stated: “In full measure [ besase’a ], when you send her away, you contend with her”</t>
  </si>
  <si>
    <t>It was taught: Rabbi would say: From where do we derive that with the measure that a person measures, they measure for him? - As it is stated: "With a full measure, full and running over" (Luke 6:38).</t>
  </si>
  <si>
    <t>It was taught: Rabbi would say: From where is it that with the measure that a man measures with it they measure for him? As it is said: “With se’ah by sending her away You contend with her.”</t>
  </si>
  <si>
    <t>הָכִי קָאָמַר: סֵדֶר מְנָחוֹת כֵּיצַד? הֵנִיף וְהִגִּישׁ, קָמַץ וְהִקְטִיר, וְהַשְּׁאָר נֶאֱכָל לַכֹּהֲנִים.</t>
  </si>
  <si>
    <t>This is what is saying: What was the order of meal-offerings waved and brought near removed a handful and burned and the remainder was eaten by the priests.</t>
  </si>
  <si>
    <t>So it is stated: The order of the meal-offerings, how? He waved and brought near, scooped and offered up in smoke, and the remainder was eaten by the priests.</t>
  </si>
  <si>
    <t>Thus he is saying: The order of Menachot—how? He waved and he brought near, he took a kemitzah and he burned, and the remainder is eaten by the Kohanim.</t>
  </si>
  <si>
    <t>תַּלְמוּד לוֹמַר: ״כִּי מָצָא בָהּ עֶרְוַת דָּבָר״, וּלְהַלָּן הוּא אוֹמֵר ״עַל פִּי שְׁנֵי עֵדִים אוֹ עַל פִּי שְׁלֹשָׁה עֵדִים יָקוּם דָּבָר״. מָה ״דָּבָר״ הָאָמוּר לְהַלָּן — עַל פִּי שְׁנַיִם עֵדִים, אַף כָּאן — עַל פִּי שְׁנַיִם.</t>
  </si>
  <si>
    <t>the verse states: because he has found some unseemly matter [ davar ] about her” and there, it states: “By the mouth of two witnesses or by the mouth of three witnesses shall a matter [ davar ] be established” just as “matter” stated there by the mouth of two witnesses, so too here, by the mouth of two</t>
  </si>
  <si>
    <t>The Talmud teaches: "For he found in her the nakedness of a matter," and elsewhere it says, "By the mouth of two witnesses or by the mouth of three witnesses shall a matter be established." What is the "matter" mentioned there? By the mouth of two witnesses. So too here - by the mouth of two witnesses.</t>
  </si>
  <si>
    <t>Talmud to say: “for he has found in her *ervat davar*,” and there, he says: “by the mouth of two witnesses or by the mouth of three witnesses a matter shall stand.” Just as “matter” said there — by the mouth of two witnesses, so too here — by the mouth of two.</t>
  </si>
  <si>
    <t>וַחֲכָמִים אוֹמְרִים: אֵין הָאִשָּׁה שׁוֹתָה וְשׁוֹנָה, בֵּין בְּאִישׁ אֶחָד בֵּין בִּשְׁנֵי אֲנָשִׁים.</t>
  </si>
  <si>
    <t>And the Rabbis say: The woman does not drink and repeat, whether with regard to one man or with regard to two men.</t>
  </si>
  <si>
    <t>The sages say: A woman does not drink and become forbidden, whether with one man or with two men.</t>
  </si>
  <si>
    <t>And the Ḥakhamim say: The woman does not drink and repeat, whether with one man or whether with two men.</t>
  </si>
  <si>
    <t>אָמַר רַבִּי אֶלְעָזָר: שֶׁכִּסְּתָה פָּנֶיהָ בְּבֵית חָמִיהָ. דְּאָמַר רַבִּי שְׁמוּאֵל בַּר נַחְמָנִי אָמַר רַבִּי יוֹנָתָן: כׇּל כַּלָּה שֶׁהִיא צְנוּעָה בְּבֵית חָמִיהָ — זוֹכָה וְיוֹצְאִין מִמֶּנָּה מְלָכִים וּנְבִיאִים. מְנָלַן — מִתָּמָר. נְבִיאִים — דִּכְתִיב: ״חֲזוֹן יְשַׁעְיָהוּ בֶן אָמוֹץ״. מְלָכִים — מִדָּוִד. וְאָמַר רַבִּי לֵוִי: דָּבָר זֶה מָסוֹרֶת בְּיָדֵינוּ מֵאֲבוֹתֵינוּ: אָמוֹץ וַאֲמַצְיָה — אַחִים הֲווֹ.</t>
  </si>
  <si>
    <t>Rabbi Elazar says: that covered her face in the home of her father-in-law, As Rabbi Shmuel bar Naḥmani says Rabbi Yonatan says: Any daughter-in-law who is modest in the house of her father-in-law merits that kings and prophets emerge from her. From where do we From Tamar. Prophets as it is written: “The vision of Isaiah, the son of Amoz” Kings from David. And Rabbi Levi says: This matter is a tradition we from our ancestors: Amoz, and Amaziah, were brothers.</t>
  </si>
  <si>
    <t>Rabbi Elazar said: "She covered her face in her father-in-law's house." As Rabbi Shmuel bar Nachmani said in the name of Rabbi Yonatan: "Every bride who is modest in her father-in-law's house merits that kings and prophets descend from her." From where do we derive this? From Tamar. Prophets - as it is written: "The vision of Isaiah the son of Amoz." Kings - from David. And Rabbi Levi said: "This matter is a tradition handed down to us from our ancestors: Amoz and Amatzyah were brothers."</t>
  </si>
  <si>
    <t>אָמַר רַבִּי אֶלְעָזָר: Rabbi Elʿazar said: שֶׁכִּסְּתָה פָּנֶיהָ בְּבֵית חָמִיהָ. that she covered her face in the house of her father-in-law. דְּאָמַר רַבִּי שְׁמוּאֵל בַּר נַחְמָנִי אָמַר רַבִּי יוֹנָתָן: for Rabbi Shemuʾel bar Naḥmani said, Rabbi Yonatan said: כׇּל כַּלָּה שֶׁהִיא צְנוּעָה בְּבֵית חָמִיהָ — זוֹכָה וְיוֹצְאִין מִמֶּנָּה מְלָכִים וּנְבִיאִים. any bride who is modest in the house of her father-in-law—merits, and kings and prophets come out from her. מְנָלַן — מִתָּמָר. from where do we know it—from Tamar. נְבִיאִים — דִּכְתִיב: ״חֲזוֹן יְשַׁעְיָהוּ בֶן אָמוֹץ״. prophets—as it is written: “The vision of Yeshaʿyahu son of Amotz.” מְלָכִים — מִדָּוִד. kings—from David. וְאָמַר רַבִּי לֵוִי: and Rabbi Levi said: דָּבָר זֶה מָסוֹרֶת בְּיָדֵינוּ מֵאֲבוֹתֵינוּ: this matter is a tradition in our hand from our fathers: אָמוֹץ וַאֲמַצְיָה — אַחִים הֲווֹ. Amotz and Amatzya—they were brothers.</t>
  </si>
  <si>
    <t>אָמַר רַבִּי חָמָא בְּרַבִּי חֲנִינָא: כָּל הָעוֹשֶׂה דָּבָר וְלֹא גְּמָרוֹ, וּבָא אַחֵר וּגְמָרוֹ — מַעֲלֶה עָלָיו הַכָּתוּב עַל שֶׁגְּמָרוֹ כְּאִילּוּ עֲשָׂאוֹ.</t>
  </si>
  <si>
    <t>Rabbi Ḥama, son of Rabbi Ḥanina, says: Anyone who performs a matter but does not complete it, and then another comes and completes it, the verse ascribes credit to the one who completed it as if he had performed</t>
  </si>
  <si>
    <t>Said Rabbi Ḥama son of Rabbi Ḥanina: Anyone who does a matter and does not complete it, and another comes and completes it - the Scripture credits him as if he had done it.</t>
  </si>
  <si>
    <t>אָמַר רַבִּי חָמָא בְּרַבִּי חֲנִינָא: Rabbi Ḥama son of Rabbi Ḥanina said: כָּל הָעוֹשֶׂה דָּבָר וְלֹא גְּמָרוֹ, anyone who does a matter and does not complete it, וּבָא אַחֵר וּגְמָרוֹ — and another comes and completes it— מַעֲלֶה עָלָיו הַכָּתוּב עַל שֶׁגְּמָרוֹ כְּאִילּוּ עֲשָׂאוֹ. Scripture credits it to the one who completed it as though he did it.</t>
  </si>
  <si>
    <t>״וְאֶת פּוֹשְׁעִים נִמְנָה״ — שֶׁנִּמְנָה עִם מֵתֵי מִדְבָּר. ״וְהוּא חֵטְא רַבִּים נָשָׂא״ — שֶׁכִּיפֵּר עַל מַעֲשֵׂה הָעֵגֶל. ״וְלַפֹּשְׁעִים יַפְגִּיעַ״ — שֶׁבִּיקֵּשׁ רַחֲמִים עַל פּוֹשְׁעֵי יִשְׂרָאֵל שֶׁיַּחְזְרוּ בִּתְשׁוּבָה. וְאֵין פְּגִיעָה אֶלָּא תְּפִלָּה, שֶׁנֶּאֱמַר: ״וְאַתָּה אַל תִּתְפַּלֵּל בְּעַד הָעָם הַזֶּה וְאַל תִּשָּׂא בַעֲדָם רִנָּה וּתְפִלָּה וְאַל תִּפְגַּע בִּי״.</t>
  </si>
  <si>
    <t>“And was numbered with the transgressors,” that he was counted among those who died in the desert, “Yet he bore the sin of many,” as he atoned for the incident of the Golden Calf. “And made intercession [ yafgia ] for the transgressors,” as he requested mercy for the sinners of Israel that they should engage in repentance. And pegia nothing other prayer, as it is stated: “Therefore pray not you for this people, neither lift up cry nor prayer for them, neither make intercession [ tifga ] to Me;</t>
  </si>
  <si>
    <t>"And for the transgressors he shall be numbered" — that he was counted among the dead of the wilderness. "And he bore the sin of many" — that he atoned for the incident of the calf. "And for the transgressors he shall intercede" — that he sought mercy for the sinners of Israel that they may repent. And intercession is nothing but prayer, as it is stated: "Therefore do not pray for this people, nor lift up a cry or prayer for them, nor make intercession to Me."</t>
  </si>
  <si>
    <t>“and with transgressors he was numbered” — that he was numbered with the dead of the wilderness. “and he bore the sin of many” — that he atoned for the deed of the Calf. “and for the transgressors he will intercede” — that he sought mercy for the transgressors of Yisrael, that they return in repentance. And intercession is nothing other than prayer, as it is stated: “and you, do not pray on behalf of this people, and do not lift up on their behalf song and prayer, and do not intercede with Me.”</t>
  </si>
  <si>
    <t>מַאי ״יָד לְיָד לֹא יִנָּקֶה״? אָמַר רַב: כׇּל הַבָּא עַל אֵשֶׁת אִישׁ, אֲפִילּוּ הִקְנָהוּ לְהַקָּדוֹשׁ בָּרוּךְ הוּא שָׁמַיִם וָאָרֶץ כְּאַבְרָהָם אָבִינוּ, דִּכְתִיב בֵּיהּ: ״הֲרִימֹתִי יָדִי אֶל ה׳ אֵל עֶלְיוֹן קֹנֵה שָׁמַיִם וָאָרֶץ״ — לֹא יִנָּקֶה מִדִּינָהּ שֶׁל גֵּיהִנָּם.</t>
  </si>
  <si>
    <t>What “Hand to hand, he shall not be unpunished” Rav says: Anyone who engages in sexual intercourse with an adulteress, even he attributed possession of heaven and earth to the Holy One, Blessed be He, just as Abraham our forefather that it is written with regard to him: “I have lifted up my hand to the Lord, God Most High, Maker of heaven and earth” he will not be unpunished from the judgment of Gehenna.</t>
  </si>
  <si>
    <t>What is the meaning of "hand to hand will not be cleared"? Rav said: Anyone who engages in relations with a married woman, even if he acquires her for the Holy One, blessed be He, like our forefather Abraham, as it is written about him: "I have raised my hand to the Lord, God Most High, the Possessor of heaven and earth" - he will not be cleared from the judgment of Gehenna.</t>
  </si>
  <si>
    <t>What is “hand to hand he shall not be cleansed”? Rav said: Anyone who comes upon a married woman, even if he acquired for the Holy One, blessed be He, heaven and earth like Avraham our father, as it is written about him: “I have lifted up my hand to the LORD, God Most High, Possessor of heaven and earth” — he shall not be cleansed from the judgment of Gehinnom.</t>
  </si>
  <si>
    <t>אִינִי? וְהָאָמַר רָבָא: שָׁלֹשׁ(ה) כּוֹסוֹת הָאֲמוּרוֹת בְּמִצְרַיִם, לָמָּה? אַחַת שֶׁשָּׁתָת בִּימֵי מֹשֶׁה, וְאַחַת שֶׁשָּׁתָת בִּימֵי פַּרְעֹה נְכֹה, וְאַחַת שֶׁעֲתִידָה לִשְׁתּוֹת עִם חַבְרוֹתֶיהָ!</t>
  </si>
  <si>
    <t>Is that so? But didn’t Rava say: Why three cups that are stated with regard to Egypt One that it drank in the days of Moses one that it drank in the days of Pharaoh Neco, and one that it will drink in the future with its companions,</t>
  </si>
  <si>
    <t>I? And it was said by Rava: Three cups mentioned in Egypt, why? One that he drank in the days of Moses, and one that he drank in the days of Pharaoh the smiter, and one that he will drink in the future with his companions!</t>
  </si>
  <si>
    <t>Indeed? But did not Rava say: The three cups that are stated in Miṣrayim, why? One that she drank in the days of Moshe, and one that she drank in the days of Par‘oh Nekho, and one that she is destined to drink with her companions!</t>
  </si>
  <si>
    <t>הָיָה נוֹטֵל אֶת מִנְחָתָהּ מִתּוֹךְ כְּפִיפָה מִצְרִית, וְנוֹתְנָהּ לְתוֹךְ כְּלִי שָׁרֵת, וְנוֹתְנָהּ עַל יָדָהּ, וְכֹהֵן מַנִּיחַ יָדוֹ מִתַּחְתֶּיהָ וּמְנִיפָהּ. הֵנִיף וְהִגִּישׁ, קָמַץ וְהִקְטִיר, וְהַשְּׁאָר נֶאֱכָל לַכֹּהֲנִים.</t>
  </si>
  <si>
    <t>He would take her meal-offering out of Egyptian wicker basket and would put it into a service vessel and place it on her hand. And priest place his hand underneath hers and wave it waved and brought near removed a handful and burned and the remainder was eaten by the priests.</t>
  </si>
  <si>
    <t>He would take her meal offering from within an Egyptian basket, and place it into a service vessel, and place it on her hand, and the priest would place his hand beneath it and wave it. He waved and presented it, gathered it and offered it up in smoke, and the remainder was eaten by the priests.</t>
  </si>
  <si>
    <t>He would be taking her minchah from within an Egyptian basket, and placing it into a kli sharet, and placing it upon her hand, and a kohen places his hand beneath hers and waves it. He waved and brought-near, he took-a-handful and caused-to-go-up-in-smoke, and the remainder is eaten by the kohanim.</t>
  </si>
  <si>
    <t>וְאִית דְּאָמַר, כְּדִכְתִיב: ״וָאֵרֵד בֵּית הַיּוֹצֵר וְהִנֵּה הוּא עוֹשֶׂה מְלָאכָה עַל הָאׇבְנָיִם״, מָה יוֹצֵר זֶה — יָרֵךְ מִכָּאן וְיָרֵךְ מִכָּאן וְסַדָּן בָּאֶמְצַע, אַף אִשָּׁה — יָרֵךְ מִכָּאן וְיָרֵךְ מִכָּאן וְהַוָּלָד בָּאֶמְצַע.</t>
  </si>
  <si>
    <t>And there are those who say As it is written: “So I went down to the potter’s shop, and behold, he was at his work on the wheels [ ovnayim ]” Just as this potter thigh here and thigh there and the block is in the middle, so too, a woman thigh here and thigh there and the newborn is in the middle.</t>
  </si>
  <si>
    <t>And there are those who say, as it is written: "And I went down to the potter's house, and behold, he was working at the wheel." What is this potter? One leg here and one leg there, and the private parts in the middle, so too a woman - one leg here and one leg there, and the fetus in the middle.</t>
  </si>
  <si>
    <t>And there is that who says, as it is written: “And I went down to the house of the potter, and behold he was doing work upon the stones”; just as this potter — thigh from here and thigh from here and the anvil in the middle, so too a woman — thigh from here and thigh from here and the fetus in the middle.</t>
  </si>
  <si>
    <t>מַתְנִי׳ שִׁמְשׁוֹן הָלַךְ אַחַר עֵינָיו — לְפִיכָךְ נִקְּרוּ פְּלִשְׁתִּים אֶת עֵינָיו, שֶׁנֶּאֱמַר: ״וַיֹּאחֲזוּהוּ פְלִשְׁתִּים וַיְנַקְּרוּ אֶת עֵינָיו״.</t>
  </si>
  <si>
    <t>Samson followed his eyes, therefore the Philistines gouged out his eyes, as it is stated: “And the Philistines laid hold on him, and put out his eyes”</t>
  </si>
  <si>
    <t>The Mishnah teaches: "Shimshon went after his eyes" - therefore, the Philistines gouged out his eyes, as it is stated: "And the Philistines seized him and gouged out his eyes."</t>
  </si>
  <si>
    <t>**Mishnah:** Shimshon went after his eyes — therefore the Pelishtim gouged out his eyes, as it is stated: “And the Pelishtim seized him and gouged out his eyes.”</t>
  </si>
  <si>
    <t>הָיָה מַשְׁקָהּ וְאַחַר כָּךְ מַקְרִיב אֶת מִנְחָתָהּ. רַבִּי שִׁמְעוֹן אוֹמֵר: מַקְרִיב אֶת מִנְחָתָהּ וְאַחַר כָּךְ הָיָה מַשְׁקָהּ, שֶׁנֶּאֱמַר: ״וְאַחַר יַשְׁקֶה אֶת הָאִשָּׁה אֶת הַמָּיִם״. אִם הִשְׁקָהּ וְאַחַר כָּךְ הִקְרִיב אֶת מִנְחָתָהּ — כְּשֵׁרָה.</t>
  </si>
  <si>
    <t>would force to drink and afterward he would sacrifice her meal-offering. Rabbi Shimon says: sacrifice her meal-offering and afterward he would force her to drink, as it is stated: and afterward he shall make the woman drink the water” if forced her to drink and afterward sacrificed her meal-offering, valid.</t>
  </si>
  <si>
    <t>He would give her to drink, and afterwards bring her offering. Rabbi Shimon says: He brings her offering and afterwards gives her to drink, as it is stated: "And afterwards he shall make the woman drink the water." If he gave her to drink and afterwards brought her offering - it is valid.</t>
  </si>
  <si>
    <t>He would give her to drink, and afterward he would offer her minḥah. Rabbi Shim‘on says: He offers her minḥah, and afterward he would give her to drink, as it is stated: “And afterward he shall give the woman the water to drink.” If he gave her to drink and afterward he offered her minḥah — it is valid.</t>
  </si>
  <si>
    <t>״וַיֹּאמֶר מֶלֶךְ מִצְרַיִם לַמְיַלְּדוֹת הָעִבְרִיּוֹת וְגוֹ׳״. רַב וּשְׁמוּאֵל, חַד אָמַר: אִשָּׁה וּבִתָּהּ, וְחַד אָמַר: כַּלָּה וַחֲמוֹתָהּ. מַאן דְּאָמַר אִשָּׁה וּבִתָּהּ — יוֹכֶבֶד וּמִרְיָם, וּמַאן דְּאָמַר כַּלָּה וַחֲמוֹתָהּ — יוֹכֶבֶד וֶאֱלִישֶׁבַע.</t>
  </si>
  <si>
    <t>“And the king of Egypt spoke to the Hebrew midwives, Rav and Shmuel One says a woman and her daughter, and one says a daughter-in-law and her mother-in-law. one who says a woman and her daughter, Jochebed, and Miriam. And one who says a daughter-in-law and her mother-in-law, Jochebed and Elisheba,</t>
  </si>
  <si>
    <t>"And the king of Egypt said to the Hebrew midwives, etc." Rav and Shmuel, one said: a woman and her daughter, and one said: a bride and her mother-in-law. The one who said a woman and her daughter - Yocheved and Miriam, and the one who said a bride and her mother-in-law - Yocheved and Elisheva.</t>
  </si>
  <si>
    <t>“‘And the king of Egypt said to the Hebrew midwives, etc.’” Rav and Shmuel—one said: a woman and her daughter, and one said: a daughter-in-law and her mother-in-law. The one who said a woman and her daughter—Yokheved and Miryam; and the one who said a daughter-in-law and her mother-in-law—Yokheved and Elisheva.</t>
  </si>
  <si>
    <t>עַל מִי לָנוּ לְהִשָּׁעֵן עַל אָבִינוּ שֶׁבַּשָּׁמַיִם.</t>
  </si>
  <si>
    <t>Upon whom for us to rely? upon our Father in Heaven.</t>
  </si>
  <si>
    <t>On whom shall we rely? On our Father in Heaven.</t>
  </si>
  <si>
    <t>Upon whom have we to rely? Upon Avinu shebashamayim.</t>
  </si>
  <si>
    <t>וּמְסַלֵּק אֶת הַלְּבוֹנָה לְצַד אֶחָד, וְקוֹמֵץ מִמָּקוֹם שֶׁנִּתְרַבָּה שַׁמְנָהּ וְנוֹתְנוֹ לְתוֹךְ כְּלִי שָׁרֵת, וּמְקַדְּשׁוֹ בִּכְלִי שָׁרֵת. וּמְלַקֵּט אֶת לְבוֹנָתָהּ וְנוֹתְנָהּ עַל גַּבָּיו, וּמַעֲלֶה אוֹתוֹ לְגַבֵּי מִזְבֵּחַ, וּמַעֲלֵהוּ וּמַקְטִירוֹ בִּכְלִי שָׁרֵת, וּמוֹלְחוֹ, וְנוֹתְנוֹ עַל גַּבֵּי הָאִישִּׁים.</t>
  </si>
  <si>
    <t>And removes the frankincense to one side, and he removes a handful from the place where its oil has accumulated and he puts into a service vessel and consecrates it in service vessel. And he gathers its frankincense and puts it on top of and brings it up onto the altar. And he brings it up and burns it in service vessel; and he salts it and places it upon the fires.</t>
  </si>
  <si>
    <t>He removes the frankincense to one side, and gathers from the place where its fat has accumulated and places it into a service vessel, and sanctifies it in a service vessel. And he collects its frankincense and places it on its coals, and brings it up to the top of the altar, and brings it up and offers it in a service vessel, and salts it, and places it on the coals.</t>
  </si>
  <si>
    <t>And he removes the *levonah* to one side, and he takes a *kometz* from a place where its oil has increased, and he puts it into a *keli sharet*, and he sanctifies it with a *keli sharet*. And he gathers its *levonah* and he puts it upon its top, and he brings it up upon the *mizbe’ach*, and he brings it up and he burns it as incense with a *keli sharet*, and he salts it, and he puts it upon the fires.</t>
  </si>
  <si>
    <t>(מֵאֵילּוּ מֵאֵילּוּ) כֵּיוָן שֶׁהִגִּיעוּ לִמְעָרַת הַמַּכְפֵּלָה, אֲתָא עֵשָׂו קָא מְעַכֵּב, אָמַר לָהֶן: ״מַמְרֵא קִרְיַת הָאַרְבַּע הִיא חֶבְרוֹן״, וְאָמַר רַבִּי יִצְחָק: קִרְיַת אַרְבַּע — אַרְבַּע זוּגוֹת הָיוּ: אָדָם וְחַוָּה, אַבְרָהָם וְשָׂרָה, יִצְחָק וְרִבְקָה, יַעֲקֹב וְלֵאָה. אִיהוּ קַבְרַהּ לְלֵאָה בְּדִידֵיהּ, וְהַאי דְּפָיֵישׁ — דִּידִי הוּא.</t>
  </si>
  <si>
    <t>Once they reached the Cave of Machpelah, Esau came and was preventing them He said to them: Mamre, to Kiryat Arba, the same is Hebron, And Rabbi Yitzḥak says: Kiryat Arba were four couples Adam and Eve, Abraham and Sarah, Isaac and Rebecca, Jacob and Leah. buried Leah in his and the that is remaining is mine.</t>
  </si>
  <si>
    <t>(From which, from which) Once they arrived at the Cave of Machpelah, Esau came and delayed them. He said to them: "The bitterness of the city of the four is Hebron." And Rabbi Yitzchak said: The city of the four - there were four pairs: Adam and Eve, Abraham and Sarah, Isaac and Rebecca, Jacob and Leah. He buried Leah by herself, and this that is double - it is mine.</t>
  </si>
  <si>
    <t>(From these, from these) when they arrived at the Cave of the Machpelah, Esav came, was holding back. He said to them: “Mamre, Kiryat ha-Arba, it is Chevron,” and Rabbi Yitzchak said: Kiryat Arba — four pairs there were: Adam and Chavah, Avraham and Sarah, Yitzchak and Rivkah, Yaakov and Leah. He buried Leah in his own, and this that remains — it is mine.</t>
  </si>
  <si>
    <t>הָיָה מֵבִיא אֶת מִנְחָתָהּ בְּתוֹךְ כְּפִיפָה מִצְרִית וְנוֹתְנָהּ עַל יָדֶיהָ כְּדֵי לְיַגְּעָהּ.</t>
  </si>
  <si>
    <t>would bring meal-offering in an Egyptian wicker basket and he would place in her hands in order to fatigue her.</t>
  </si>
  <si>
    <t>He would bring her meal-offering in an Egyptian basket and place it on her hands in order to wave it.</t>
  </si>
  <si>
    <t>He would bring her minḥah within an Egyptian basket, and place it upon her hands, in order to weary her.</t>
  </si>
  <si>
    <t>וְהַקָּדוֹשׁ בָּרוּךְ הוּא שׁוֹלֵחַ מִשְּׁמֵי מָרוֹם מִי שֶׁמְּנַקֵּיר וּמְשַׁפֵּיר אוֹתָן, כְּחַיָּה זוֹ שֶׁמְּשַׁפֶּרֶת אֶת הַוָּלָד, שֶׁנֶּאֱמַר: ״וּמוֹלְדוֹתַיִךְ בְּיוֹם הוּלֶּדֶת אוֹתָךְ לֹא כׇרַּת שׇׁרֵּךְ וּבְמַיִם לֹא רֻחַצְתְּ לְמִשְׁעִי וְגוֹ׳״. וּמְלַקֵּט לָהֶן שְׁנֵי עִגּוּלִין, אֶחָד שֶׁל שֶׁמֶן וְאֶחָד שֶׁל דְּבַשׁ, שֶׁנֶּאֱמַר: ״וַיֵּנִקֵהוּ דְבַשׁ מִסֶּלַע וְשֶׁמֶן וְגוֹ׳״.</t>
  </si>
  <si>
    <t>And the Holy One, Blessed be He, would send from the heavens above who would clean and prepare just as a midwife prepares the newborn, as it is stated: “And as for your birth, on the day you were born, your navel was not cut nor were you washed with water for cleansing; And would gather for them two round One of oil and one of honey, as it is stated: “And He would suckle them with honey from a crag and oil</t>
  </si>
  <si>
    <t>The Holy One, blessed be He, sends from the heights of heaven one who pierces and beautifies them, like this animal that beautifies the newborn, as it is said: "And as for your birth, on the day you were born your navel cord was not cut, nor were you washed with water for cleansing, nor rubbed with salt, etc." And he gathers for her two cakes, one of oil and one of honey, as it is said: "He nourished him with honey from the rock, and oil, etc."</t>
  </si>
  <si>
    <t>And the HaKadosh Barukh Hu sends from the heavens on high one who picks-clean and beautifies them, like this animal that beautifies the newborn, as it is said: “And your births, on the day you were born, your navel was not cut, and in water you were not washed for smoothing, etc.” And he gathers for them two round-cakes, one of oil and one of honey, as it is said: “And He made him suck honey from the rock, and oil, etc.”</t>
  </si>
  <si>
    <t>אָמַר רָבָא: דְּרַבִּי יְהוּדָה אַדְּרַבִּי יְהוּדָה קַשְׁיָא, דְּרַבָּנַן אַדְּרַבָּנַן לָא קַשְׁיָא? אֶלָּא אָמַר רָבָא: דְּרַבִּי יְהוּדָה אַדְּרַבִּי יְהוּדָה לָא קַשְׁיָא, כִּדְשַׁנִּין.</t>
  </si>
  <si>
    <t>Rava said: of Rabbi Yehuda of Rabbi Yehuda difficult, of the Rabbis of the Rabbis not difficult? Rather, Rava said: of Rabbi Yehuda of Rabbi Yehuda not difficult, as we answered</t>
  </si>
  <si>
    <t>Rava said: Regarding Rabbi Yehuda, it is difficult; regarding the Rabbis, it is not difficult? Rather, Rava said: Regarding Rabbi Yehuda, it is not difficult, as we explained.</t>
  </si>
  <si>
    <t>אָמַר רָבָא: Rava said: דְּרַבִּי יְהוּדָה אַדְּרַבִּי יְהוּדָה קַשְׁיָא, that of Rabbi Yehuda against Rabbi Yehuda is difficult, דְּרַבָּנַן אַדְּרַבָּנַן לָא קַשְׁיָא? that of the Rabbanan against the Rabbanan is not difficult? אֶלָּא אָמַר רָבָא: Rather, Rava said: דְּרַבִּי יְהוּדָה אַדְּרַבִּי יְהוּדָה לָא קַשְׁיָא, that of Rabbi Yehuda against Rabbi Yehuda is not difficult, כִּדְשַׁנִּין. as we answered.</t>
  </si>
  <si>
    <t>גַּסְטְרָא שֶׁל בֵּית פְּעוֹר: הַרְאֵנוּ הֵיכָן מֹשֶׁה קָבוּר. עָמְדוּ לְמַעְלָה — נִדְמָה לָהֶם לְמַטָּה, לְמַטָּה — נִדְמָה לָהֶם לְמַעְלָה. נֶחְלְקוּ לִשְׁתֵּי כִיתּוֹת, אוֹתָן שֶׁעוֹמְדִים לְמַעְלָה — נִדְמָה לָהֶן לְמַטָּה, לְמַטָּה — נִדְמָה לָהֶן לְמַעְלָה, לְקַיֵּים מַה שֶּׁנֶּאֱמַר ״וְלֹא יָדַע אִישׁ אֶת קְבֻרָתוֹ״.</t>
  </si>
  <si>
    <t>the garrison [ gastera ] of Beth Peor Show us where Moses is buried. stood above it appeared to them below below, it appeared to them above. They divided into two groups, those who were standing above, appeared to them below; below, appeared to them to be above, to fulfill that which is stated: “And no man knows of his grave</t>
  </si>
  <si>
    <t>The chamber of the house of Peor: Show us where Moses is buried. They stood above - it appeared to them as below, below - it appeared to them as above. They divided into two groups, those standing above - it appeared to them as below, below - it appeared to them as above, to fulfill what is said, "And no man knows his burial place."</t>
  </si>
  <si>
    <t>Gastera of Beit Pe’or: Show us where Moshe is buried. They stood above — it appeared to them below; below — it appeared to them above. They divided into two groups: those who stand above — it appeared to them below; below — it appeared to them above, to fulfill that which is said: “and no man knew his burial.”</t>
  </si>
  <si>
    <t>רַבִּי יְהוֹשֻׁעַ אוֹמֵר: כְּדֵי מְזִיגַת הַכּוֹס. בֶּן עַזַּאי אוֹמֵר: כְּדֵי לִשְׁתּוֹתוֹ. רַבִּי עֲקִיבָא אוֹמֵר: כְּדֵי לִצְלוֹת בֵּיצָה. רַבִּי יְהוּדָה בֶּן בְּתֵירָא אוֹמֵר: כְּדֵי לְגוֹמְעָהּ.</t>
  </si>
  <si>
    <t>Rabbi Yehoshua says: equivalent mixing a cup Ben Azzai says: equivalent to drink Rabbi Akiva says: equivalent to roast an egg. Rabbi Yehuda ben Beteira says: equivalent to swallow it.</t>
  </si>
  <si>
    <t>Rabbi Yehoshua says: the amount for pouring the cup. Ben Azzai says: the amount for drinking it. Rabbi Akiva says: the amount for roasting an egg. Rabbi Yehuda ben Beteira says: the amount for stealing it.</t>
  </si>
  <si>
    <t>Rabbi Yehoshu’a says: enough for the mixing of the cup. Ben Azzai says: enough to drink it. Rabbi Akiva says: enough to roast an egg. Rabbi Yehudah ben Beteira says: enough for a gulp.</t>
  </si>
  <si>
    <t>רַב יוֹסֵף בַּר חָמָא אָמַר רַב שֵׁשֶׁת: זֶה הַמַּכְרִיעַ אֲחֵרִים בְּאוֹרְחוֹתָיו. רַבִּי זְרִיקָא אָמַר רַב הוּנָא: זֶה הַמֵּיקֵל לְעַצְמוֹ וּמַחְמִיר לַאֲחֵרִים. עוּלָּא אָמַר: זֶה</t>
  </si>
  <si>
    <t>Rav Yosef bar Ḥama Rav Sheshet says: one who persuades others with his ways, Rabbi Zerika Rav Huna says: one who is lenient for himself and strict for others. Ulla says: This</t>
  </si>
  <si>
    <t>Rav Yosef bar Chama said Rav Sheshet: This is one who decides for others in his ways. Rabbi Zerika said Rav Huna: This is one who is lenient for himself and strict for others. Ula said: This</t>
  </si>
  <si>
    <t>Rav Yosef bar Ḥama said Rav Sheshet: This is the one who decides others in his ways. Rabbi Zerika said Rav Huna: This is the one who is lenient for himself and stringent for others. Ulla said: This is.</t>
  </si>
  <si>
    <t>רַב הוּנָא אַשְׁכַּח תּוֹמַרְתָּא דְּחִינוּנִיתָא, שַׁקְלַהּ, כַּרְכַהּ בְּסוּדָרֵיהּ. אֲתָא רַבָּה בְּרֵיהּ, אֲמַר לֵיהּ: מוֹרְחִינָא רֵיחָא דְּחִינוּנִיתָא. אֲמַר לֵיהּ: בְּנִי, טׇהֳרָה יֵשׁ בְּךָ. יַהֲבַהּ נִיהֲלֵיהּ. אַדְּהָכִי אֲתָא אַבָּא בְּרֵיהּ, שַׁקְלַהּ, יַהֲבַהּ נִיהֲלֵיהּ. אֲמַר לֵיהּ: בְּנִי, שִׂמַּחְתָּ אֶת לִבִּי, וְהִקְהֵיתָה אֶת שִׁינַּי. הַיְינוּ דְּאָמְרִי אִינָשֵׁי: רַחֲמֵי דְּאַבָּא — אַבְּנֵי, רַחֲמֵי דִּבְנֵי — אַבְּנֵי דְּהָווּ לֵיהּ.</t>
  </si>
  <si>
    <t>Rav Huna found a fragrant date. He took it and wrapped it in his shawl. Rabba, his son, came said to him: I smell the aroma of a fragrant said to him: My son, there is purity in you, He gave it to him. Meanwhile, Abba, son, arrived. took gave it to said to My son, you have made my heart rejoice and you have blunted my teeth, This that people say: The love of a father is for the sons; the love of the sons is for their own sons,</t>
  </si>
  <si>
    <t>Rav Huna found a myrtle branch of Alexandrian type, he took it, wrapped it in its bindings. Rabba, his son, came, said to him: I smell the fragrance of Alexandrian myrtle. He said to him: My son, you have purity. He gave it to him. Meanwhile, Abba, his father, came, took it, gave it to him. He said to him: My son, you have gladdened my heart, and you have refreshed my teeth. This is what people say: The mercies of a father - stones, the mercies of a son - stones that were given to him.</t>
  </si>
  <si>
    <t>Rav Huna found a basket of ḥinunitā; he took it, he wrapped it in his sudar. Rabba his son came; he said to him: I smell the smell of ḥinunitā. He said to him: My son, there is purity in you. He gave it to him. Meanwhile Abba his son came; he took it, he gave it to him. He said to him: My son, you have gladdened my heart, and you have blunted my teeth. This is what people say: the mercies of a father—upon sons; the mercies of sons—upon the sons that he has.</t>
  </si>
  <si>
    <t>״וְהִנֵּה נַעַר בֹּכֶה״. קָרֵי לֵיהּ ״יֶלֶד״, וְקָרֵי לֵיהּ ״נַעַר״. תָּנָא: הוּא יֶלֶד וְקוֹלוֹ כְּנַעַר, דִּבְרֵי רַבִּי יְהוּדָה. אָמַר לוֹ רַבִּי נְחֶמְיָה: אִם כֵּן, עֲשִׂיתוֹ לְמֹשֶׁה רַבֵּינוּ בַּעַל מוּם. אֶלָּא, מְלַמֵּד שֶׁעָשְׂתָה לוֹ אִמּוֹ חוּפַּת נְעוּרִים בַּתֵּיבָה, אָמְרָה: שֶׁמָּא לֹא אֶזְכֶּה לְחוּפָּתוֹ.</t>
  </si>
  <si>
    <t>and behold a lad [ na’ar ] that wept” calls him “a child [ yeled ],” and calls him “a lad [ na’ar ].” teaches: He is a child but his voice as a lad; the statement of Rabbi Yehuda. Rabbi Neḥemya said to him: If so, you made Moses our teacher blemished, Rather, teaches that his mother made a canopy of youth, for him in the ark, she said: Perhaps I will not merit to his canopy.</t>
  </si>
  <si>
    <t>"And behold, a youth weeping." It is called "child," and it is called "youth." It was taught: He is a child, and his voice is like that of a youth, the words of Rabbi Yehuda. Rabbi Nechemiah said to him: If so, you have made Moses our teacher blemished. Rather, it teaches that his mother made for him a box of reeds in the ark, she said: Perhaps I will not merit his being placed in the ark.</t>
  </si>
  <si>
    <t>“‘And behold, the na‘ar was crying.’ He calls him ‘yeled,’ and he calls him ‘na‘ar.’ It was taught: he is a yeled and his voice is like a na‘ar, the words of Rabbi Yehudah. Rabbi Neḥemya said to him: if so, you have made Moshe Rabbenu a ba‘al mum. Rather, it teaches that his mother made for him a ḥuppat ne‘urim in the teivah; she said: perhaps I will not merit his ḥuppah.”</t>
  </si>
  <si>
    <t>אֲפִילּוּ תֵּימָא רַבִּי יוֹסֵי בְּרַבִּי יְהוּדָה, אֵימַר דְּאָמַר רַבִּי יוֹסֵי בְּרַבִּי יְהוּדָה בַּחֲשׁוּבִין, בִּפְחוּתִין מִי אָמַר? לֵית לֵיהּ לְרַבִּי יוֹסֵי בְּרַבִּי יְהוּדָה ״הַקְרִיבֵהוּ נָא לְפֶחָתֶךָ״?!</t>
  </si>
  <si>
    <t>You even say that Rabbi Yosei, son of Rabbi Yehuda. Say that Rabbi Yosei, son of Rabbi Yehuda, says with regard to superior does he say with regard to lesser Doesn’t Rabbi Yosei, son of Rabbi Yehuda, hold present it now unto your governor,</t>
  </si>
  <si>
    <t>Even if you say it is Rabbi Yosei, son of Rabbi Yehuda, should we say that Rabbi Yosei, son of Rabbi Yehuda, said regarding valuable items, who said it is for less valuable items? Does Rabbi Yosei, son of Rabbi Yehuda, not have the verse "Bring it now to your governor"?!</t>
  </si>
  <si>
    <t>Even if you will say: Rabbi Yosei b’Rabbi Yehudah, say that Rabbi Yosei b’Rabbi Yehudah said it with important ones; with inferior ones did he say? He does not have, for Rabbi Yosei b’Rabbi Yehudah, “Present it, please, to your governor”?!</t>
  </si>
  <si>
    <t>יֵשׁ לָהּ זְכוּת הָיְתָה וְכוּ׳. מַנִּי מַתְנִיתִין? לָא אַבָּא יוֹסֵי בֶּן חָנָן, וְלָא רַבִּי אֶלְעָזָר בֶּן יִצְחָק אִישׁ כְּפַר דָּרוֹם, וְלֹא רַבִּי יִשְׁמָעֵאל.</t>
  </si>
  <si>
    <t>If she has merit, it Whose the mishna? not Abba Yosei ben Ḥanan, and not Rabbi Elazar ben Yitzḥak of Kefar Darom, and not Rabbi Yishmael.</t>
  </si>
  <si>
    <t>She had merit was and etc. Who is the Tanna? Not Abba Yosei ben Hanan, and not Rabbi Elazar ben Yitzhak man of Kfar Darom, and not Rabbi Yishmael.</t>
  </si>
  <si>
    <t>SHE HAS MERIT, etc. Who is our Mishnah? Not Abba Yosei ben Ḥanan, and not Rabbi Elʿazar ben Yitzḥak ish Kefar Darom, and not Rabbi Yishmaʿel.</t>
  </si>
  <si>
    <t>אָמַר רַבִּי יוֹחָנָן מִשּׁוּם רַבִּי שִׁמְעוֹן בֶּן יוֹחַי: כׇּל אָדָם שֶׁיֵּשׁ בּוֹ גַּסּוּת הָרוּחַ — כְּאִילּוּ עוֹבֵד עֲבוֹדָה זָרָה. כְּתִיב הָכָא: ״תּוֹעֲבַת ה׳ כׇּל גְּבַהּ לֵב״, וּכְתִיב הָתָם: ״וְלָא תָבִיא תוֹעֵבָה אֶל בֵּיתֶךָ״.</t>
  </si>
  <si>
    <t>Rabbi Yoḥanan says in the name of Rabbi Shimon ben Yoḥai: Any person who has arrogance within him as if he were an idol worshipper, it is written here: “Everyone that is proud in heart is an abomination to the Lord” and it is written there “And you shall not bring an abomination into your house”</t>
  </si>
  <si>
    <t>Said Rabbi Yochanan in the name of Rabbi Shimon ben Yochai: Any person who has haughtiness of spirit - it is as though he worships idols. It is written here: "An abomination of the Lord is every proud of heart," and it is written there: "And you shall not bring an abomination into your house."</t>
  </si>
  <si>
    <t>אָמַר רַבִּי יוֹחָנָן מִשּׁוּם רַבִּי שִׁמְעוֹן בֶּן יוֹחַי: Rabbi Yoḥanan said in the name of Rabbi Shim‘on ben Yoḥai: כׇּל אָדָם שֶׁיֵּשׁ בּוֹ גַּסּוּת הָרוּחַ — כְּאִילּוּ עוֹבֵד עֲבוֹדָה זָרָה. any person in whom there is haughtiness of spirit — it is as if he serves idolatry. כְּתִיב הָכָא: ״תּוֹעֲבַת ה׳ כׇּל גְּבַהּ לֵב״, and it is written here: “An abomination of the LORD is every one that is proud in heart,” וּכְתִיב הָתָם: ״וְלָא תָבִיא תוֹעֵבָה אֶל בֵּיתֶךָ״. and it is written there: “And you shall not bring an abomination into your house.”</t>
  </si>
  <si>
    <t>״וַתַּחְמֹל עָלָיו וַתֹּאמֶר מִיַּלְדֵי הָעִבְרִים זֶה״. מְנָא יָדְעָה? אָמַר רַבִּי יוֹסֵי בְּרַבִּי חֲנִינָא: שֶׁרָאֲתָה אוֹתוֹ מָהוּל.</t>
  </si>
  <si>
    <t>“And she had compassion on him, and said: This [ zeh ] is one of the Hebrews’ children” From where did she know Rabbi Yosei, son of Rabbi Ḥanina, says: As she saw he was circumcised.</t>
  </si>
  <si>
    <t>"And she had compassion on him and said, 'This is one of the Hebrews' children." How did she know? Rabbi Yosei, son of Rabbi Chanina, said: Because she saw that he was circumcised."</t>
  </si>
  <si>
    <t>“‘And she had compassion on him, and she said: This is one of the children of the Hebrews.’” From where did she know? Amar Rabbi Yosei be-Rabbi Ḥanina: that she saw him circumcised.</t>
  </si>
  <si>
    <t>דָּרֵשׁ רַב עַוִּירָא, זִמְנִין אָמַר לַהּ מִשְּׁמֵיהּ דְּרַבִּי אַמֵּי, וְזִמְנִין אָמַר לַהּ מִשְּׁמֵיהּ דְּרַבִּי אַסִּי: כׇּל הָאוֹכֵל לֶחֶם בְּלֹא נְטִילַת יָדַיִם — כְּאִילּוּ בָּא עַל אִשָּׁה זוֹנָה. שֶׁנֶּאֱמַר: ״כִּי בְעַד אִשָּׁה זוֹנָה עַד כִּכַּר לָחֶם״.</t>
  </si>
  <si>
    <t>Rav Avira interpreted homiletically; times he said in the name of Rabbi Ami and times he said it in the name of Rabbi Asi: anyone who eats bread without washing hands, as if engaged in sexual intercourse with a prostitute, as it is stated: “For on account of a harlot a man is brought to a loaf of bread.”</t>
  </si>
  <si>
    <t>Rav Avira expounded: Sometimes he said to her in the name of Rabbi Ammi, and sometimes he said to her in the name of Rabbi Assi: Anyone who eats bread without washing his hands - it is as if he had relations with a harlot. As it is stated: "For because of a harlot, a man is brought to a loaf of bread."</t>
  </si>
  <si>
    <t>Darash Rav Avira, sometimes he said it in the name of Rabbi Ammi, and sometimes he said it in the name of Rabbi Assi: Anyone who eats bread without netilat yadayim — it is as if he came upon a woman, a zonah. As it is said: “For on account of a woman, a zonah, one is brought to a loaf of bread.”</t>
  </si>
  <si>
    <t>וְאַל תִּתְמַהּ הֵיאַךְ בַּרְזֶל צָף, שֶׁהֲרֵי כְּתִיב: ״וַיְהִי הָאֶחָד מַפִּיל הַקּוֹרָה וְאֶת הַבַּרְזֶל נָפַל אֶל הַמָּיִם וְגוֹ׳ אֲהָהּ אֲדוֹנִי וְהוּא שָׁאוּל. וַיֹּאמֶר אִישׁ הָאֱלֹהִים אָנָה נָפָל וַיַּרְאֵהוּ אֶת הַמָּקוֹם וַיִּקְצׇב עֵץ וַיַּשְׁלֶךְ שָׁמָּה וַיָּצֶף הַבַּרְזֶל״. וַהֲלֹא דְּבָרִים קַל וָחוֹמֶר: וּמָה אֱלִישָׁע תַּלְמִידוֹ שֶׁל אֵלִיָּהוּ, וְאֵלִיָּהוּ תַּלְמִידוֹ שֶׁל מֹשֶׁה — צָף בַּרְזֶל מִפָּנָיו, מִפְּנֵי מֹשֶׁה רַבֵּינוּ — עַל אַחַת כַּמָּה וְכַמָּה.</t>
  </si>
  <si>
    <t>And do not wonder how iron float, as it is written “But as one was felling a beam, the ax head fell into the water; Alas, my master! For it was borrowed. And the man of God said: Where did it fall? And he showed him the place. And he cut down a stick, and cast it in there, and the iron floated up” And are matters not a fortiori : And just as Elisha, student of Elijah, and Elijah student of Moses, iron float before him, all the more so before Moses our teacher</t>
  </si>
  <si>
    <t>Talmudic text: And do not wonder how iron can float, for it is written: "And the iron head fell into the water, and he said, 'Alas, master! It was borrowed.'" And the man of God said, "Where did it fall?" And he showed him the place, and he cut a stick and threw it there, and the iron floated. And are these not logical arguments: If Elisha, the disciple of Elijah, and Elijah, the disciple of Moses, made iron float before him, how much more so before our teacher Moses - all the more so.</t>
  </si>
  <si>
    <t>And do not wonder how iron floated, for behold it is written: “And it came to pass, the one was felling the beam, and the iron fell into the water, and etc.: ‘Ahah, my lord! and it was borrowed.’ And the man of God said: ‘Where fell it?’ and he showed him the place. And he cut a tree, and he cast it there, and the iron floated.” And are they not matters of kal va-chomer: and just as Elisha, his disciple of Eliyahu, and Eliyahu his disciple of Moshe — iron floated from before him, from before Moshe Rabbenu — all the more so.</t>
  </si>
  <si>
    <t>רַבָּן שִׁמְעוֹן בֶּן גַּמְלִיאֵל אוֹמֵר מִשּׁוּם רַבִּי יְהוֹשֻׁעַ: מִיּוֹם שֶׁחָרַב בֵּית הַמִּקְדָּשׁ אֵין וְכוּ׳. אָמַר רָבָא: בְּכׇל יוֹם וָיוֹם מְרוּבָּה קִלְלָתוֹ מִשֶּׁל חֲבֵירוֹ, שֶׁנֶּאֱמַר: ״בַּבֹּקֶר תֹּאמַר מִי יִתֵּן עֶרֶב וּבָעֶרֶב תֹּאמַר מִי יִתֵּן בֹּקֶר״, הֵי בֹּקֶר? אִילֵימָא בֹּקֶר דְּלִמְחַר, מִי יָדַע מַאי הָוֵי? אֶלָּא דַּחֲלֵיף.</t>
  </si>
  <si>
    <t>Rabban Shimon ben Gamliel says in the name of Rabbi Yehoshua: From the day that the Temple was destroyed, there is no Rava says: Each and every day is more cursed than the previous one, as it is stated “In the morning you will say, would that it were evening, and in the evening you will say, would that it were morning” which morning If we say the following morning, does he know what will be Rather, that has passed;</t>
  </si>
  <si>
    <t>Rabban Shimon ben Gamliel says in the name of Rabbi Yehoshua: "From the day the Temple was destroyed, there is no..." Rava said: "Every day his curse is greater than his fellow's, as it is stated: 'In the morning you will say, 'If only it were evening!' and in the evening you will say, 'If only it were morning!'' Is it morning? If you say it is morning, perhaps tomorrow, who knows what will happen? Rather, it is a cycle."</t>
  </si>
  <si>
    <t>Rabban Shim‘on ben Gamli’el says in the name of Rabbi Yehoshu‘a: From the day that the Beit HaMikdash was destroyed, there is no, etc. Rava said: On each and every day its curse is greater than that of its fellow, as it is stated: “In the morning you shall say: Who will give evening, and in the evening you shall say: Who will give morning”; which morning? If we say the morning of tomorrow, who knows what will be? Rather, that which has passed.</t>
  </si>
  <si>
    <t>וּמְאַיְּימִין עָלֶיהָ וְכוּ׳. וּרְמִינְהוּ: כְּדֶרֶךְ שֶׁמְּאַיְּימִין עָלֶיהָ שֶׁלֹּא תִּשְׁתֶּה כָּךְ מְאַיְּימִין עָלֶיהָ שֶׁתִּשְׁתֶּה. אוֹמְרִים לָהּ: בִּתִּי, אִם בָּרוּר לָךְ הַדָּבָר שֶׁטְּהוֹרָה אַתְּ עִמְדִי עַל בּוּרְיִיךְ, וּשְׁתִי. לְפִי שֶׁאֵין מַיִם הַמָּרִים דּוֹמִין אֶלָּא לְסַם יָבֵשׁ שֶׁמּוּנָּח עַל בָּשָׂר חַי. אִם יֵשׁ שָׁם מַכָּה — מְחַלְחֵל וְיוֹרֵד, אֵין שָׁם מַכָּה — אֵינוֹ מוֹעִיל כְּלוּם.</t>
  </si>
  <si>
    <t>And they threaten her And raises a contradiction In the same manner that they threaten her so that she will not drink, so too, they threaten her so that she will drink, they say to her: My daughter, if the matter is clear to you that you are pure, arise for your clear and drink. because the bitter water is similar only to a dry poison placed on the flesh. If there is a wound penetrate and enter there is no wound there, it does not have any effect.</t>
  </si>
  <si>
    <t>"And they threaten her, etc." And they raised a dilemma: Just as when they threaten her not to drink, so too when they threaten her to drink. They say to her: 'My daughter, if the matter is clear to you that you are pure, stand on your rights, and drink.' Because bitter waters only resemble dry poison placed on living flesh. If there is a wound there - it will swell and descend, if there is no wound there - it will have no effect at all.</t>
  </si>
  <si>
    <t>AND THEY THREATEN HER, etc. And they raise a contradiction: Just as they threaten her that she should not drink, so they threaten her that she should drink. They say to her: My daughter, if the matter is clear to you that you are pure, stand on your clarity, and drink. For the bitter waters are comparable only to a dry drug that is placed upon living flesh. If there is there a wound — it penetrates and goes down; there is not there a wound — it does not avail anything.</t>
  </si>
  <si>
    <t>כֵּיצַד מְקַנֵּא לָהּ? אוֹמֵר לָהּ בִּפְנֵי שְׁנַיִם: ״אַל תְּדַבְּרִי עִם אִישׁ פְּלוֹנִי״, וְדִבְּרָה עִמּוֹ — עֲדַיִין הִיא מוּתֶּרֶת לְבֵיתָהּ וּמוּתֶּרֶת לֶאֱכוֹל בִּתְרוּמָה.</t>
  </si>
  <si>
    <t>How issue a warning to her says to her in the presence of two Do not speak with man so-and-so, and she spoke with him, she is still permitted to her home, and she is permitted to partake of teruma .</t>
  </si>
  <si>
    <t>How does he acquire her? He says to her in the presence of two: "Do not speak with so-and-so," and she speaks with him - she is still permitted to her husband and permitted to eat of the terumah.</t>
  </si>
  <si>
    <t>כֵּיצַד מְקַנֵּא לָהּ? — How does he warn her? אוֹמֵר לָהּ בִּפְנֵי שְׁנַיִם: ״אַל תְּדַבְּרִי עִם אִישׁ פְּלוֹנִי״ — He says to her in the presence of two: “Do not speak with so-and-so man,” וְדִבְּרָה עִמּוֹ — and she spoke with him — עֲדַיִין הִיא מוּתֶּרֶת לְבֵיתָהּ וּמוּתֶּרֶת לֶאֱכוֹל בִּתְרוּמָה — still she is permitted to her house and permitted to eat terumah.</t>
  </si>
  <si>
    <t>״וַיִּרְגַּז הַמֶּלֶךְ וַיַּעַל עַל עֲלִיַּית הַשַּׁעַר וַיֵּבְךְּ וְכֹה אָמַר בְּלֶכְתּוֹ בְּנִי אַבְשָׁלוֹם בְּנִי בְנִי אַבְשָׁלוֹם מִי יִתֵּן מוּתִי אֲנִי תַחְתֶּיךָ אַבְשָׁלוֹם בְּנִי בְנִי. וְהַמֶּלֶךְ לָאַט אֶת פָּנָיו וַיִּזְעַק הַמֶּלֶךְ קוֹל גָּדוֹל בְּנִי אַבְשָׁלוֹם אַבְשָׁלוֹם בְּנִי בְנִי״. הָנֵי תְּמָנְיָא ״בְּנִי״ לְמָה? שִׁבְעָה דְּאַסְּקֵיהּ מִשִּׁבְעָה מְדוֹרֵי גֵיהִנָּם, וְאִידַּךְ, אִיכָּא דְּאָמְרִי: דְּקָרֵיב רֵישֵׁיהּ לְגַבֵּי גוּפֵיהּ, וְאִיכָּא דְּאָמְרִי: דְּאַיְיתֵיהּ לְעָלְמָא דְּאָתֵי.</t>
  </si>
  <si>
    <t>“And the king was much moved, and went up to the chamber over the gate, and wept; and as he went about he said: O my son Absalom, my son, my son Absalom! Would I had died in your place, O Absalom, my son, my son” “And the king covered his face, and the king cried with a loud voice: O my son Absalom, O Absalom, my son, my son” Why these eight “my son” Seven which he raised him up from the seven chambers of Gehenna. And the other, some say that brought head close to body, and some say that brought to the World-to-Come.</t>
  </si>
  <si>
    <t>The king was enraged and went up to the upper chamber of the gate and wept, and thus he said as he went, "O my son Absalom, my son, my son Absalom! Would I had died instead of you, O Absalom, my son, my son!" And the king covered his face and cried out with a loud voice, "O my son Absalom, Absalom, my son, my son!" These are the reasons why he repeated "my son" seven times: because he saw him in seven compartments of Gehenna. And others say: because he brought his head close to his body, and others say: because he brought him to the world to come.</t>
  </si>
  <si>
    <t>“‘And the king trembled, and went up upon the upper chamber of the gate, and wept; and thus he said as he went: My son Avshalom, my son, my son Avshalom; who will give my death, I, instead of you, Avshalom, my son, my son. And the king covered his face, and the king cried with a great voice: My son Avshalom, Avshalom, my son, my son.’” These eight “my son,” for what? Seven, that he raised him up from seven chambers of Geihinnam; and the other—there are those who say: that he brought near his head to his body; and there are those who say: that he brought him to the world that comes.</t>
  </si>
  <si>
    <t>שִׁילֹה נוֹב וְגִבְעוֹן וּבֵית עוֹלָמִים.</t>
  </si>
  <si>
    <t>Shiloh, Nob, and Gibeon, and the Eternal House,</t>
  </si>
  <si>
    <t>Shiloh, Nob, and Givon, and Beit Olamim.</t>
  </si>
  <si>
    <t>Shiloh, Nov, and Giv‘on, and the Eternal House.</t>
  </si>
  <si>
    <t>מֹשֶׁה זָכָה בְּעַצְמוֹת יוֹסֵף, וְאֵין בְּיִשְׂרָאֵל גָּדוֹל מִמֶּנּוּ, שֶׁנֶּאֱמַר: ״וַיִּקַּח מֹשֶׁה אֶת עַצְמוֹת יוֹסֵף עִמּוֹ״ — מִי גָּדוֹל מִמֹּשֶׁה שֶׁלֹּא נִתְעַסֵּק בּוֹ אֶלָּא הַמָּקוֹם, שֶׁנֶּאֱמַר: ״וַיִּקְבֹּר אוֹתוֹ בַּגַּי״. לֹא עַל מֹשֶׁה בִּלְבַד אָמְרוּ, אֶלָּא עַל כׇּל הַצַּדִּיקִים, שֶׁנֶּאֱמַר: ״וְהָלַךְ לְפָנֶיךָ צִדְקֶךָ כְּבוֹד ה׳ יַאַסְפֶךָ״.</t>
  </si>
  <si>
    <t>Moses merited in Joseph’s bones and there was none among the Jewish people greater than he, as it is stated: “And Moses took the bones of Joseph with him” Who a greater than Moses, as no one involved himself in his other than the Omnipresent as it is stated: “And He buried him in the valley Not only with regard to Moses did say but with regard to all the righteous individuals, as it is stated: “Your righteousness shall go before you and the glory of the Lord shall gather you in”</t>
  </si>
  <si>
    <t>Moses merited with the bones of Joseph, and there is none in Israel greater than him, as it is stated: "And Moses took the bones of Joseph with him." Who is greater than Moses that only the place dealt with him, as it is stated: "And he buried him in the valley." They did not say this only about Moses, but about all the righteous, as it is stated: "And your righteousness shall go before you, the glory of the Lord shall gather you."</t>
  </si>
  <si>
    <t>Moshe merited with the bones of Yosef, and there is in Yisrael none greater than him, as it is said: “And Moshe took the bones of Yosef with him” — who is greater than Moshe, that none occupied himself with him except HaMakom, as it is said: “And He buried him in the valley.” Not about Moshe alone did they say, but rather about all the righteous, as it is said: “And your righteousness shall go before you; the glory of Hashem shall gather you in.”</t>
  </si>
  <si>
    <t>גְּמָ׳ תָּנוּ רַבָּנַן: שִׁמְשׁוֹן בְּעֵינָיו מָרַד, שֶׁנֶּאֱמַר: ״וַיֹּאמֶר שִׁמְשׁוֹן אֶל אָבִיו אוֹתָהּ קַח לִי כִּי הִיא יָשְׁרָה בְעֵינָי״ — לְפִיכָךְ נִקְּרוּ פְּלִשְׁתִּים אֶת עֵינָיו, שֶׁנֶּאֱמַר: ״וַיֹּאחֲזוּהוּ פְלִשְׁתִּים וַיְנַקְּרוּ אֶת עֵינָיו״.</t>
  </si>
  <si>
    <t>The Sages taught Samson rebelled with his eyes, as it is stated: And Samson said to his father: Get her for me; for she is pleasant in my eyes” Therefore, the Philistines gouged out his eyes, as it is stated: “And the Philistines laid hold on him, and put out his eyes”</t>
  </si>
  <si>
    <t>The Sages taught: "Shimshon was rebellious in his eyes," as it is stated: "And Shimshon said to his father, 'Take her for me, for she is right in my eyes'" — therefore, the Philistines gouged out his eyes, as it is stated: "And the Philistines seized him and gouged out his eyes."</t>
  </si>
  <si>
    <t>GEMARA: The Rabbis taught: Shimshon rebelled with his eyes, as it is stated: “And Shimshon said to his father: Take her for me, for she is right in my eyes” — therefore the Pelishtim gouged out his eyes, as it is stated: “And the Pelishtim seized him and gouged out his eyes.”</t>
  </si>
  <si>
    <t>גְּמָ׳ אָמַר רַב יְהוּדָה אָמַר שְׁמוּאֵל מִשּׁוּם רַבִּי מֵאִיר: כְּשֶׁהָיִיתִי לָמֵד תּוֹרָה אֵצֶל רַבִּי עֲקִיבָא, הָיִיתִי מֵטִיל קַנְקַנְתּוֹם לְתוֹךְ הַדְּיוֹ, וְלֹא אָמַר לִי דָּבָר. כְּשֶׁבָּאתִי אֵצֶל רַבִּי יִשְׁמָעֵאל, אָמַר לִי: בְּנִי מָה מְלַאכְתֶּךָ? אָמַרְתִּי לוֹ: לַבְלָר אֲנִי. אָמַר לִי: בְּנִי, הֱוֵי זָהִיר, שֶׁמְּלַאכְתְּךָ מְלֶאכֶת שָׁמַיִם הִיא, שֶׁמָּא תַּחְסִיר אוֹת אַחַת אוֹ תֹּתִיר אוֹת אַחַת, נִמְצֵאתָ אַתָּה מַחְרִיב אֶת כָּל הָעוֹלָם כֻּלּוֹ.</t>
  </si>
  <si>
    <t>Rav Yehuda says Shmuel says in the name of Rabbi Meir: When I was studying Torah before Rabbi Akiva, I used to put iron sulfate into the ink and he did not say anything to me when I came before Rabbi Yishmael, he said to me: My son, what is your vocation? I said to him: I am a scribe [ lavlar ] He said to me: My son, be careful as your work is the work of Heaven, lest you omit a single letter or add a single letter, you are found to be destroying the entire world</t>
  </si>
  <si>
    <t>Gemara: Rav Yehudah said in the name of Shmuel in the name of Rabbi Meir: When I was learning Torah with Rabbi Akiva, I would throw a straw into the inkwell, and he would not say anything to me. When I came to Rabbi Yishmael, he said to me: "My son, what is your occupation?" I said to him: "I am a scribe." He said to me: "My son, be careful, for your occupation is a heavenly one. Perhaps you will omit one letter or add one letter, and you will have destroyed the entire world."</t>
  </si>
  <si>
    <t>Gemara: Rav Yehudah said, Shmuel said, in the name of Rabbi Meir: When I was learning Torah with Rabbi Akiva, I would cast kankantum into the ink, and he did not say to me a thing. When I came with Rabbi Yishmael, he said to me: My son, what is your craft? I said to him: I am a lavlar. He said to me: My son, be careful, for your craft is the craft of Heaven, lest you diminish one letter or add one letter, you are found destroying the entire world.</t>
  </si>
  <si>
    <t>״וַתָּחֵל רוּחַ ה׳ וְגוֹ׳״. אָמַר רַבִּי חָמָא בְּרַבִּי חֲנִינָא: חָלְתָה נְבוּאָתוֹ שֶׁל יַעֲקֹב אָבִינוּ, דִּכְתִיב: ״יְהִי דָן נָחָשׁ עֲלֵי דֶרֶךְ״.</t>
  </si>
  <si>
    <t>“And the spirit of the Lord began [ vataḥel ] Rabbi Ḥama, son of Rabbi Ḥanina, says: The prophecy of Jacob our forefather took effect [ ḥaleta ] as it is written: “Dan shall be a serpent in the way,</t>
  </si>
  <si>
    <t>"And the spirit of the Lord began, etc." Rabbi Ḥama son of Rabbi Ḥanina said: The prophecy of our forefather Jacob faltered, as it is written: "Dan shall be a serpent by the way."</t>
  </si>
  <si>
    <t>“‘And the spirit of the LORD began, etc.’” Amar Rabbi Ḥama be-Rabbi Ḥanina: The prophecy of Ya‘akov Avinu began, as it is written: “Let Dan be a serpent upon the way.”</t>
  </si>
  <si>
    <t>אָמַר רַבִּי אֲבָהוּ: מַאי טַעְמָא דְּרַבִּי אֱלִיעֶזֶר, דִּכְתִיב: ״אֲנִי חׇכְמָה שָׁכַנְתִּי עׇרְמָה״, כֵּיוָן שֶׁנִּכְנְסָה חׇכְמָה בְּאָדָם — נִכְנְסָה עִמּוֹ עַרְמוּמִית.</t>
  </si>
  <si>
    <t>Rabbi Abbahu says: What is the reason for Rabbi Eliezer’s as it is written: “I, wisdom, dwell with cunning” once wisdom enters into a person, cunning enters with it.</t>
  </si>
  <si>
    <t>Rabbi Avahu said: What is the reason for Rabbi Eliezer's opinion, as it is written: "I, Wisdom, dwell with prudence"? Once wisdom enters a person, prudence enters with it.</t>
  </si>
  <si>
    <t>אָמַר רַבִּי אֲבָהוּ: Rabbi Abbahu said: What is the reason of Rabbi Eliezer, as it is written: “I, ḥokhmah, have dwelt with ormah”; since ḥokhmah entered into a man — arumumit entered with him.</t>
  </si>
  <si>
    <t>תַּנְיָא, הָיָה רַבִּי מֵאִיר אוֹמֵר: אָדָם עוֹבֵר עֲבֵירָה בַּסֵּתֶר וְהַקָּדוֹשׁ בָּרוּךְ הוּא מַכְרִיז עָלָיו בְּגָלוּי, שֶׁנֶּאֱמַר: ״וְעָבַר עָלָיו רוּחַ קִנְאָה״, וְאֵין עֲבֵירָה אֶלָּא לְשׁוֹן הַכְרָזָה, שֶׁנֶּאֱמַר: ״וַיְצַו מֹשֶׁה וַיַּעֲבִירוּ קוֹל בַּמַּחֲנֶה״.</t>
  </si>
  <si>
    <t>is taught Rabbi Meir would say: A person commits a transgression in private and the Holy One, Blessed be He, proclaims about him openly, as it is stated “The spirit of jealousy came [ avar ] upon him” and avira nothing other a term of proclamation, as it is stated: “And Moses gave the commandment, and they caused it to be proclaimed [ vaya’aviru ] throughout the camp”</t>
  </si>
  <si>
    <t>It was taught: Rabbi Meir would say, "A person commits a transgression in secret, and the Holy One, blessed be He, proclaims it openly, as it is stated: 'And the spirit of jealousy comes upon him' (Numbers 5:14). And transgression is nothing but a language of proclamation, as it is stated: 'And Moses commanded, and they caused it to be proclaimed throughout the camp' (Exodus 36:6)."</t>
  </si>
  <si>
    <t>It was taught: Rabbi Meir would say: A man commits a transgression in secret, and the Holy One, blessed be He, proclaims about him in public, as it is said: “and a spirit of jealousy passed over him”; and there is no “transgression” except an expression of proclamation, as it is said: “and Moshe commanded, and they caused a voice to pass through the camp.”</t>
  </si>
  <si>
    <t>דִּילְדְּלָה אֶת כֹּחוֹ — דִּכְתִיב: ״וַיָּסַר כֹּחוֹ מֵעָלָיו״. דִּילְדְּלָה אֶת לִבּוֹ — דִּכְתִיב: ״וַתֵּרֶא דְּלִילָה כִּי הִגִּיד לָהּ אֶת כׇּל לִבּוֹ״. דִּילְדְּלָה אֶת מַעֲשָׂיו — דְּאִיסְתַּלַּק שְׁכִינָה מִינֵּיהּ, דִּכְתִיב: ״וְהוּא לֹא יָדַע כִּי ה׳ סָר מֵעָלָיו״.</t>
  </si>
  <si>
    <t>She weakened his strength, as it is written: and his strength went from him” She weakened his heart, as it is written: “And when Delilah saw that he had told her all his heart, She weakened his deeds, as the Divine Presence left him, as it is written: But he knew not that the Lord was departed from him”</t>
  </si>
  <si>
    <t>He weakened his strength - as it is written: "And his strength departed from him." He weakened his heart - as it is written: "And Delilah saw that he had told her all his heart." He weakened his deeds - for the Divine Presence departed from him, as it is written: "And he did not know that the Lord had departed from him."</t>
  </si>
  <si>
    <t>She weakened his strength — as it is written: “And his strength departed from upon him.” She weakened his heart — as it is written: “And Delilah saw that he told her all his heart.” She weakened his deeds — for the Shekhinah departed from him, as it is written: “And he did not know that Hashem had departed from upon him.”</t>
  </si>
  <si>
    <t>אָמַר רַבִּי שְׁמוּאֵל בַּר נַחְמָנִי אָמַר רַבִּי יוֹנָתָן: כׇּל הָעוֹשֶׂה מִצְוָה אַחַת בָּעוֹלָם הַזֶּה — מְקַדַּמְתּוֹ וְהוֹלֶכֶת לְפָנָיו לָעוֹלָם הַבָּא, שֶׁנֶּאֱמַר: ״וְהָלַךְ לְפָנֶיךָ צִדְקֶךָ״. וְכׇל הָעוֹבֵר עֲבֵירָה אַחַת בָּעוֹלָם הַזֶּה — מְלַפַּפְתּוֹ וְהוֹלֶכֶת לְפָנָיו לְיוֹם הַדִּין, שֶׁנֶּאֱמַר: ״יִלָּפְתוּ אׇרְחוֹת דַּרְכָּם יַעֲלוּ בַתֹּהוּ וְיֹאבֵדוּ״.</t>
  </si>
  <si>
    <t>Rabbi Shmuel bar Naḥmani says Rabbi Yonatan says: Anyone who fulfills one mitzva in this world, precedes him and goes before him to the World-to-Come, as it is stated: “And your righteousness shall go before you, And anyone who commits one transgression in this world, it shrouds him and goes before him to the Day of Judgment, as it is stated: “The paths of their way do wind, they go up into the waste, and are lost”</t>
  </si>
  <si>
    <t>Said Rabbi Shmuel bar Nachmani said Rabbi Yonatan: Anyone who performs one mitzvah in this world - it precedes him and goes before him to the World to Come, as it is stated: "And your righteousness will go before you." And anyone who commits one transgression in this world - it surrounds him and goes before him on the day of judgment, as it is stated: "Their ways will be tangled in darkness, and they will be lost."</t>
  </si>
  <si>
    <t>אָמַר רַבִּי שְׁמוּאֵל בַּר נַחְמָנִי אָמַר רַבִּי יוֹנָתָן: Rabbi Shemu’el bar Naḥmani said, Rabbi Yonatan said: כׇּל הָעוֹשֶׂה מִצְוָה אַחַת בָּעוֹלָם הַזֶּה — anyone who does one mitzvah in this world — מְקַדַּמְתּוֹ וְהוֹלֶכֶת לְפָנָיו לָעוֹלָם הַבָּא, it precedes him and goes before him to the World-to-Come, שֶׁנֶּאֱמַר: as it is said: ״וְהָלַךְ לְפָנֶיךָ צִדְקֶךָ״ “and your righteousness shall go before you.” וְכׇל הָעוֹבֵר עֲבֵירָה אַחַת בָּעוֹלָם הַזֶּה — and anyone who transgresses one transgression in this world — מְלַפַּפְתּוֹ וְהוֹלֶכֶת לְפָנָיו לְיוֹם הַדִּין, it wraps him and goes before him to the Day of Judgment, שֶׁנֶּאֱמַר: as it is said: ״יִלָּפְתוּ אׇרְחוֹת דַּרְכָּם יַעֲלוּ בַתֹּהוּ וְיֹאבֵדוּ״ “the paths of their way are wrapped; they go up into chaos and are lost.”</t>
  </si>
  <si>
    <t>״וַיְהִי כִּי הֵצִיקָה לּוֹ בִדְבָרֶיהָ כׇּל הַיָּמִים וַתְּאַלְצֵהוּ״. מַאי ״וַתְּאַלְצֵהוּ״? אָמַר רַבִּי יִצְחָק דְּבֵי רַבִּי אַמֵּי: בִּשְׁעַת גְּמַר בִּיאָה נִשְׁמְטָה מִתַּחְתָּיו.</t>
  </si>
  <si>
    <t>“And it came to pass, when she pressed him daily with her words, and urged him, What “and urged him”? Rabbi Yitzḥak of the school of Rabbi Ami says: At the moment completion of intercourse, she slipped away from beneath him.</t>
  </si>
  <si>
    <t>"And it was, when she pressed him with her words all the days, and urged him." What is "and urged him"? Rabbi Yitzchak of the school of Rabbi Ammi said: At the moment of completion of intercourse, it slipped away from beneath him.</t>
  </si>
  <si>
    <t>“And it was, when she pressed him with her words all the days, and she compelled him.” What is “and she compelled him”? אמר Rabbi Yitzḥak d’vei Rabbi Ammi: at the time of the completion of intercourse she slipped away from under him.</t>
  </si>
  <si>
    <t>בְּאוֹתָהּ שָׁעָה נִתְקַיְּימָה נְבוּאָתָהּ שֶׁל רִבְקָה, דִּכְתִיב: ״לָמָּה אֶשְׁכַּל גַּם שְׁנֵיכֶם יוֹם אֶחָד״. וְאַף עַל גַּב דְּמִיתָתָן לֹא בְּיוֹם אֶחָד הֲוַאי — קְבוּרָתָן מִיהָא בְּיוֹם אֶחָד הֲוַאי.</t>
  </si>
  <si>
    <t>At that moment the prophecy of Rebecca was fulfilled, as it is written “Why should I be bereaved of you both in one day?” And although their deaths were not on the same day, in any event their burials were on the same day,</t>
  </si>
  <si>
    <t>At that moment was fulfilled the prophecy of Rivkah, as it is written: "Why should I be bereaved of you both in one day." And even though their death did not occur on the same day, their burial did indeed take place on one day.</t>
  </si>
  <si>
    <t>At that time the prophecy of Rivka was fulfilled, as it is written: “Why should I be bereaved also of both of you in one day.” And even though their death was not in one day — their burial, in any case, was in one day.</t>
  </si>
  <si>
    <t>אֶלָּא אִי אִיתְּמַר — הָכִי אִיתְּמַר, אָמַר רַב יִצְחָק בַּר יוֹסֵף אָמַר רַבִּי יוֹחָנָן: לְדִבְרֵי רַבִּי יוֹסֵי בְּרַבִּי יְהוּדָה, אַף לְמִשְׁנָתֵינוּ אֵין לַדָּבָר סוֹף.</t>
  </si>
  <si>
    <t>Rather, if it was stated, it was stated like this: Rav Yitzḥak bar Yosef says Rabbi Yoḥanan says According to the statement of Rabbi Yosei, son of Rabbi Yehuda, even according to our mishna there is no end to the matter,</t>
  </si>
  <si>
    <t>Rather, it was stated thus: Rav Yitzchak bar Yosef said in the name of Rabbi Yochanan: According to the words of Rabbi Yosei, the son of Rabbi Yehuda, even in our Mishnah, there is no end to the matter.</t>
  </si>
  <si>
    <t>Rather, if it was stated — thus it was stated: Rav Yitzḥak bar Yosef said Rav Yoḥanan said: according to the words of Rabbi Yosei be-Rabbi Yehudah, even according to our Mishnah there is no end to the matter.</t>
  </si>
  <si>
    <t>מִפְּנֵי שֶׁהַתְּכֵלֶת דּוֹמֶה לַיָּם, וְיָם דּוֹמֶה לָרָקִיעַ, וְרָקִיעַ דּוֹמֶה לְכִסֵּא הַכָּבוֹד — שֶׁנֶּאֱמַר: ״וַיִּרְאוּ אֵת אֱלֹהֵי יִשְׂרָאֵל וְתַחַת רַגְלָיו כְּמַעֲשֵׂה לִבְנַת הַסַּפִּיר וּכְעֶצֶם הַשָּׁמַיִם לָטֹהַר״, וּכְתִיב: ״כְּמַרְאֵה אֶבֶן סַפִּיר דְּמוּת כִּסֵּא״.</t>
  </si>
  <si>
    <t>because sky-blue is similar to the sea, and the sea is similar to the sky, and the sky is similar to the Throne of Glory, as it is stated: “And they saw the God of Israel; and there was under His feet the like of a paved work of sapphire stone, and the like of the very heaven for clearness” and it is written: the likeness of a throne, as the appearance of a sapphire stone”</t>
  </si>
  <si>
    <t>Because the techelet resembles the sea, and the sea resembles the sky, and the sky resembles the Throne of Glory - as it is stated: "And they saw the God of Israel, and under His feet was like a work of sapphire brick, and like the essence of the heavens for purity," and it is written: "like the appearance of a sapphire stone, resembling a throne."</t>
  </si>
  <si>
    <t>Because the *tekhelet* is similar to the sea, and the sea is similar to the firmament, and the firmament is similar to the Throne of Glory — as it is said: “And they saw the God of Yisrael, and under His feet was like the work of a brick of sapphire, and like the very heaven for clearness” (Shemot 24:10), and it is written: “Like the appearance of a sapphire stone, the likeness of a throne” (Yeḥezkel 1:26).</t>
  </si>
  <si>
    <t>אִינִי? וְהָא תַּנְיָא, אָמַר רַבִּי מֵאִיר: כְּשֶׁהָיִיתִי לָמֵד תּוֹרָה אֵצֶל רַבִּי יִשְׁמָעֵאל הָיִיתִי מֵטִיל קַנְקַנְתּוֹם לְתוֹךְ הַדְּיוֹ, וְלֹא אָמַר לִי דָּבָר. כְּשֶׁבָּאתִי אֵצֶל רַבִּי עֲקִיבָא אֲסָרָהּ עָלַי!</t>
  </si>
  <si>
    <t>Is that so? But isn’t it taught Rabbi Meir said: When I was studying Torah before Rabbi Yishmael, I used to put iron sulfate into the ink and he did not say anything to me. when I came with Rabbi Akiva, he prohibited me so.</t>
  </si>
  <si>
    <t>I? But isn't it taught, Rabbi Meir said: When I was learning Torah with Rabbi Yishmael, I would throw a straw into the inkwell, and he would not say anything to me. But when I came to Rabbi Akiva, he prohibited it for me!</t>
  </si>
  <si>
    <t>Is that so? But behold it is taught: Rabbi Meir said: When I was learning Torah with Rabbi Yishmael, I would put kankantum into the ink, and he did not say anything to me. When I came to Rabbi Akiva, he forbade it to me!</t>
  </si>
  <si>
    <t>רַבִּי מֵאִיר אוֹמֵר: אָמֵן שֶׁלֹּא נִטְמֵאתִי, אָמֵן שֶׁלֹּא אֶטָּמֵא.</t>
  </si>
  <si>
    <t>Rabbi Meir says Amen that I did not become defiled amen that I will not become defiled</t>
  </si>
  <si>
    <t>Rabbi Meir says: Amen that I have not become impure, amen that I will not become impure.</t>
  </si>
  <si>
    <t>Rabbi Meir says: Amen—that I have not become impure; amen—that I will not become impure.</t>
  </si>
  <si>
    <t>וְהָא אִיפְּכָא שָׁמְעִינַן לְהוּ, דְּתַנְיָא: הָאִישׁ, מְכַסִּין אוֹתוֹ פֶּרֶק אֶחָד מִלְּפָנָיו, וְהָאִשָּׁה, שְׁנֵי פְּרָקִים — אֶחָד מִלְּפָנֶיהָ וְאֶחָד מִלְּאַחֲרֶיהָ, מִפְּנֵי שֶׁכּוּלָּהּ עֶרְוָה, דִּבְרֵי רַבִּי יְהוּדָה. וַחֲכָמִים אוֹמְרִים: הָאִישׁ נִסְקָל עָרוֹם, וְאֵין הָאִשָּׁה נִסְקֶלֶת עֲרוּמָּה!</t>
  </si>
  <si>
    <t>But we have heard the opposite from them, as it is taught a man covers him one piece in front of him, a woman with two pieces one in front of her and one behind her, because all of her nakedness, the statement of Rabbi Yehuda. And the Rabbis say: A man is stoned naked, but a woman is not stoned naked,</t>
  </si>
  <si>
    <t>And this is the opposite of what we have heard from them, as it was taught: "For a man, they cover him with one cloth in front of him, and for a woman, with two cloths - one in front of her and one behind her, because her whole body is considered naked," the words of Rabbi Yehuda. And the Sages say: "The man is stoned naked, but the woman is not stoned naked!"</t>
  </si>
  <si>
    <t>But behold, the reverse we have heard of them, as it is taught: The man, they cover him one chapter from before him, and the woman, two chapters—one from before her and one from behind her, because she is entirely nakedness; the words of Rabbi Yehudah. And the Chachamim say: The man is stoned naked, and the woman is not stoned naked!</t>
  </si>
  <si>
    <t>אָמַר רָבָא: בְּאִישׁ אֶחָד וּבוֹעֵל אֶחָד — דְּכוּלֵּי עָלְמָא לָא פְּלִיגִי דְּאֵין הָאִשָּׁה שׁוֹתָה וְשׁוֹנָה,</t>
  </si>
  <si>
    <t>Rava said: With regard to one husband one paramour, everyone agrees that the woman does not drink and repeat,</t>
  </si>
  <si>
    <t>Rava said: In the case of one man and one woman - everyone agrees that the woman does not drink and drink again.</t>
  </si>
  <si>
    <t>אָמַר רָבָא: Rava said: בְּאִישׁ אֶחָד וּבוֹעֵל אֶחָד — with one man and one bo’el — דְּכוּלֵּי עָלְמָא לָא פְּלִיגִי that all the world does not disagree that דְּאֵין הָאִשָּׁה שׁוֹתָה וְשׁוֹנָה, that the woman does not drink and repeat,</t>
  </si>
  <si>
    <t>רַבִּי יִשְׁמָעֵאל אוֹמֵר: שְׁנֵים עָשָׂר חֹדֶשׁ. וְאַף עַל פִּי שֶׁאֵין רְאָיָה לַדָּבָר — זֵכֶר לַדָּבָר, דִּכְתִיב: ״לָהֵן מַלְכָּא מִלְכִּי יִשְׁפַּר עֲלָיךְ וַחֲטָיָךְ בְּצִדְקָה פְרֻק וַעֲוָיָתָךְ בְּמִחַן עֲנָיִן</t>
  </si>
  <si>
    <t>Rabbi Yishmael says: twelve months. And although there is no proof for the concept an allusion to the concept, as it is written “Therefore, O king, let my counsel be acceptable to you, and redeem your sins with charity, and your iniquities by showing mercy to the poor;</t>
  </si>
  <si>
    <t>Rabbi Yishmael says: Twelve months. And even though there is no visible evidence for the matter - a remembrance for the matter, as it is written: "Therefore, O king, may my advice be acceptable to you: redeem your sins by righteousness, and your iniquities by showing mercy to the poor."</t>
  </si>
  <si>
    <t>Rabbi Yishma’el says: Twelve months. And even though there is no proof for the matter— a remembrance for the matter, as it is written: “Therefore, O king, let my counsel be acceptable to you, and redeem your sins with righteousness, and your iniquities with showing mercy to the poor.”</t>
  </si>
  <si>
    <t>וְכֹהֵן אוֹחֵז בִּבְגָדֶיהָ. אִם נִקְרְעוּ — נִקְרְעוּ. וְאִם נִפְרְמוּ — נִפְרְמוּ. עַד שֶׁהוּא מְגַלֶּה אֶת לִבָּהּ. וְסוֹתֵר אֶת שְׂעָרָהּ. רַבִּי יְהוּדָה אוֹמֵר: אִם הָיָה לִבָּהּ נָאֶה — לֹא הָיָה מְגַלֵּהוּ, וְאִם הָיָה שְׂעָרָהּ נָאֶה — לֹא הָיָה סוֹתֵר.</t>
  </si>
  <si>
    <t>And the priest grabs hold of her clothing If are torn, they are torn; if the stitches come apart, they come apart. until he reveals her heart, And he unbraids her hair. Rabbi Yehuda says: If her heart was attractive he would not reveal it, and if her hair was attractive he would not unbraid</t>
  </si>
  <si>
    <t>A priest holds onto her garments. If they tore - they tore. And if they became untangled - they became untangled. Until he reveals her heart. And undoes her hair. Rabbi Yehuda says: If her heart was beautiful - he would not reveal it, and if her hair was beautiful - he would not undo it.</t>
  </si>
  <si>
    <t>And a Kohen holds by her garments. If they were torn — they are torn. And if they were unsewn — they are unsewn. Until he uncovers her heart. And he dishevels her hair. Rabbi Yehudah says: If her heart was beautiful — he would not uncover it, and if her hair was beautiful — he would not dishevel.</t>
  </si>
  <si>
    <t>מַאי טַעְמָא דְּרַבִּי יִשְׁמָעֵאל — אַיְּידֵי דִּכְתִיב: ״אֱמֹר אֶל הַכֹּהֲנִים בְּנֵי אַהֲרֹן וְאָמַרְתָּ אֲלֵיהֶם לְנֶפֶשׁ לֹא יִטַּמָּא בְּעַמָּיו״, אִיצְטְרִיכָא לְמִיכְתַּב ״לָהּ יִטַּמָּא״.</t>
  </si>
  <si>
    <t>What is the reason of Rabbi Yishmael? Since it is written: “Speak to the priests, the sons of Aaron, and say to them: There shall none become impure for the dead among his people” was necessary to be written: “For her may he become impure,”</t>
  </si>
  <si>
    <t>What is the reason for Rabbi Yishmael's opinion? - Because it is written: "Speak to the priests, the sons of Aaron, and say to them: None shall defile himself for the dead among his people." It was necessary for it to be written "to him shall he not defile himself."</t>
  </si>
  <si>
    <t>What is the reason of Rabbi Yishmaʿel? — Since it is written: “Speak to the kohanim, the sons of Aharon, and say to them: for a soul he shall not become impure among his peoples,” it was necessary to write: “for her he shall become impure.”</t>
  </si>
  <si>
    <t>רַבִּי נָתָן אוֹמֵר: בְּקַבַּרְנִיט שֶׁל מְלָכִים הָיָה קָבוּר. הָלַךְ מֹשֶׁה וְעָמַד עַל קַבַּרְנִיט שֶׁל מְלָכִים, אָמַר: יוֹסֵף, הִגִּיעַ עֵת שֶׁנִּשְׁבַּע הַקָּדוֹשׁ בָּרוּךְ הוּא שֶׁאֲנִי גּוֹאֵל אֶתְכֶם, וְהִגִּיעָה שְׁבוּעָה שֶׁהִשְׁבַּעְתָּ אֶת יִשְׂרָאֵל. אִם אַתָּה מַרְאֶה עַצְמְךָ — מוּטָב, וְאִם לָאו — הֲרֵי אָנוּ מְנוּקִּין מִשְּׁבוּעָתֶךָ. בְּאוֹתָהּ שָׁעָה נִזְדַּעְזַע אֲרוֹנוֹ שֶׁל יוֹסֵף, נְטָלוֹ מֹשֶׁה, וֶהֱבִיאוֹ אֶצְלוֹ.</t>
  </si>
  <si>
    <t>Rabbi Natan says: was buried in the crypt [ kabbarnit ] of kings. Moses went and stood by the crypt of kings said: Joseph, the time has arrived which the Holy One, Blessed be He, took an oath that: I will redeem you. And the oath that you administered to the Jewish people has arrived. If you show yourself, good, but if not, we are clear from your oath. At that moment, the casket of Joseph shook Moses took it and brought it to himself.</t>
  </si>
  <si>
    <t>Rabbi Nathan says: In the burial cave of kings he was buried. Moses went and stood at the burial cave of kings, he said: Joseph, the time has come that the Holy One, blessed be He, swore that I will redeem you, and the week has arrived that you swore to Israel. If you show yourself - good, and if not - behold, we are exempt from your oath. At that moment, the coffin of Joseph shook, Moses took it and brought it to him.</t>
  </si>
  <si>
    <t>Rabbi Natan says: In the kabbarnit of kings he was buried. Moshe went and stood upon the kabbarnit of kings, he said: Yosef, the time has arrived that the Holy One, blessed be He, swore that I redeem you, and the oath has arrived that you made Yisrael swear. If you show yourself — better, and if not — behold we are absolved from your oath. At that hour the coffin of Yosef trembled, Moshe took it, and brought it to him.</t>
  </si>
  <si>
    <t>תָּא שְׁמַע, דְּאָמַר רַבִּי יוֹחָנָן מִשּׁוּם רַבִּי יִשְׁמָעֵאל: בִּשְׁלֹשָׁה מְקוֹמוֹת הֲלָכָה עוֹקֶבֶת מִקְרָא.</t>
  </si>
  <si>
    <t>Come hear that Rabbi Yoḥanan says in the name of Rabbi Yishmael: In three instances the halakha supersedes the verse,</t>
  </si>
  <si>
    <t>Come and hear, for Rabbi Yochanan said in the name of Rabbi Yishmael: In three places the Halakha follows the verse.</t>
  </si>
  <si>
    <t>Come and hear, for Rabbi Yoḥanan said in the name of Rabbi Yishmaʿel: In three places the halakha follows the Scripture.</t>
  </si>
  <si>
    <t>אָמַר רַב שְׁמוּאֵל בַּר רַב יִצְחָק: כִּי הֲוָה פָּתַח רֵישׁ לָקִישׁ בְּסוֹטָה, אָמַר הָכִי: אֵין מְזַוְּוגִין לוֹ לְאָדָם אִשָּׁה אֶלָּא לְפִי מַעֲשָׂיו, שֶׁנֶּאֱמַר: ״כִּי לֹא יָנוּחַ שֵׁבֶט הָרֶשַׁע עַל גּוֹרַל הַצַּדִּיקִים״. אָמַר רַבָּה בַּר בַּר חָנָה אָמַר רַבִּי יוֹחָנָן: וְקָשִׁין לְזַוְּוגָן כִּקְרִיעַת יַם סוּף, שֶׁנֶּאֱמַר: ״אֱלֹהִים מוֹשִׁיב יְחִידִים בַּיְתָה מוֹצִיא אֲסִירִים בַּכּוֹשָׁרוֹת״.</t>
  </si>
  <si>
    <t>Rav Shmuel bar Rav Yitzḥak says: When Reish Lakish would introduce of sota say this: matches a woman to a man only according to his actions, as it is stated: “For the rod of wickedness shall not rest upon the lot of the righteous” Rabba bar bar Ḥana says Rabbi Yoḥanan says: And it is as difficult to match as the splitting of the Red Sea, as it is stated “God makes the solitary individuals dwell in a house; He brings out prisoners into prosperity [ bakosharot ]”</t>
  </si>
  <si>
    <t>Rav Shmuel bar Rav Yitzchak said: When Reish Lakish would begin discussing the topic of a Sotah, he would say the following: A man is only matched with a woman according to his actions, as it is stated: "For the scepter of wickedness shall not rest upon the lot of the righteous." Rabbah bar bar Channah said in the name of Rabbi Yochanan: And it is as difficult to match them as splitting the Red Sea, as it is stated: "God settles the solitary in a home; He releases prisoners into prosperity."</t>
  </si>
  <si>
    <t>Amar Rav Shmuel bar Rav Yitzḥak: when Reish Lakish would open with Sota, he said thus: they do not match for a man a woman except according to his deeds, as it is said: “For the scepter of wickedness shall not rest upon the lot of the righteous.” Amar Rabba bar bar Ḥana amar Rabbi Yoḥanan: and their matching is difficult like the splitting of the Sea of Reeds, as it is said: “God makes solitary ones dwell in a house; He brings out prisoners in the kosharot.”</t>
  </si>
  <si>
    <t>״כׇּתְנוֹת עוֹר״. רַב וּשְׁמוּאֵל, חַד אָמַר: דָּבָר הַבָּא מִן הָעוֹר, וְחַד אָמַר: דָּבָר שֶׁהָעוֹר נֶהֱנֶה מִמֶּנּוּ.</t>
  </si>
  <si>
    <t>garments of skin, Rav and Shmuel One says something that comes from the skin, and one says something from which the skin benefits.</t>
  </si>
  <si>
    <t>"Kotnot Or." Rav and Shmuel, one said: a matter that comes from the skin, and one said: a matter from which the skin benefits.</t>
  </si>
  <si>
    <t>“kotnot ʿor.” Rav and Shmuel—one said: a thing that comes from the skin; and one said: a thing that the skin benefits from it.</t>
  </si>
  <si>
    <t>״וַיִּקְבֹּר אוֹתוֹ בַגַּיְ בְּאֶרֶץ מוֹאָב מוּל בֵּית פְּעוֹר״. אָמַר רַבִּי בֶּרֶכְיָה: סִימָן בְּתוֹךְ סִימָן, וַאֲפִילּוּ הָכִי: ״וְלֹא יָדַע אִישׁ אֶת קְבֻרָתוֹ״.</t>
  </si>
  <si>
    <t>“And He buried him in the valley in the land of Moab over against Beth Peor; Rabbi Berekhya says: a sign within a sign, and even with this “And no man knows of his grave</t>
  </si>
  <si>
    <t>"And he buried him in the valley in the land of Moab opposite Beth Peor." Rabbi Berachiah said: A sign within a sign, and even so: "And no man knows his burial place."</t>
  </si>
  <si>
    <t>“‘And he buried him in the valley, in the land of Moav, opposite Beit Pe’or.’ Rav Berakhyah said: a sign within a sign, and even so: ‘and no man knew his burial place.’”</t>
  </si>
  <si>
    <t>וְאָמַר רַבִּי חָמָא בְּרַבִּי חֲנִינָא, מַאי דִּכְתִיב: ״אַחֲרֵי ה׳ אֱלֹהֵיכֶם תֵּלֵכוּ״, וְכִי אֶפְשָׁר לוֹ לְאָדָם לְהַלֵּךְ אַחַר שְׁכִינָה? וַהֲלֹא כְּבָר נֶאֱמַר ״כִּי ה׳ אֱלֹהֶיךָ אֵשׁ אוֹכְלָה הוּא״!</t>
  </si>
  <si>
    <t>And Rabbi Ḥama, son of Rabbi Ḥanina, says: What is which is written: “After the Lord your God shall you walk, But is it possible for a person to follow the Divine Presence? But hasn’t it already been stated: “For the Lord your God is a devouring fire,</t>
  </si>
  <si>
    <t>And Rabbi Ḥama son of Rabbi Ḥanina said, what is the meaning of what is written: "After the Lord your God shall you walk"? Is it possible for a person to walk after the Divine Presence? Has it not already been stated: "For the Lord your God is a consuming fire"!</t>
  </si>
  <si>
    <t>And Rabbi Ḥama in Rabbi Ḥanina said: What is that which is written: “After the LORD your God you shall walk”; and is it possible for a man to walk after the Shekhina? But has it not already been said: “For the LORD your God—He is a consuming fire”!</t>
  </si>
  <si>
    <t>מַאי אִיכָּא בֵּין עוֹשֶׂה מֵאַהֲבָה לְעוֹשֶׂה מִיִּרְאָה? אִיכָּא הָא דְּתַנְיָא, רַבִּי שִׁמְעוֹן בֶּן אֶלְעָזָר אוֹמֵר: גָּדוֹל הָעוֹשֶׂה מֵאַהֲבָה יוֹתֵר מִן הָעוֹשֶׂה מִיִּרְאָה, שֶׁזֶּה תָּלוּי לְאֶלֶף דּוֹר. וְזֶה תָּלוּי לְאַלְפַּיִם דּוֹר.</t>
  </si>
  <si>
    <t>What is there between one who performs out of love and one who performs out of fear? There is that which is taught Rabbi Shimon ben Elazar says: Greater is the one who performs out of love than the one who performs out of fear, as this endure for one thousand generations, and that endure for two thousand generations.</t>
  </si>
  <si>
    <t>Talmudic text: What is the difference between one who acts out of love and one who acts out of fear? There is the one that it teaches, Rabbi Shimon ben Elazar says: Greater is the one who acts out of love more than the one who acts out of fear, for this one is dependent on a thousand generations. And this one is dependent on two thousand generations.</t>
  </si>
  <si>
    <t>What is there between one who does from ahavah and one who does from yir’ah? There is this, as it is taught: Rabbi Shim‘on ben El‘azar says: Great is one who does from ahavah more than one who does from yir’ah, for this one is dependent for a thousand generations, and this one is dependent for two thousand generations.</t>
  </si>
  <si>
    <t>תָּנוּ רַבָּנַן: אֵיזֶהוּ עַם הָאָרֶץ? כֹּל שֶׁאֵינוֹ קוֹרֵא קְרִיאַת שְׁמַע שַׁחֲרִית וְעַרְבִית בְּבִרְכוֹתֶיהָ, דִּבְרֵי רַבִּי מֵאִיר. וַחֲכָמִים אוֹמְרִים: כֹּל שֶׁאֵינוֹ מַנִּיחַ תְּפִילִּין. בֶּן עַזַּאי אוֹמֵר: כֹּל שֶׁאֵין לוֹ צִיצִית בְּבִגְדוֹ. רַבִּי יוֹנָתָן בֶּן יוֹסֵף אָמַר: כֹּל שֶׁיֵּשׁ לוֹ בָּנִים וְאֵינוֹ מְגַדְּלָן לִלְמוֹד תּוֹרָה. אֲחֵרִים אוֹמְרִים: אֲפִילּוּ קוֹרֵא וְשׁוֹנֶה וְלֹא שִׁימֵּשׁ תַּלְמִידֵי חֲכָמִים — זֶהוּ עַם הָאָרֶץ.</t>
  </si>
  <si>
    <t>The Sages taught: Who is an ignoramus [ am ha’aretz ]? anyone who does not recite Shema morning and evening with its blessings; the statement of Rabbi Meir. And the Rabbis say: anyone who does not don phylacteries. Ben Azzai says: anyone who does not have ritual fringes on his garment. Rabbi Yonatan ben Yosef said: anyone who has sons and does not raise them to study Torah. Aḥerim say: Even if one reads and learns but does not serve Torah scholars, he is an ignoramus.</t>
  </si>
  <si>
    <t>The Rabbis taught: Who is considered an 'Am Ha'aretz (ignorant or unlearned person)? Anyone who does not recite the Shema in the morning and evening with its blessings, according to the words of Rabbi Meir. And the Sages say: Anyone who does not lay Tefillin. Ben Azzai says: Anyone who does not have tzitzit on his garment. Rabbi Yonatan ben Yosef says: Anyone who has children but does not raise them to study Torah. Others say: Even if he reads and repeats, but does not serve Torah scholars — this is an 'Am Ha'aretz.</t>
  </si>
  <si>
    <t>**The Rabbis taught:** Which is an *am ha-aretz*? Anyone who does not read *Keri’at Shema* morning and evening with its blessings; the words of Rabbi Me’ir. And the *Chakhamim* say: Anyone who does not put on *tefillin*. Ben Azzai says: Anyone who does not have *tzitzit* on his garment. Rabbi Yonatan ben Yosef said: Anyone who has sons and does not raise them to learn Torah. Others say: Even one who reads and repeats, and did not serve *talmidei chakhamim*—this is an *am ha-aretz*.</t>
  </si>
  <si>
    <t>אִתְּמַר: קָרָא וְשָׁנָה וְלֹא שִׁימֵּשׁ תַּלְמִידֵי חֲכָמִים, רַבִּי אֶלְעָזָר אוֹמֵר: הֲרֵי זֶה עַם הָאָרֶץ. רַבִּי שְׁמוּאֵל בַּר נַחְמָנִי אָמַר: הֲרֵי זֶה בּוּר. רַבִּי יַנַּאי אוֹמֵר: הֲרֵי זֶה כּוּתִי.</t>
  </si>
  <si>
    <t>It was stated: read and learned but did not serve Torah scholars, Rabbi Elazar says: This is an ignoramus. Rabbi Shmuel bar Naḥmani said: This is a boor. Rabbi Yannai says: This is a Samaritan,</t>
  </si>
  <si>
    <t>It was stated: He read and repeated but did not serve the Torah scholars, Rabbi Elazar says: Behold, this one is an ignoramus. Rabbi Shmuel bar Nachmani says: Behold, this one is a pit. Rabbi Yannai says: Behold, this one is a Samaritan.</t>
  </si>
  <si>
    <t>It was stated: One who read and learned and did not serve talmidei ḥakhamim—Rabbi Elazar says: Behold this one is an am ha’aretz. Rabbi Shmuel bar Naḥmani said: Behold this one is a bur. Rabbi Yannai says: Behold this one is a Kuti.</t>
  </si>
  <si>
    <t>חָנִין בֶּן פִּנְחָס אוֹמֵר: כְּדֵי שֶׁתּוֹשִׁיט יָדָהּ לְתוֹךְ פִּיהָ לִיטּוֹל קֵיסָם. פְּלֵימוֹ אוֹמֵר: כְּדֵי שֶׁתּוֹשִׁיט יָדָהּ לַסַּל לִיטּוֹל כִּכָּר. אַף עַל פִּי שֶׁאֵין רְאָיָה לַדָּבָר, זֵכֶר לַדָּבָר: ״כִּי בְעַד אִשָּׁה זוֹנָה עַד כִּכַּר לָחֶם״.</t>
  </si>
  <si>
    <t>Ḥanin ben Pineḥas says: equivalent that may extend her hand into her mouth to remove a wood chip Peleimu says: equivalent that she may extend her hand into a basket to take a loaf Although there is no proof for the matter, an allusion to the matter “For on account of a harlot a man is brought to a loaf of bread”</t>
  </si>
  <si>
    <t>Hanin son of Pinhas says: In order to extend her hand into her mouth to take a date. Paleimo says: In order to extend her hand to the basket to take a loaf. Even though there is no proof for the matter, a remembrance of the matter: "For by means of a harlot a man is brought to a loaf of bread."</t>
  </si>
  <si>
    <t>Ḥanin ben Pinḥas says: so that she will extend her hand into her mouth to take a splinter. Pleimo says: so that she will extend her hand to the basket to take a loaf. Even though there is no proof for the matter, a remembrance for the matter: “For on account of a harlot woman, unto a loaf of bread.”</t>
  </si>
  <si>
    <t>וּכְשֶׁנִּגְלָה הַקָּדוֹשׁ בָּרוּךְ הוּא עַל הַיָּם, הֵם הִכִּירוּהוּ תְּחִלָּה, שֶׁנֶּאֱמַר: ״זֶה אֵלִי וְאַנְוֵהוּ״.</t>
  </si>
  <si>
    <t>And when the Holy One, Blessed be He, revealed Himself at the Sea, recognized Him first, as it is stated: “This is my God, and I will glorify Him”</t>
  </si>
  <si>
    <t>And when the Holy One, blessed be He, was revealed upon the sea, they recognized Him first, as it is said: "This is my God and I will glorify Him."</t>
  </si>
  <si>
    <t>Generally correct</t>
  </si>
  <si>
    <t>And when the HaKadosh Barukh Hu was revealed upon the sea, they recognized Him first, as it is said: “This is my God, and I will glorify Him.”</t>
  </si>
  <si>
    <t>״בְּמַקְהֵלוֹת בָּרְכוּ אֱלֹהִים ה׳ מִמְּקוֹר יִשְׂרָאֵל״.</t>
  </si>
  <si>
    <t>“In full assemblies, bless God, the Lord, you that are from the source of Israel”</t>
  </si>
  <si>
    <t>"In the assemblies bless God, the Lord, from the source of Israel."</t>
  </si>
  <si>
    <t>“‘In assemblies bless Elohim, Hashem, from the source of Yisrael.’”</t>
  </si>
  <si>
    <t>אָמַר רַבִּי אֲבָהוּ: כׇּל הָאוֹכֵל פַּת בְּלֹא נִיגּוּב יָדַיִם — כְּאִילּוּ אוֹכֵל לֶחֶם טָמֵא, שֶׁנֶּאֱמַר: ״וַיֹּאמֶר ה׳ כָּכָה יֹאכְלוּ בְנֵי יִשְׂרָאֵל אֶת לַחְמָם טָמֵא וְגוֹ׳״.</t>
  </si>
  <si>
    <t>Rabbi Abbahu says: Anyone who eats bread without wiping hands as if he were eating impure bread, as it is stated: “And the Lord said: Even thus shall the children of Israel eat their bread unclean</t>
  </si>
  <si>
    <t>Rabbi Avahu said: Anyone who eats bread without washing their hands - it is as if they are eating impure bread, as it is stated: "And Hashem said, 'Thus shall the children of Israel eat their bread impure, etc.'"</t>
  </si>
  <si>
    <t>אָמַר רַבִּי אֲבָהוּ: Rabbi Abbahu said: כׇּל הָאוֹכֵל פַּת בְּלֹא נִיגּוּב יָדַיִם — anyone who eats bread without wiping of the hands — כְּאִילּוּ אוֹכֵל לֶחֶם טָמֵא, it is as if he eats impure bread, שֶׁנֶּאֱמַר: as it is said: “וַיֹּאמֶר ה׳ כָּכָה יֹאכְלוּ בְנֵי יִשְׂרָאֵל אֶת לַחְמָם טָמֵא וְגוֹ׳”. “And Hashem said: Thus shall the children of Israel eat their bread impure, etc.”</t>
  </si>
  <si>
    <t>אִם יֵשׁ לָהּ זְכוּת — הָיְתָה תּוֹלָה לָהּ. יֵשׁ זְכוּת תּוֹלָה שָׁנָה אַחַת, יֵשׁ זְכוּת תּוֹלָה שְׁתֵּי שָׁנִים, יֵשׁ זְכוּת תּוֹלָה שָׁלֹשׁ שָׁנִים. מִכָּאן אוֹמֵר בֶּן עַזַּאי: חַיָּיב אָדָם לְלַמֵּד אֶת בִּתּוֹ תּוֹרָה, שֶׁאִם תִּשְׁתֶּה תֵּדַע שֶׁהַזְּכוּת תּוֹלָה לָהּ. רַבִּי אֱלִיעֶזֶר אוֹמֵר: כׇּל הַמְלַמֵּד בִּתּוֹ תּוֹרָה — (כְּאִילּוּ) לוֹמְּדָהּ תִּפְלוּת.</t>
  </si>
  <si>
    <t>If she has merit, it delays for her There is a merit delays one year, there is merit delays two years, there is a merit delays three years. From here Ben Azzai states: A person is obligated to teach his daughter Torah, that if she drinks she will know that merit delayed for her. Rabbi Eliezer says: Anyone who teaches his daughter Torah is teaching her promiscuity [ tiflut ].</t>
  </si>
  <si>
    <t>If she has merit - it will be a hanging for her. There is merit that hangs for one year, there is merit that hangs for two years, there is merit that hangs for three years. From here Ben Azzai says: A man is obligated to teach his daughter Torah, for if she drinks, she will know that merit hangs for her. Rabbi Eliezer says: Whoever teaches his daughter Torah - it is as if he taught her prayer.</t>
  </si>
  <si>
    <t>If there is for her merit — it suspends for her. There is merit that suspends one year, there is merit that suspends two years, there is merit that suspends three years. From here says Ben Azzai: A man is obligated to teach his daughter Torah, for if she will drink she will know that the merit suspends for her. Rabbi Eliezer says: Anyone who teaches his daughter Torah — (as if) he teaches her tiflut.</t>
  </si>
  <si>
    <t>״וַיְהִי אַחֲרֵי כֵן וַיֶּאֱהַב אִשָּׁה בְּנַחַל שֹׂרֵק וּשְׁמָהּ דְּלִילָה״. תַּנְיָא, רַבִּי אוֹמֵר: אִילְמָלֵא לֹא נִקְרָא שְׁמָהּ ״דְּלִילָה״ — רְאוּיָה הָיְתָה שֶׁתִּקָּרֵא דְּלִילָה: דִּילְדְּלָה אֶת כֹּחוֹ, דִּילְדְּלָה אֶת לִבּוֹ, דִּילְדְּלָה אֶת מַעֲשָׂיו.</t>
  </si>
  <si>
    <t>“And it came to pass afterward, that he loved a woman in the valley of Sorek, whose name was Delilah” It is taught Rabbi says: if she had not been called name Delilah, it would have been fitting that she be called Delilah, she weakened [ dildela ] his strength, she weakened his heart, she weakened his deeds,</t>
  </si>
  <si>
    <t>"And it was after this, and he loved a woman in the valley of Sorek, and her name was Delilah." It was taught: Rabbi says: If her name had not been called "Delilah," she was worthy to be called Delilah, for she weakened his strength, she weakened his heart, she weakened his deeds.</t>
  </si>
  <si>
    <t>“‘And it was after this, and he loved a woman in Naḥal Sorek, and her name was Delilah.’” It is taught: Rabbi says: Were her name not called “Delilah” — she was fit that she be called Delilah: she diminished his strength, she diminished his heart, she diminished his deeds.</t>
  </si>
  <si>
    <t>וְהֵיכָן מֹשֶׁה קָבוּר — בְּחֶלְקוֹ שֶׁל גָּד, דִּכְתִיב: ״וַיַּרְא רֵאשִׁית לוֹ וְגוֹ׳״. וּמֵחֶלְקוֹ שֶׁל רְאוּבֵן עַד חֶלְקוֹ שֶׁל גָּד כַּמָּה הָוֵי — אַרְבָּעָה מִילִין. אוֹתָן אַרְבָּעָה מִילִין מִי הוֹלִיכוֹ?</t>
  </si>
  <si>
    <t>And where is Moses buried? In the portion of Gad, as it is written “And he chose a first part for himself, And how much is from the portion of Reuben to the portion of Gad? Four mil . those four mil who transported him?</t>
  </si>
  <si>
    <t>Talmudic text: And where is Moses buried — in the portion of Gad, as it is written: "And he saw the first for himself, etc." And from the portion of Reuben to the portion of Gad, how much is it — four mil. Who escorted him those four mil?</t>
  </si>
  <si>
    <t>And where is Moshe buried? — in the portion of Gad, as it is written: “And he saw the first part for himself, etc.”. And from the portion of Re’uven until the portion of Gad how much is it — four milin. Those four milin who brought him?</t>
  </si>
  <si>
    <t>אָמַר רַבִּי יוֹחָנָן: בַּתְּחִילָּה עַד שֶׁלֹּא רָאוּ בִּכְבוֹדָן שֶׁל יִשְׂרָאֵל — לֹא נָהֲגוּ בָּהֶן כָּבוֹד, וּלְבַסּוֹף שֶׁרָאוּ בִּכְבוֹדָן — נָהֲגוּ בָּהֶן כָּבוֹד.</t>
  </si>
  <si>
    <t>Rabbi Yoḥanan says: Initially, before saw the honor of the Jewish people, they did not treat them honor, And in the end, when they saw their honor, they treated honor.</t>
  </si>
  <si>
    <t>Rabbi Yochanan said: In the beginning, before they saw the honor of the Israelites, they did not treat them with honor, but in the end, after they saw their honor, they treated them with honor.</t>
  </si>
  <si>
    <t>אָמַר רַבִּי יוֹחָנָן: Rabbi Yoḥanan said: בַּתְּחִילָּה at first, עַד שֶׁלֹּא רָאוּ until they did not see בִּכְבוֹדָן the honor of them שֶׁל יִשְׂרָאֵל of Yisrael — לֹא נָהֲגוּ they did not conduct themselves בָּהֶן with them כָּבוֹד honor, וּלְבַסּוֹף and in the end שֶׁרָאוּ that they saw בִּכְבוֹדָן the honor of them — נָהֲגוּ they conducted themselves בָּהֶן with them כָּבוֹד honor.</t>
  </si>
  <si>
    <t xml:space="preserve">Unsure why in some cases it uses hebrew verses to translate every couple words in GPT 5. Either way the english is correct here. </t>
  </si>
  <si>
    <t>Yes, strange mix of Hebrew/english by 5.</t>
  </si>
  <si>
    <t>מַתְנִיתִין דְּלָא כִּי הַאי תַּנָּא. דְּתַנְיָא, רַבִּי יוֹסֵי בְּרַבִּי יְהוּדָה אוֹמֵר מִשּׁוּם רַבִּי אֱלִיעֶזֶר: הַמְקַנֵּא לְאִשְׁתּוֹ — מְקַנֵּא עַל פִּי עֵד אֶחָד אוֹ עַל פִּי עַצְמוֹ, וּמַשְׁקֶה לָהּ עַל פִּי שְׁנַיִם. הֵשִׁיבוּ חֲכָמִים: לְדִבְרֵי רַבִּי יוֹסֵי בְּרַבִּי יְהוּדָה אֵין לַדָּבָר סוֹף.</t>
  </si>
  <si>
    <t>The mishna is not in accordance with this tanna , as it is taught Rabbi Yosei, son of Rabbi Yehuda, says in the name of Rabbi Eliezer: One who issues a warning to his wife issues a warning based on one witness or based on his own and gives to drink based on two the Rabbis responded: According to the statement of Rabbi Yosei, son of Rabbi Yehuda, there is no end to the matter,</t>
  </si>
  <si>
    <t>Mishnah: that not like this Tanna. as it was taught, Rabbi Yosei son of Rabbi Yehuda says in the name of Rabbi Eliezer: One who is zealous for his wife - he is zealous based on the testimony of one witness or based on his own testimony, and he gives her to drink based on the testimony of two witnesses. The Sages responded: According to the words of Rabbi Yosei son of Rabbi Yehuda, there is no end to the matter.</t>
  </si>
  <si>
    <t>Our Mishnah is not like this tanna. As it is taught: Rabbi Yosei beRabbi Yehudah says in the name of Rabbi Eliezer: One who warns his wife — he warns on the testimony of one witness or on his own word, and he gives her to drink on the testimony of two. The Sages replied: According to the words of Rabbi Yosei beRabbi Yehudah, the matter has no end.</t>
  </si>
  <si>
    <t>אֶלָּא בּוֹאוּ וּנְדוּנֵם בַּמַּיִם, שֶׁכְּבָר נִשְׁבַּע הַקָּדוֹשׁ בָּרוּךְ הוּא שֶׁאֵינוֹ מֵבִיא מַבּוּל לָעוֹלָם, שֶׁנֶּאֱמַר: ״כִּי מֵי נֹחַ זֹאת לִי וְגוֹ׳״. וְהֵן אֵינָן יוֹדְעִין שֶׁעַל כׇּל הָעוֹלָם כּוּלּוֹ אֵינוֹ מֵבִיא, אֲבָל עַל אוּמָּה אַחַת הוּא מֵבִיא.</t>
  </si>
  <si>
    <t>Rather, let us come and judge them with water, for the Holy One, Blessed be He, already took an oath that He will not bring a flood upon the world, as it is stated: “For this is as the waters of Noah unto Me; And did not know that He will not bring a flood upon all the world, but He bring upon one nation.</t>
  </si>
  <si>
    <t>Rather, come and let us argue with them in the water, for the Holy One, blessed be He, has already sworn that He will never bring a flood again, as it is stated: "For this is as the waters of Noah unto Me." And they do not know that He does not bring a flood upon the entire world, but upon one nation He brings it.</t>
  </si>
  <si>
    <t>Correct</t>
  </si>
  <si>
    <t>Rather, come and we will judge them with water, for already the Holy One, blessed be He, swore that He does not bring a mabbul to the world, as it is said: “For this is to Me as the waters of Noaḥ, etc.” And they do not know that upon the entire world, all of it, He does not bring, but upon one ummah He brings.</t>
  </si>
  <si>
    <t>רַב אַחָא בַּר יַעֲקֹב אוֹמֵר: הֲרֵי זֶה מָגוֹשׁ. אָמַר רַב נַחְמָן בַּר יִצְחָק: מִסְתַּבְּרָא כְּרַב אַחָא בַּר יַעֲקֹב, דְּאָמְרִי אִינָשֵׁי: רָטֵין מָגוֹשָׁא וְלָא יָדַע מַאי אָמַר, תָּנֵי תַּנָּא וְלָא יָדַע מַאי אָמַר.</t>
  </si>
  <si>
    <t>Rav Aḥa bar Ya’akov says: This is a sorcerer [ magosh ], Rav Naḥman bar Yitzḥak said: It is reasonable to Rav Aḥa bar Ya’akov, as people say The sorcerer chants and does not know what he is saying; the tanna teaches and does not know what he is saying.</t>
  </si>
  <si>
    <t>Rav Aḥa bar Ya'akov says: "Here is a case of 'magōsh.'" Rav Naḥman bar Yitzḥak said: It is reasonable like Rav Aḥa bar Ya'akov, for people say: "He is angry and does not know what he is saying," he teaches and does not know what he is saying.</t>
  </si>
  <si>
    <t>Rav Acha bar Ya‘akov says: Behold this is a magosh. Rav Nachman bar Yitzchak said: It is reasonable like Rav Acha bar Ya‘akov, for people say: The magosha chatters and does not know what he said; the tanna recites and does not know what he said.</t>
  </si>
  <si>
    <t>״וַתִּקַּח מִרְיָם הַנְּבִיאָה אֲחוֹת אַהֲרֹן וְגוֹ׳״. אֲחוֹת אַהֲרֹן וְלֹא אֲחוֹת מֹשֶׁה? אָמַר רַב עַמְרָם אָמַר רַב, וְאָמְרִי לַהּ, אָמַר רַב נַחְמָן אָמַר רַב: מְלַמֵּד שֶׁהָיְתָה מִתְנַבְּאָה כְּשֶׁהִיא אֲחוֹת אַהֲרֹן,</t>
  </si>
  <si>
    <t>“And Miriam the prophetess, the sister of Aaron, took “the sister of Aaron,” and not the sister of Moses? Rav Amram says Rav says, and some say Rav Naḥman says Rav says: teaches that prophesied when she was the sister of Aaron,</t>
  </si>
  <si>
    <t>"And Miriam the prophetess, the sister of Aaron, etc." The sister of Aaron and not the sister of Moses? Rav Amram said in the name of Rav, and some say it was Rav Nachman who said in the name of Rav: It teaches that she prophesied when she was the sister of Aaron.</t>
  </si>
  <si>
    <t>“‘And Miryam the prophetess, the sister of Aharon, took, etc.’ (Exodus 15:20). The sister of Aharon and not the sister of Moshe? Rav Amram said Rav said, and they say it of her, Rav Nachman said Rav said: It teaches that she was prophesying when she was the sister of Aharon,”</t>
  </si>
  <si>
    <t>יְהוּדָה שֶׁקִּדֵּשׁ שֵׁם שָׁמַיִם בְּפַרְהֶסְיָא — זָכָה וְנִקְרָא כּוּלּוֹ עַל שְׁמוֹ שֶׁל הַקָּדוֹשׁ בָּרוּךְ הוּא. כֵּיוָן שֶׁהוֹדָה וְאָמַר ״צָדְקָה מִמֶּנִּי״, יָצְתָה בַּת קוֹל וְאָמְרָה: אַתָּה הִצַּלְתָּ תָּמָר וּשְׁנֵי בָּנֶיהָ מִן הָאוּר — חַיֶּיךָ שֶׁאֲנִי מַצִּיל בִּזְכוּתְךָ שְׁלֹשָׁה מִבָּנֶיךָ מִן הָאוּר. מַאן נִינְהוּ — חֲנַנְיָה מִישָׁאֵל וַעֲזַרְיָה.</t>
  </si>
  <si>
    <t>Judah, who sanctified the name of Heaven in public, merited that his entire is called by the name of the Holy One, Blessed be He, When he confessed and said: “She is more righteous than I,” a Divine Voice went forth and said: You saved Tamar and her two children from the fire. your life, in your merit, I will save three of your children from the fire. who are they? Hananiah, Mishael, and Azariah</t>
  </si>
  <si>
    <t>Judah, who sanctified the name of Heaven in public - he merited, and the entire world was called by the name of the Holy One, blessed be He. Once he acknowledged and said, "Righteousness is from me," a heavenly voice emerged and said: "You have saved Tamar and her two sons from the fire - by your merit, I save three of your sons from the fire." Who are they? Hananiah, Mishael, and Azariah.</t>
  </si>
  <si>
    <t>Yehudah, who sanctified the Name of Heaven in public — merited, and was called entirely by the Name of the Holy One, blessed be He. Since he confessed and said, “She is more righteous than I,” a Bat Kol went out and said: You saved Tamar and her two sons from the fire — by your life, that I save, in your merit, three of your sons from the fire. Who are they? — Chananyah, Misha’el, and Azaryah.</t>
  </si>
  <si>
    <t>בֶּן עַזַּאי אוֹמֵר: כְּדֵי לִצְלוֹת בֵּיצָה. רַבִּי עֲקִיבָא אוֹמֵר: כְּדֵי לְגוֹמְעָהּ. רַבִּי יְהוּדָה בֶּן בְּתֵירָא אוֹמֵר: כְּדֵי לִגְמוֹעַ שָׁלֹשׁ בֵּיצִים זוֹ אַחַר זוֹ. רַבִּי אֶלְעָזָר בֶּן יִרְמְיָה אוֹמֵר: כְּדֵי לִקְשׁוֹר גַּרְדִּי נִימָא.</t>
  </si>
  <si>
    <t>Ben Azzai says: equivalent to roast an egg. Rabbi Akiva says: equivalent to swallow it. Rabbi Yehuda ben Beteira says: equivalent to swallow three eggs one after another. Rabbi Elazar ben Yirmeya says: equivalent a weaver [ gardi ] to tie a string [ nima ].</t>
  </si>
  <si>
    <t>Ben Azzai says: in order to boil an egg. Rabbi Akiva says: in order to roast it. Rabbi Yehuda ben Beteira says: in order to boil three eggs, one after the other. Rabbi Elazar ben Yirmeya says: in order to tie a garlic peel.</t>
  </si>
  <si>
    <t>Ben Azzai says: enough to roast an egg. Rabbi Akiva says: enough to swallow it. Rabbi Yehudah ben Beteira says: enough to swallow three eggs, this after this. Rabbi Elazar ben Yirmeya says: enough to tie a weaver’s thread.</t>
  </si>
  <si>
    <t>וּמִנַּיִן הָיָה יוֹדֵעַ מֹשֶׁה רַבֵּינוּ הֵיכָן יוֹסֵף קָבוּר? אָמְרוּ: סֶרַח בַּת אָשֵׁר נִשְׁתַּיְּירָה מֵאוֹתוֹ הַדּוֹר. הָלַךְ מֹשֶׁה אֶצְלָהּ, אָמַר לָהּ: כְּלוּם אַתְּ יוֹדַעַת הֵיכָן יוֹסֵף קָבוּר? אָמְרָה לוֹ: אָרוֹן שֶׁל מַתֶּכֶת עָשׂוּ לוֹ מִצְרִים וּקְבָעוּהוּ בְּנִילוּס הַנָּהָר, כְּדֵי שֶׁיִּתְבָּרְכוּ מֵימָיו. הָלַךְ מֹשֶׁה וְעָמַד עַל שְׂפַת נִילוּס, אָמַר לוֹ: יוֹסֵף יוֹסֵף! הִגִּיעַ הָעֵת שֶׁנִּשְׁבַּע הַקָּדוֹשׁ בָּרוּךְ הוּא שֶׁאֲנִי גּוֹאֵל אֶתְכֶם, וְהִגִּיעָה הַשְּׁבוּעָה שֶׁהִשְׁבַּעְתָּ אֶת יִשְׂרָאֵל. אִם אַתָּה מַרְאֶה עַצְמְךָ מוּטָב, אִם לָאו — הֲרֵי אָנוּ מְנוּקִּין מִשְּׁבוּעָתֶךָ. מִיָּד צָף אֲרוֹנוֹ שֶׁל יוֹסֵף.</t>
  </si>
  <si>
    <t>And from where did Moses our teacher know where Joseph was buried? said: Serah, the daughter of Asher, remained from that generation Moses went to her said to her: Do you know anything where Joseph is buried? She said to him: The Egyptians fashioned a metal casket for him and set it in the Nile [ Nilus ] River so that its water would be blessed. Moses went and stood on the bank of the Nile. said to Joseph, Joseph, the time has arrived which the Holy One, Blessed be He, took an oath that I, will redeem you. And the oath that you administered to the Jewish people has arrived. If you show yourself, good, if not, we are clear from your oath. Immediately, the casket of Joseph floated</t>
  </si>
  <si>
    <t>Talmudic text: And from where did Moses our teacher know where Joseph was buried? They said: Serach the daughter of Asher remained from that generation. Moses went to her, he said to her: Do you know where Joseph is buried? She said to him: A metal coffin the Egyptians made for him and they fixed it in the Nile River, so that his blessings would be effective. Moses went and stood on the bank of the Nile, he said: Joseph Joseph! The time has come that the Holy One, blessed be He, swore that I will redeem you, and the week has arrived that you swore to the children of Israel. If you show yourself favorable, good; if not, behold, we are absolved from your oath. Immediately his coffin floated up.</t>
  </si>
  <si>
    <t>And from where was Moshe Rabbenu knowing where Yosef was buried? They said: Serach bat Asher remained from that generation. Moshe went to her, he said to her: Perhaps you know where Yosef is buried? She said to him: A coffin of metal the Egyptians made for him and they fixed it in the Nile river, in order that its waters be blessed. Moshe went and stood on the bank of the Nile, he said to him: Yosef Yosef! The time has arrived that the Holy One, blessed be He, swore that I redeem you, and the oath has arrived that you made Yisrael swear. If you show yourself—good; if not—behold we are absolved from your oath. Immediately the coffin of Yosef floated.</t>
  </si>
  <si>
    <t>תַּנְיָא, רַבִּי אוֹמֵר: תְּחִילַּת קִלְקוּלוֹ בְּעַזָּה, לְפִיכָךְ לָקָה בְּעַזָּה. תְּחִילַּת קִלְקוּלוֹ בְּעַזָּה, דִּכְתִיב: ״וַיֵּלֶךְ שִׁמְשׁוֹן עַזָּתָה וַיַּרְא שָׁם אִשָּׁה זוֹנָה וְגוֹ׳״, לְפִיכָךְ לָקָה בְּעַזָּה דִּכְתִיב: ״וַיּוֹרִידוּ אוֹתוֹ עַזָּתָהּ״.</t>
  </si>
  <si>
    <t>It is taught Rabbi says: His initial wrongdoing was in Gaza, therefore he was smitten in Gaza. His initial wrongdoing was in Gaza, as it is written: “And Samson went to Gaza, and saw there a harlot, Therefore, he was smitten in Gaza, as it is written: and they brought him down to Gaza,</t>
  </si>
  <si>
    <t>It was taught: Rabbi says: The beginning of Samson's downfall was in Gaza, therefore he met his downfall in Gaza. The beginning of his downfall was in Gaza, as it is written: "And Samson went to Gaza and saw there a harlot, etc." Therefore he met his downfall in Gaza, as it is written: "And they brought him down to Gaza."</t>
  </si>
  <si>
    <t>It was taught, Rabbi says: The beginning of his corruption was in Azzah, therefore he was smitten in Azzah. The beginning of his corruption was in Azzah, as it is written: “And Shimshon went to Azzah, and he saw there a woman, a harlot, etc.” therefore he was smitten in Azzah, as it is written: “And they brought him down to Azzah.”</t>
  </si>
  <si>
    <t>יוֹסֵף זָכָה לִקְבּוֹר אֶת אָבִיו, וְאֵין בְּאֶחָיו גָּדוֹל מִמֶּנּוּ, שֶׁנֶּאֱמַר: ״וַיַּעַל יוֹסֵף לִקְבֹּר אֶת אָבִיו וַיַּעֲלוּ עִמּוֹ גַּם רֶכֶב גַּם פָּרָשִׁים״. מִי לָנוּ גָּדוֹל מִיּוֹסֵף, שֶׁלֹּא נִתְעַסֵּק בּוֹ אֶלָּא מֹשֶׁה.</t>
  </si>
  <si>
    <t>Joseph merited to bury his father, and there was none among his brothers greater than he as it is stated: “And Joseph went up to bury his father; And there went up with him both chariots and horsemen; Who, to us, a greater than Joseph, as it was none Moses who involved his</t>
  </si>
  <si>
    <t>Joseph merited to bury his father, and there is none among his brothers greater than him, as it is stated: "And Joseph went up to bury his father, and with him went up both chariots and horsemen." Who is greater than Joseph among us, for we only engage with him and not with Moses.</t>
  </si>
  <si>
    <t>Yosef merited to bury his father, and there is none among his brothers greater than he, as it is said: “And Yosef went up to bury his father, and there went up with him both chariots and horsemen.” Who is for us greater than Yosef, that none occupied himself with him except Moshe.</t>
  </si>
  <si>
    <t>קָשׁוּ קְרָאֵי אַהֲדָדֵי, כְּתִיב: ״וַיִּקַּח מֹשֶׁה אֶת עַצְמוֹת יוֹסֵף עִמּוֹ״, וּכְתִיב: ״וְאֶת עַצְמוֹת יוֹסֵף אֲשֶׁר הֶעֱלוּ בְנֵי יִשְׂרָאֵל וְגוֹ׳״!</t>
  </si>
  <si>
    <t>The verses contradict each other, it is written: “And Moses took the bones of Joseph with him” and it is written “And the bones of Joseph, which the children of Israel brought up</t>
  </si>
  <si>
    <t>The verses of Ahadad are difficult. It is written: "And Moses took the bones of Joseph with him." And it is written: "And the bones of Joseph, which the children of Israel brought up, etc."</t>
  </si>
  <si>
    <t>The verses are difficult with each other: it is written: “And Moshe took the bones of Yosef with him,” and it is written: “And the bones of Yosef, which the children of Yisrael brought up from Mitzrayim, etc.”!</t>
  </si>
  <si>
    <t>חוּשִׁים בְּרֵיהּ דְּדָן תַּמָּן הֲוָה, וְיַקִּירָן לֵיהּ אוּדְנֵיהּ. אֲמַר לְהוּ: מַאי הַאי? וְאָמְרוּ לֵיהּ: קָא מְעַכֵּב הַאי עַד דְּאָתֵי נַפְתָּלִי מֵאַרְעָא דְּמִצְרַיִם. אֲמַר לְהוּ: וְעַד דְּאָתֵי נַפְתָּלִי מֵאַרְעָא דְּמִצְרַיִם, יְהֵא אֲבִי אַבָּא מוּטָל בְּבִזָּיוֹן? שְׁקַל קוּלְפָא מַחְיֵיהּ אַרֵישֵׁיהּ, נָתְרָן עֵינֵיהּ וּנְפַלוּ אַכַּרְעָא דְיַעֲקֹב, פַּתְחִינְהוּ יַעֲקֹב לְעֵינֵיהּ וְאַחֵיךְ. וְהַיְינוּ דִּכְתִיב ״יִשְׂמַח צַדִּיק כִּי חָזָה נָקָם פְּעָמָיו יִרְחַץ בְּדַם הָרָשָׁע״.</t>
  </si>
  <si>
    <t>Hushim, the son of Dan, was there and his ears were heavy, He said to them: What this And they said to him: This one, is preventing until Naphtali comes from the land of Egypt He said to them: And until Naphtali comes from the land of Egypt will father’s father lie in degradation? He took a club [ kulepa ] and hit on the head, eyes fell out and they fell on the legs of Jacob. Jacob opened his eyes and smiled. And this is that which is written: “The righteous shall rejoice when he sees the vengeance; he shall wash his feet in the blood of the wicked”</t>
  </si>
  <si>
    <t>Chushim, son of Dan, was there, and they were dear to him. He said to them: What is this? And they said to him: This is delaying until Naphtali comes from the land of Egypt. He said to them: And until Naphtali comes from the land of Egypt, should my grandfather be subjected to disgrace? He took a club, struck him on his head, his eyes popped out and fell at the feet of Jacob. Jacob opened his eyes and saw them, and his brothers. This is what is written, "Let the righteous one rejoice when he sees vengeance; he will bathe his feet in the blood of the wicked."</t>
  </si>
  <si>
    <t>Chushim the son of Dan was there, and his ears were heavy for him. He said to them: What is this? And they said to him: This one is delaying until Naftali comes from the land of Mitzrayim. He said to them: And until Naftali comes from the land of Mitzrayim, shall my father’s father be cast in disgrace? He took a club, struck him on his head; his eyes sprang out and fell upon the feet of Ya‘akov; Ya‘akov opened his eyes and laughed. And this is that which is written: “The righteous shall rejoice when he sees vengeance; his feet shall wash in the blood of the wicked.”</t>
  </si>
  <si>
    <t>דָּרֵשׁ רַב עַוִּירָא: בִּשְׂכַר נָשִׁים צִדְקָנִיּוֹת שֶׁהָיוּ בְּאוֹתוֹ הַדּוֹר נִגְאֲלוּ יִשְׂרָאֵל מִמִּצְרַיִם. בְּשָׁעָה שֶׁהוֹלְכוֹת לִשְׁאוֹב מַיִם, הַקָּדוֹשׁ בָּרוּךְ הוּא מְזַמֵּן לָהֶם דָּגִים קְטַנִּים בְּכַדֵּיהֶן, וְשׁוֹאֲבוֹת מֶחֱצָה מַיִם וּמֶחֱצָה דָּגִים, וּבָאוֹת וְשׁוֹפְתוֹת שְׁתֵּי קְדֵירוֹת, אַחַת שֶׁל חַמִּין וְאַחַת שֶׁל דָּגִים.</t>
  </si>
  <si>
    <t>Rav Avira taught: In the merit of righteous women that were in that generation, the Jewish people were redeemed from Egypt. At the time would go to draw water, the Holy One, Blessed be He, would materialize for them small fish into their pitchers, and they would draw half water and half fish. And they would come and place two pots on the fire, one of hot and one of fish</t>
  </si>
  <si>
    <t>Rav Avira expounded: In the merit of the righteous women of that generation, the Israelites were redeemed from Egypt. When they would go to draw water, the Holy One, blessed be He, would prepare small fish for them in their pitchers. They would draw half water and half fish, and they would come and pour into two pots, one for hot water and one for fish.</t>
  </si>
  <si>
    <t>generally right</t>
  </si>
  <si>
    <t>Darash Rav Avira: In the merit of righteous women that were in that generation, Yisrael were redeemed from Mitzrayim. At the time that they go to draw water, HaKadosh Barukh Hu provides for them small fish in their pitchers, and they draw half water and half fish, and they come and cook two pots, one of hot water and one of fish.</t>
  </si>
  <si>
    <t>תַּנְיָא, רַבִּי אֱלִיעֶזֶר הַגָּדוֹל אוֹמֵר: שְׁנֵים עָשָׂר מִיל עַל שְׁנֵים עָשָׂר מִיל, כְּנֶגֶד מַחֲנֵה יִשְׂרָאֵל, בַּת קוֹל מַשְׁמִיעַ וְאוֹמֵר: ״וַיָּמׇת מֹשֶׁה סָפְרָא רַבָּה דְּיִשְׂרָאֵל״. וְיֵשׁ אוֹמְרִים: לֹא מֵת מֹשֶׁה, כְּתִיב הָכָא: ״וַיָּמׇת שָׁם״, וּכְתִיב הָתָם: ״וַיְהִי שָׁם עִם ה׳״, מָה לְהַלָּן עוֹמֵד וּמְשַׁמֵּשׁ, אַף כָּאן עוֹמֵד וּמְשַׁמֵּשׁ.</t>
  </si>
  <si>
    <t>It is taught Rabbi Eliezer the Great says: twelve mil by twelve mil , equivalent to the camp of Israel, a Divine Voice proclaimed and said: And Moses, the great scribe of Israel, died. And some say: Moses did not die, it is written here: “And died there” and it is written there: “And he was there with the Lord Just as there, he was standing and serving so too, here, he was standing and serving</t>
  </si>
  <si>
    <t>It was taught: Rabbi Eliezer the Great says: Twelve mil by twelve mil, corresponding to the camp of Israel, a heavenly voice proclaims and says: "And Moses, the great scribe of Israel, died." And there are those who say: Moses did not die, as it is written here: "And he died there," and it is written there: "And he was there with the Lord." Just as there he stands and serves, so too here he stands and serves.</t>
  </si>
  <si>
    <t>It was taught: Rabbi Eliezer HaGadol says: Twelve mil by twelve mil, corresponding to the camp of Yisrael, a bat kol makes heard and says: “And Moshe died, the great scribe of Yisrael.” And there are those who say: Moshe did not die; it is written here: “And he died there,” and it is written there: “And he was there with Hashem”; just as there, standing and serving, so too here, standing and serving.</t>
  </si>
  <si>
    <t>יְהוּדָה הוֹדָה וְלֹא בּוֹשׁ, מֶה הָיָה סוֹפוֹ — נָחַל חַיֵּי הָעוֹלָם הַבָּא. רְאוּבֵן הוֹדָה וְלֹא בּוֹשׁ, מֶה הָיָה סוֹפוֹ — נָחַל חַיֵּי הָעוֹלָם הַבָּא. וּמָה שְׂכָרָן? מָה שְׂכָרָן?! כִּדְקָא אָמְרִינַן! אֶלָּא: מָה שְׂכָרָן בָּעוֹלָם הַזֶּה, ״לָהֶם לְבַדָּם נִתְּנָה הָאָרֶץ וְלֹא עָבַר זָר בְּתוֹכָם״.</t>
  </si>
  <si>
    <t>Judah admitted and was not embarrassed what was his end? He inherited the life of the World-to-Come. Reuben admitted and was not embarrassed, what was his end? He inherited the life of the World-to-Come. And what is their reward? What is their reward? as we say, Rather, What is their reward in this world? “To them alone the land was given, and no stranger passed among them”</t>
  </si>
  <si>
    <t>Judah confesses and is not ashamed, what was his end? — He will inherit the life of the world to come. Reuben confesses and is not ashamed, what was his end? — He will inherit the life of the world to come. And what is their reward? What is their reward?! As it is stated! Rather: What is their reward in this world, "To them alone the land was given, and no stranger passed among them."</t>
  </si>
  <si>
    <t>Yehudah confessed and was not ashamed; what was his end? — he inherited the life of the World-to-Come. Re’uven confessed and was not ashamed; what was his end? — he inherited the life of the World-to-Come. And what is their reward? What is their reward?! As we have said! Rather: what is their reward in this world: “To them alone was the land given, and no stranger passed among them.”</t>
  </si>
  <si>
    <t>אִינִי? וְהָאָמַר רַבִּי יוֹחָנָן: לָמַדְנוּ יִרְאַת חֵטְא מִבְּתוּלָה, וְקִיבּוּל שָׂכָר מֵאַלְמָנָה. יִרְאַת חֵטְא מִבְּתוּלָה — דְּרַבִּי יוֹחָנָן שַׁמְעַהּ לְהַהִיא בְּתוּלָה דְּנָפְלָה אַאַפַּהּ וְקָאָמְרָה: רִבּוֹנוֹ שֶׁל עוֹלָם, בָּרָאתָ גַּן עֵדֶן וּבָרָאתָ גֵּיהִנָּם, בָּרָאתָ צַדִּיקִים וּבָרָאתָ רְשָׁעִים. יְהִי רָצוֹן מִלְּפָנֶיךָ שֶׁלֹּא יִכָּשְׁלוּ בִּי בְּנֵי אָדָם.</t>
  </si>
  <si>
    <t>Is that so? But didn’t Rabbi Yoḥanan say: We learned fear of sin from a maiden, and receiving reward from a widow. fear of sin from a maiden, as Rabbi Yoḥanan heard a certain maiden who fell on her face and she was saying: Master of the Universe, You created the Garden of Eden and You created Gehenna, You created righteous and You created wicked. May it be Your will that men shall not stumble because of me</t>
  </si>
  <si>
    <t>I? But didn't Rabbi Yochanan say: We have learned fear of sin from a virgin, and receiving reward from a widow. Fear of sin from a virgin - for Rabbi Yochanan heard that virgin who fell and baked a loaf and said: Master of the Universe, You created the Garden of Eden and You created Gehinnom, You created the righteous and You created the wicked. May it be Your will that the sons of man do not cause me to stumble.</t>
  </si>
  <si>
    <t>Is that so? But did not Rabbi Yoḥanan say: We learned fear of sin from a betulah, and receiving reward from an almanah. Fear of sin from a betulah— for Rabbi Yoḥanan heard that betulah who fell upon her face and was saying: Master of the world, You created Gan Eden and You created Geihinnam, You created tzaddikim and You created resha’im. May it be will from before You that the sons of man not stumble through me.</t>
  </si>
  <si>
    <t>הָיָה רַבִּי מֵאִיר אוֹמֵר: מִנַּיִן שֶׁאֲפִילּוּ עוּבָּרִים שֶׁבִּמְעֵי אִמָּן אָמְרוּ שִׁירָה — שֶׁנֶּאֱמַר:</t>
  </si>
  <si>
    <t>Rabbi Meir would say: From where that even fetuses in their mother’s womb recited song As it is stated:</t>
  </si>
  <si>
    <t>Talmudic text: Rabbi Meir would say: From where do we derive that even fetuses in their mother's womb recited a song? As it is stated:</t>
  </si>
  <si>
    <t>הָיָה רַבִּי מֵאִיר אוֹמֵר: Rabbi Meir would say: מִנַּיִן שֶׁאֲפִילּוּ עוּבָּרִים שֶׁבִּמְעֵי אִמָּן אָמְרוּ שִׁירָה — From where is it that even fetuses that are in their mother’s womb said song — שֶׁנֶּאֱמַר: as it is stated:</t>
  </si>
  <si>
    <t>אַף לְדִבְרֵי רַבִּי יוֹסֵי בְּרַבִּי יְהוּדָה, וְלֹא מִיבַּעְיָא לְמִשְׁנָתֵינוּ? אַדְּרַבָּה: לְמִשְׁנָתֵינוּ אִיכָּא עִיקָּר, הָתָם לֵיכָּא עִיקָּר!</t>
  </si>
  <si>
    <t>even according to the statement of Rabbi Yosei, son of Rabbi Yehuda, and it is not necessary according to our mishna. On the contrary, according to our mishna, is basis there, there is no basis</t>
  </si>
  <si>
    <t>Even according to the words of Rabbi Yosei, son of Rabbi Yehuda, and it is not necessary for our Mishnah? - Adrabah: There is a basis for our Mishnah, there is no basis there!</t>
  </si>
  <si>
    <t>Even according to the words of Rabbi Yosei be-Rabbi Yehudah, and is it not necessary for our Mishnah? On the contrary: for our Mishnah there is a main point; there there is no main point!</t>
  </si>
  <si>
    <t>וְאָמַר רַב חִסְדָּא: בַּתְּחִילָּה, קוֹדֶם שֶׁחָטְאוּ יִשְׂרָאֵל, הָיְתָה שְׁכִינָה שׁוֹרָה עִם כׇּל אֶחָד וְאֶחָד, שֶׁנֶּאֱמַר: ״כִּי ה׳ אֱלֹהֶיךָ מִתְהַלֵּךְ בְּקֶרֶב מַחֲנֶךָ״. כֵּיוָן שֶׁחָטְאוּ נִסְתַּלְּקָה שְׁכִינָה מֵהֶם, שֶׁנֶּאֱמַר: ״וְלֹא יִרְאֶה בְךָ עֶרְוַת דָּבָר וְשָׁב מֵאַחֲרֶיךָ״.</t>
  </si>
  <si>
    <t>And Rav Ḥisda says: Initially, before the Jewish people sinned, the Divine Presence resided with each and every one as it is stated: “For the Lord your God walks in the midst of your camp” Once they sinned, the Divine Presence withdrew from them, as it is stated “That He see no unseemly matter in you, and turn away from you”</t>
  </si>
  <si>
    <t>And Rav Hisda said: Initially, before the Israelites sinned, the Divine Presence dwelled among each and every one of them, as it is stated: "For the Lord your God walks in the midst of your camp." Once they sinned, the Divine Presence departed from them, as it is stated: "And He will not see any indecency among you and turn away from you."</t>
  </si>
  <si>
    <t>And Rav Ḥisda said: At the beginning, before Israel sinned, the Shekhina was dwelling with each and every one, as it is said: “For the LORD your God walks in the midst of your camp.” Once they sinned, the Shekhina withdrew from them, as it is said: “And He shall not see in you the nakedness of a thing, and turn back from behind you.”</t>
  </si>
  <si>
    <t>מְלַמֵּד שֶׁהָיָה מֹשֶׁה מוּטָּל בְּכַנְפֵי שְׁכִינָה, וּמַלְאֲכֵי הַשָּׁרֵת אוֹמְרִים: ״צִדְקַת ה׳ עָשָׂה וּמִשְׁפָּטָיו עִם יִשְׂרָאֵל״, וְהַקָּדוֹשׁ בָּרוּךְ הוּא אוֹמֵר: ״מִי יָקוּם לִי עִם מְרֵעִים מִי יִתְיַצֵּב לִי עִם פּוֹעֲלֵי אָוֶן״.</t>
  </si>
  <si>
    <t>teaches that Moses was lying in the wings of the Divine Presence, and the ministering angels were saying: “He executed the righteousness of the Lord, and His ordinances with Israel” And the Holy One, Blessed be He, was saying: “Who will rise up for Me against the evildoers? Who will stand up for Me against the workers of iniquity?”</t>
  </si>
  <si>
    <t>The text reads as follows: "Moses was hanging on the wings of the Divine Presence, and the ministering angels said: 'The righteousness of the Lord he performed, and His judgments with Israel.' And the Holy One, blessed be He, said: 'Who will rise up for Me against evildoers? Who will stand up for Me against workers of iniquity?'"</t>
  </si>
  <si>
    <t>Teaching that Moshe was cast in the wings of the Shekhinah, and the ministering angels were saying: “The righteousness of the LORD he did, and His judgments with Yisrael,” and the Holy One, blessed be He, says: “Who will rise up for Me with evildoers? who will stand up for Me with workers of iniquity?”</t>
  </si>
  <si>
    <t>דָּרַשׁ רַבִּי שִׂמְלַאי: תּוֹרָה תְּחִלָּתָהּ גְּמִילוּת חֲסָדִים, וְסוֹפָהּ גְּמִילוּת חֲסָדִים. תְּחִילָּתָהּ גְּמִילוּת חֲסָדִים — דִּכְתִיב: ״וַיַּעַשׂ ה׳ אֱלֹהִים לְאָדָם וּלְאִשְׁתּוֹ כׇּתְנוֹת עוֹר וַיַּלְבִּשֵׁם״, וְסוֹפָהּ גְּמִילוּת חֲסָדִים — דִּכְתִיב: ״וַיִּקְבֹּר אוֹתוֹ בַּגַּי״.</t>
  </si>
  <si>
    <t>Rabbi Samlai taught: Torah, its beginning is an act of kindness and its end is an act of kindness. Its beginning is an act of kindness, as it is written: “And the Lord God made for Adam and for his wife garments of skin, and clothed them” And its end is an act of kindness, as it is written: “And he was buried in the valley</t>
  </si>
  <si>
    <t>Rabbi Simlai expounded: The Torah, its beginning is acts of kindness, and its end is acts of kindness. Its beginning is acts of kindness - as it is written: "And the Lord God made for Adam and for his wife garments of skin and clothed them." And its end is acts of kindness - as it is written: "And he buried him in the valley."</t>
  </si>
  <si>
    <t>Darash Rabbi Simlai: Torah—its beginning is gemilut ḥasadim, and its end is gemilut ḥasadim. Its beginning is gemilut ḥasadim—as it is written: “And the LORD God made for Adam and for his wife garments of skin, and He clothed them”; and its end is gemilut ḥasadim—as it is written: “And He buried him in the valley.”</t>
  </si>
  <si>
    <t>לְפִיכָךְ נִתְלָה בִּשְׂעָרוֹ, שֶׁנֶּאֱמַר: ״וַיִּקְרָא אַבְשָׁלוֹם לִפְנֵי עַבְדֵי דָוִד וְאַבְשָׁלוֹם רֹכֵב עַל הַפֶּרֶד וַיָּבֹא הַפֶּרֶד תַּחַת שׂוֹבֶךְ הָאֵלָה הַגְּדוֹלָה וַיֶּחֱזַק רֹאשׁוֹ בָאֵלָה וַיֻּתַּן בֵּין הַשָּׁמַיִם וּבֵין הָאָרֶץ וְהַפֶּרֶד אֲשֶׁר תַּחְתָּיו עָבָר״. שְׁקַל סַפְסִירָא בְּעָא לְמִיפְסְקֵיהּ. תָּנָא דְּבֵי רַבִּי יִשְׁמָעֵאל: בְּאוֹתָהּ שָׁעָה נִבְקַע שְׁאוֹל מִתַּחְתָּיו.</t>
  </si>
  <si>
    <t>therefore, he was hung by his hair, as it is stated “And Absalom chanced to meet the servants of David. And Absalom was riding upon his mule, and the mule went under the thick boughs of a great terebinth, and his head caught hold of the terebinth, and he was taken up between the heaven and the earth; and the mule that was under him went on” took a sword [ safseira ] and wanted to cut his hair The school of Rabbi Yishmael taught: At that moment, the netherworld opened beneath him</t>
  </si>
  <si>
    <t>Therefore, he was hanged by his hair, as it is stated: "And Absalom called before David's servants, and Absalom rode upon the mule, and the mule came under the thick branches of a great terebinth, and his head caught hold of the terebinth, and he was suspended between heaven and earth, and the mule that was under him went on." Shikl Sapsera sought to refute it. The school of Rabbi Yishmael taught: At that moment, Sheol split open beneath him.</t>
  </si>
  <si>
    <t>Therefore he was hung by his hair, as it is said: “And Avshalom happened to meet the servants of David, and Avshalom was riding upon the mule, and the mule came under the thick boughs of the great terebinth, and his head caught hold in the terebinth, and he was set between the heavens and between the earth, and the mule that was under him passed on.” He took a sword; he sought to cut him off. It was taught in the school of Rabbi Yishma’el: At that hour She’ol was split open from beneath him.</t>
  </si>
  <si>
    <t>רַבִּי יְהוּדָה אוֹמֵר: ״זֹאת״, שֶׁאֵין הָאִשָּׁה שׁוֹתָה וְשׁוֹנָה. אָמַר רַבִּי יְהוּדָה: מַעֲשֶׂה וְהֵעִיד לְפָנֵינוּ נְחוּנְיָא חוֹפֵר שִׁיחִין שֶׁהָאִשָּׁה שׁוֹתָה וְשׁוֹנָה, וְקִיבַּלְנוּ עֵדוּתוֹ בִּשְׁנֵי אֲנָשִׁים, אֲבָל לֹא בְּאִישׁ אֶחָד.</t>
  </si>
  <si>
    <t>Rabbi Yehuda says: “this” that the woman does not drink and repeat. Rabbi Yehuda said: an incident Neḥunya the ditch digger testified before us that the woman drinks and repeats, and we accepted his testimony with regard to two men, but not with regard to one man.</t>
  </si>
  <si>
    <t>Rabbi Yehuda says: "This," that a woman does not drink and inspect. Rabbi Yehuda said: There was an incident, and Nahum the digger testified before us that a woman drinks and inspects, and we accepted his testimony with two men, but not with one man.</t>
  </si>
  <si>
    <t>Rabbi Yehudah says: “This,” that the woman does not drink and repeat. Rabbi Yehudah said: An incident, and Neḥunya Ḥofer Shiḥin testified before us that the woman drinks and repeats, and we accepted his testimony with two men, but not with one man.</t>
  </si>
  <si>
    <t>קָרָא וְלֹא שָׁנָה — הֲרֵי זֶה בּוּר, לֹא קָרָא וְלֹא שָׁנָה — עָלָיו הַכָּתוּב אוֹמֵר: ״וְזָרַעְתִּי אֶת בֵּית יִשְׂרָאֵל וְאֶת בֵּית יְהוּדָה זֶרַע אָדָם וְזֶרַע בְּהֵמָה״.</t>
  </si>
  <si>
    <t>read but did not learn he is a boor. With regard to did not read and did not learn the verse states: and I will sow the house of Israel and the house of Judah with the seed of man, and with the seed of beast”</t>
  </si>
  <si>
    <t>He read and did not repeat - this is a pit, he did not read and did not repeat - the verse says about him: "And I will sow the house of Israel and the house of Judah with the seed of man and the seed of beast."</t>
  </si>
  <si>
    <t>He read and did not learn — behold this one is a bur; he did not read and did not learn — about him the verse says: “And I will sow the house of Yisrael and the house of Yehudah, seed of man and seed of beast.”</t>
  </si>
  <si>
    <t>הֵשִׁיבוּ חֲכָמִים: לְדִבְרֵי רַבִּי יוֹסֵי בְּרַבִּי יְהוּדָה אֵין לַדָּבָר סוֹף. מַאי נִיהוּ? דְּזִמְנִין דְּלָא קַנִּי וְאָמַר ״קַנַּאי״.</t>
  </si>
  <si>
    <t>The Rabbis responded: According to the statement of Rabbi Yosei, son of Rabbi Yehuda, there is no end to the matter. What is that times when did not warn but says: I warned her,</t>
  </si>
  <si>
    <t>The sages responded: According to the words of Rabbi Yosei, the son of Rabbi Yehuda, there is no end to the matter. What is the reason? In times when one does not acquire and says "zealous."</t>
  </si>
  <si>
    <t>The Ḥakhamim replied: According to the words of Rabbi Yosei beRabbi Yehudah, the matter has no end. What is it? For sometimes he did not acquire and he said: “I have acquired.”</t>
  </si>
  <si>
    <t>וְתַנְיָא, אָמַר רַבִּי יְהוּדָה: אִילְמָלֵא מִקְרָא כָּתוּב, אִי אֶפְשָׁר לְאוֹמְרוֹ. הֵיכָן מֹשֶׁה מֵת — בְּחֶלְקוֹ שֶׁל רְאוּבֵן, דִּכְתִיב: ״וַיַּעַל מֹשֶׁה מֵעַרְבֹת מוֹאָב אֶל הַר נְבוֹ״, וּנְבוֹ בְּחֶלְקוֹ שֶׁל רְאוּבֵן קָיְימָא, דִּכְתִיב: ״וּבְנֵי רְאוּבֵן בָּנוּ וְגוֹ׳ וְאֶת נְבוֹ וְגוֹ׳״.</t>
  </si>
  <si>
    <t>And it is taught Rabbi Yehuda said: If not for written verse, one could not say Where did Moses die? In the portion of Reuben, as it is written: “And Moses went up from the plains of Moab to Mount Nebo” and Nebo is situated in the portion of Reuben, as it is written: “And the children of Reuben built and Nebo”</t>
  </si>
  <si>
    <t>Talmudic text: And it was taught, Rabbi Yehuda said: If not for the verse written, it would be impossible to say it. Where did Moses die? In the portion of Reuben, as it is written: "And Moses went up from the plains of Moab to Mount Nebo," and Nebo is in the portion of Reuben, as it is written: "And the sons of Reuben built... and Nebo..."</t>
  </si>
  <si>
    <t>And it is taught: Rabbi Yehudah said: Were it not a verse written, it would be impossible to say it. Where did Moshe die? In the portion of Re’uven, as it is written: “And Moshe went up from the plains of Mo’av to Mount Nevo,” and Nevo stands in the portion of Re’uven, as it is written: “And the children of Re’uven built, etc., and Nevo, etc.”</t>
  </si>
  <si>
    <t>תָּנָא: כּוּלָּם לַמִּלְחָמָה בָּאוּ, כֵּיוָן שֶׁרָאוּ כִּתְרוֹ שֶׁל יוֹסֵף תָּלוּי בַּאֲרוֹנוֹ שֶׁל יַעֲקֹב, נָטְלוּ כּוּלָּן כִּתְרֵיהֶן וּתְלָאוּם בַּאֲרוֹנוֹ שֶׁל יַעֲקֹב. תָּנָא: שְׁלֹשִׁים וְשִׁשָּׁה כְּתָרִים נִתְלוּ בַּאֲרוֹנוֹ שֶׁל יַעֲקֹב.</t>
  </si>
  <si>
    <t>taught: they all came to war once they saw the crown of Joseph, hanging on the casket of Jacob, they all took their crowns and hung them on the casket of Jacob. taught: Thirty-six crowns were hung on the casket of Jacob.</t>
  </si>
  <si>
    <t>Mishnah: They all came to the war, as soon as they saw the crown of Joseph hanging on the Ark of Jacob, they all took off their crowns and hung them on the Ark of Jacob. Mishnah: Thirty-six crowns were hung on the Ark of Jacob.</t>
  </si>
  <si>
    <t>It was taught: All of them came for war; once they saw the keter of Yosef hanging on the aron of Ya‘akov, all of them took their ketarim and hung them on the aron of Ya‘akov. It was taught: Thirty and six ketarim were hung on the aron of Ya‘akov.</t>
  </si>
  <si>
    <t>רַבִּי אֶלְעָזָר אוֹמֵר: אַף מוֹרִידִין אוֹתוֹ מִגְּדוּלָּתוֹ, דִּכְתִיב: ״וַיְהִי בָּעֵת הַהִיא וַיֵּרֶד יְהוּדָה״.</t>
  </si>
  <si>
    <t>Rabbi Elazar says He is also demoted [ moridin ] from his greatness, as it is written: “And it came to pass at that time, that Judah went down [ vayyered ]</t>
  </si>
  <si>
    <t>Rabbi Elazar says: We also bring him down from his greatness, as it is written: "And it came to pass at that time that Judah went down."</t>
  </si>
  <si>
    <t>Rabbi Elʿazar says: Even they bring him down from his greatness, as it is written: “And it was at that time, and Yehudah went down.”</t>
  </si>
  <si>
    <t>אָמַר רַב יִצְחָק בַּר יוֹסֵף אָמַר רַבִּי יוֹחָנָן: אַף לְדִבְרֵי רַבִּי יוֹסֵי בְּרַבִּי יְהוּדָה אֵין לַדָּבָר סוֹף.</t>
  </si>
  <si>
    <t>Rav Yitzḥak bar Yosef says Rabbi Yoḥanan says: even according to the statement of Rabbi Yosei, son of Rabbi Yehuda, there is no end to the matter.</t>
  </si>
  <si>
    <t>Said Rav Yitzchak son of Yosef said Rabbi Yochanan: Even according to the words of Rabbi Yosei son of Rabbi Yehuda, there is no end to the matter.</t>
  </si>
  <si>
    <t>אָמַר Rav Yitzḥak bar Yosef אָמַר Rabbi Yoḥanan: Even according to the words of Rabbi Yosei beRabbi Yehudah, the matter has no end.</t>
  </si>
  <si>
    <t>הָתָם נָמֵי כְּתִיב ״לְאֹהֲבָיו וּלְשֹׁמְרֵי מִצְוֹתָיו לְאֶלֶף דּוֹר״!</t>
  </si>
  <si>
    <t>there also, it is written: with those who love Him and keep His commandments for a thousand generations”</t>
  </si>
  <si>
    <t>There, it is written: "to those who love Him and keep His commandments to a thousand generations"!</t>
  </si>
  <si>
    <t>There too it is written: “to those who love Him and to those who keep His commandments, to a thousand generations”!</t>
  </si>
  <si>
    <t>״וַתֵּרֶא אֶת הַתֵּיבָה בְּתוֹךְ הַסּוּף״, כֵּיוָן דַּחֲזוֹ דְּקָא בָעוּ לְאַצּוֹלֵי לְמֹשֶׁה, אָמְרוּ לָהּ: גְּבִירְתֵּנוּ, מִנְהָגוֹ שֶׁל עוֹלָם מֶלֶךְ בָּשָׂר וָדָם גּוֹזֵר גְּזֵירָה, אִם כׇּל הָעוֹלָם כּוּלּוֹ אֵין מְקַיְּימִין אוֹתָהּ — בָּנָיו וּבְנֵי בֵיתוֹ מְקַיְּימִין אוֹתָהּ, וְאַתְּ עוֹבֶרֶת עַל גְּזֵירַת אָבִיךְ? בָּא גַּבְרִיאֵל וַחֲבָטָן בַּקַּרְקַע.</t>
  </si>
  <si>
    <t>“And she saw the ark among the willows” Once saw that was intending to save Moses, they said to her: Our mistress, the custom of the world a king of flesh and blood decrees a decree, if all the world does not fulfill it, his children and members of his household fulfill it, and you are violating the decree of your father. Gabriel came and beat them to the ground</t>
  </si>
  <si>
    <t>"And she saw the ark in the midst of the reeds," as soon as she saw that they were coming to save Moses, they said to her: Our lady, the custom of the world, the king of flesh and blood decrees a decree, if the entire world does not fulfill it - his children and the members of his household fulfill it, and you are transgressing the decree of your father? Gabriel came and struck them to the ground.</t>
  </si>
  <si>
    <t>“‘And she saw the ark within the reeds’; since they saw that she was seeking to save Moshe, they said to her: Our lady, the custom of the world: a king of flesh and blood decrees a decree—if all the whole world do not fulfill it, his sons and the members of his house fulfill it; and you transgress the decree of your father? Came Gavri’el and struck them to the ground.”</t>
  </si>
  <si>
    <t>וְכׇל אוֹתָן שָׁנִים שֶׁהָיוּ יִשְׂרָאֵל בַּמִּדְבָּר, הָיוּ שְׁנֵי אֲרוֹנוֹת הַלָּלוּ, אֶחָד שֶׁל מֵת וְאֶחָד שֶׁל שְׁכִינָה, מְהַלְּכִין זֶה עִם זֶה, וְהָיוּ עוֹבְרִין וְשָׁבִין אוֹמְרִים: מָה טִיבָן שֶׁל שְׁנֵי אֲרוֹנוֹת הַלָּלוּ? אָמְרוּ: אֶחָד שֶׁל מֵת וְאֶחָד שֶׁל שְׁכִינָה. וְכִי מָה דַּרְכּוֹ שֶׁל מֵת לְהַלֵּךְ עִם שְׁכִינָה? אָמְרוּ:</t>
  </si>
  <si>
    <t>And all those years that the Jewish people were in the wilderness, these two arks, one of a dead man, and one of the Divine Presence, were traveling together, and passersby would say: What is the nature of these two arks? They said One of a dead person and one of the Divine Presence. And what the manner of a dead person to travel with the Divine Presence? They said</t>
  </si>
  <si>
    <t>And all those years that Israel was in the wilderness, these two arks were there, one of the deceased and one of the Divine Presence, walking together, and they would pass and return, saying: What is the nature of these two arks? They said: One of the deceased and one of the Divine Presence. And is it the way of the deceased to walk with the Divine Presence? They said:</t>
  </si>
  <si>
    <t>And all those years that Yisrael were in the wilderness, there were these two arks, one of a dead one and one of Shekhinah; they would go, this with this, and passersby and returners would say: What is the nature of these two arks? They said: One of a dead one and one of Shekhinah. And is it the way of a dead one to go with Shekhinah? They said:</t>
  </si>
  <si>
    <t>רַבִּי חָמָא בְּרַבִּי חֲנִינָא אָמַר: אַף מֹשֶׁה רַבֵּינוּ אֵינוֹ יוֹדֵעַ הֵיכָן קָבוּר. כְּתִיב הָכָא: ״וְלֹא יָדַע אִישׁ אֶת קְבֻרָתוֹ״, וּכְתִיב הָתָם: ״וְזֹאת הַבְּרָכָה אֲשֶׁר בֵּרַךְ מֹשֶׁה אִישׁ הָאֱלֹהִים״. וְאָמַר רַבִּי חָמָא בְּרַבִּי חֲנִינָא: מִפְּנֵי מָה נִקְבַּר מֹשֶׁה אֵצֶל בֵּית פְּעוֹר — כְּדֵי לְכַפֵּר עַל מַעֲשֵׂה פְעוֹר.</t>
  </si>
  <si>
    <t>Rabbi Ḥama, son of Rabbi Ḥanina, says: Even Moses our teacher does not know where he is buried. It is written here: “And no man knows of his grave,” and it is written there: “And this is the blessing wherewith Moses the man of God blessed And Rabbi Ḥama, son of Rabbi Ḥanina, says: For what was Moses buried near Beth Peor? In order to atone for the incident Peor</t>
  </si>
  <si>
    <t>Rabbi Ḥama son of Rabbi Ḥanina said: Even Moses our teacher does not know where he is buried. It is written here: "And no man knows his burial place," and it is written there: "And this is the blessing with which Moses, the man of God, blessed." And Rabbi Ḥama son of Rabbi Ḥanina said: Why was Moses buried near the house of Peor? In order to atone for the incident of Peor.</t>
  </si>
  <si>
    <t>Rabbi Ḥama be-Rabbi Ḥanina said: Even Moshe Rabbenu does not know where he is buried. It is written here: “and no man knew his burial,” and it is written there: “and this is the blessing that Moshe, the man of God, blessed.” And Rabbi Ḥama be-Rabbi Ḥanina said: For what reason was Moshe buried אצל Beit Pe’or — in order to atone for the deed of Pe’or.</t>
  </si>
  <si>
    <t>בִּשְׁלָמָא רְצוּעָה שֶׁל תְּפִלִּין, דִּכְתִיב: ״וְרָאוּ כׇּל עַמֵּי הָאָרֶץ כִּי שֵׁם ה׳ נִקְרָא עָלֶיךָ״, וְתַנְיָא, רַבִּי אֱלִיעֶזֶר הַגָּדוֹל אוֹמֵר: אֵלּוּ תְּפִלִּין שֶׁבָּרֹאשׁ.</t>
  </si>
  <si>
    <t>Granted, the strap of phylacteries as it is written: “And all the peoples of the earth shall see that the name of the Lord is called upon you; And it is taught Rabbi Eliezer the Great says: This is the phylacteries of the head,</t>
  </si>
  <si>
    <t>In truth, the strap of the tefillin, as it is written: "And all the peoples of the earth shall see that the name of the Lord is called upon you." And it was taught, Rabbi Eliezer the Great says: These are the tefillin that are on the head.</t>
  </si>
  <si>
    <t>Granted, the strap of tefillin, as it is written: “And all the peoples of the earth shall see that the name of the LORD is called upon you,” and it is taught: Rabbi Eliezer HaGadol says: These are the tefillin that are on the head.</t>
  </si>
  <si>
    <t>אֶלָּא, לְהַלֵּךְ אַחַר מִדּוֹתָיו שֶׁל הַקָּדוֹשׁ בָּרוּךְ הוּא: מָה הוּא מַלְבִּישׁ עֲרוּמִּים, דִּכְתִיב: ״וַיַּעַשׂ ה׳ אֱלֹהִים לְאָדָם וּלְאִשְׁתּוֹ כׇּתְנוֹת עוֹר וַיַּלְבִּשֵׁם״ — אַף אַתָּה הַלְבֵּשׁ עֲרוּמִּים. הַקָּדוֹשׁ בָּרוּךְ הוּא בִּיקֵּר חוֹלִים, דִּכְתִיב: ״וַיֵּרָא אֵלָיו ה׳ בְּאֵלֹנֵי מַמְרֵא״ — אַף אַתָּה בַּקֵּר חוֹלִים. הַקָּדוֹשׁ בָּרוּךְ הוּא נִיחֵם אֲבֵלִים, דִּכְתִיב: ״וַיְהִי אַחֲרֵי מוֹת אַבְרָהָם וַיְבָרֶךְ אֱלֹהִים אֶת יִצְחָק בְּנוֹ״ — אַף אַתָּה נַחֵם אֲבֵלִים. הַקָּדוֹשׁ בָּרוּךְ הוּא קָבַר מֵתִים, דִּכְתִיב: ״וַיִּקְבֹּר אוֹתוֹ בַּגַּי״ — אַף אַתָּה קְבוֹר מֵתִים.</t>
  </si>
  <si>
    <t>Rather, that one should follow the attributes of the Holy One, Blessed be He. Just as He clothes the naked, as it is written: “And the Lord God made for Adam and for his wife garments of skin, and clothed them” so too, you clothe the naked. the Holy One, Blessed be He, visits the sick, as it is written “And the Lord appeared unto him by the terebinths of Mamre” so too, you visit the sick. the Holy One, Blessed be He, consoles mourners, as it is written: “And it came to pass after the death of Abraham, that God blessed Isaac his son” so too, you console mourners. the Holy One, Blessed be He, buried the dead, as it is written: “And he was buried in the valley so too, you bury the dead.</t>
  </si>
  <si>
    <t>Talmudic text: Rather, to walk after the attributes of the Holy One, blessed be He: Just as He clothes the naked, as it is written: "And the Lord God made for Adam and for his wife garments of skin and clothed them" — so too, you should clothe the naked. The Holy One, blessed be He, visited the sick, as it is written: "And the Lord appeared to him by the terebinths of Mamre" — so too, you should visit the sick. The Holy One, blessed be He, comforted mourners, as it is written: "And it came to pass after the death of Abraham, that God blessed Isaac his son" — so too, you should comfort mourners. The Holy One, blessed be He, buried the dead, as it is written: "And he buried him in the valley" — so too, you should bury the dead.</t>
  </si>
  <si>
    <t>Rather, to walk after His measures of the HaKadosh Barukh Hu: just as He clothes the naked, as it is written: “And the LORD God made for Adam and for his wife garments of skin, and He clothed them” — so too you, clothe the naked. HaKadosh Barukh Hu visited the sick, as it is written: “And the LORD appeared to him in the terebinths of Mamre” — so too you, visit the sick. HaKadosh Barukh Hu comforted mourners, as it is written: “And it was after the death of Avraham, that God blessed Yitzḥak his son” — so too you, comfort mourners. HaKadosh Barukh Hu buried the dead, as it is written: “And he buried him in the valley” — so too you, bury the dead.</t>
  </si>
  <si>
    <t>מַתְקֵיף לַהּ רָבָא: תַּרְוַיְיהוּ קוֹדֶם שֶׁנִּמְחֲקָה מְגִילָּה כְּתִיבָן? אֶלָּא אָמַר רָבָא: אַחַת שְׁבוּעָה שֶׁיֵּשׁ עִמָּהּ אָלָה, וְאַחַת שְׁבוּעָה שֶׁאֵין עִמָּהּ אָלָה.</t>
  </si>
  <si>
    <t>Rava objects to this: Both of the are written before the scroll erased. Rather, Rava said: One is an oath that has a curse with it, and one is an oath that does not have a curse with it.</t>
  </si>
  <si>
    <t>Rava objects to it: Both of them were written before the Megillah was erased? Rather, Rava said: One week that has a curse with it, and one week that does not have a curse with it.</t>
  </si>
  <si>
    <t>Rava objects to her: Are both of them written before the scroll is erased? Rather, Rava said: one, an oath that has with it an imprecation, and one, an oath that does not have with it an imprecation.</t>
  </si>
  <si>
    <t>בְּפוּלְמוּס שֶׁל טִיטוּס גָּזְרוּ עַל עַטְרוֹת כַּלּוֹת, וְשֶׁלֹּא יְלַמֵּד אָדָם אֶת בְּנוֹ יְווֹנִית.</t>
  </si>
  <si>
    <t>In the war of Titus they decreed upon the crowns of brides, and that a person should not teach his son Greek.</t>
  </si>
  <si>
    <t>In the pulmus of Titus they decreed on bridal crowns, and so that a person should not teach his son Greek.</t>
  </si>
  <si>
    <t>In the *pulmus* of *Titus* they decreed concerning the crowns of brides, and that a man should not teach his son Greek.</t>
  </si>
  <si>
    <t>וְאוֹמֶרֶת: עֲתִידָה אִמִּי שֶׁתֵּלֵד בֵּן שֶׁמּוֹשִׁיעַ אֶת יִשְׂרָאֵל. וְכֵיוָן שֶׁנּוֹלַד מֹשֶׁה נִתְמַלֵּא כָּל הַבַּיִת כּוּלּוֹ אוֹר. עָמַד אָבִיהָ וּנְשָׁקָהּ עַל רֹאשָׁהּ, אָמַר לָהּ: בִּתִּי, נִתְקַיְּימָה נְבוּאָתִיךְ. וְכֵיוָן שֶׁהִטִּילוּהוּ לַיְאוֹר, עָמַד אָבִיהָ וּטְפָחָהּ עַל רֹאשָׁהּ, אָמַר לָהּ: בִּתִּי הֵיכָן נְבוּאָתִיךְ? וְהַיְינוּ דִּכְתִיב: ״וַתֵּתַצַּב אֲחוֹתוֹ מֵרָחוֹק לְדֵעָה מַה יֵּעָשֶׂה לוֹ״ — לֵידַע מָה יְהֵא בְּסוֹף נְבוּאָתָהּ.</t>
  </si>
  <si>
    <t>And would say: In the future, my mother will give birth to a son who will save the Jewish people. And once Moses was born, the entire house was filled with light. Her father arose and kissed her on her head. He said to her: My daughter, your prophecy has been fulfilled. And once they put him into the river, her father arose and hit her on her head. He said to her: My daughter, where is your prophecy? And this is as it is written: “And his sister stood afar off, to know what would be done to him” to know what will be the ultimate of her prophecy.</t>
  </si>
  <si>
    <t>And she says: My mother is destined to give birth to a son who will save Israel. And once Moses was born, the entire house was filled with light. Her father stood up and kissed her on her head, and said to her: My daughter, may your prophecy be fulfilled. And when they cast him into the river, her father stood up and slapped her on her head, and said to her: My daughter, where is your prophecy now? This is as it is written: "And his sister stood from afar to know what would be done to him" - to know what would be the end of her prophecy.</t>
  </si>
  <si>
    <t>And she says: In the future my mother is destined to bear a son who will save Yisrael. And once Moshe was born, the entire house was filled, all of it, with light. Her father stood and kissed her on her head, he said to her: My daughter, your prophecy has been fulfilled. And once they cast him into the Ye’or, her father stood and struck her on her head, he said to her: My daughter, where is your prophecy? And this is that which is written: “And his sister stood from afar, to know what would be done to him” — to know what will be at the end of her prophecy.</t>
  </si>
  <si>
    <t>אָמַר לוֹ הַקָּדוֹשׁ בָּרוּךְ הוּא: כְּלוּם אַתָּה מְבַקֵּשׁ אֶלָּא לְקַבֵּל שָׂכָר? מַעֲלֶה אֲנִי עָלֶיךָ כְּאִילּוּ עֲשִׂיתָם, שֶׁנֶּאֱמַר: ״לָכֵן אֲחַלֶּק לוֹ בָרַבִּים וְאֶת עֲצוּמִים יְחַלֵּק שָׁלָל תַּחַת אֲשֶׁר הֶעֱרָה לַמָּוֶת נַפְשׁוֹ וְאֶת פּוֹשְׁעִים נִמְנָה וְהוּא חֵטְא רַבִּים נָשָׂא וְלַפֹּשְׁעִים יַפְגִּיעַ״.</t>
  </si>
  <si>
    <t>The Holy One, Blessed be He, said to him: Do you seek for any other than to receive a reward? I will ascribe you as if you had performed them as it is stated: “Therefore will I divide him a portion among the great, and he shall divide the spoil with the mighty; because he bared his soul unto death, and was numbered with the transgressors; yet he bore the sin of many, and made intercession for the transgressors”</t>
  </si>
  <si>
    <t>He said to him the Holy One, blessed be He: "Are you seeking nothing but to receive reward? I credit you as if you have done them, as it is said: 'Therefore will I divide him a portion with the great, and he shall divide the spoil with the strong; because he poured out his soul unto death, and was numbered with the transgressors; yet he bore the sin of many, and made intercession for the transgressors.'"</t>
  </si>
  <si>
    <t>אָמַר לוֹ הַקָּדוֹשׁ בָּרוּךְ הוּא: The Holy One, blessed be He, said to him: כְּלוּם אַתָּה מְבַקֵּשׁ אֶלָּא לְקַבֵּל שָׂכָר? Is it anything that you seek except to receive reward? מַעֲלֶה אֲנִי עָלֶיךָ כְּאִילּוּ עֲשִׂיתָם, I account it for you as though you did them, שֶׁנֶּאֱמַר: as it is said: “לָכֵן אֲחַלֶּק לוֹ בָרַבִּים וְאֶת עֲצוּמִים יְחַלֵּק שָׁלָל תַּחַת אֲשֶׁר הֶעֱרָה לַמָּוֶת נַפְשׁוֹ וְאֶת פּוֹשְׁעִים נִמְנָה וְהוּא חֵטְא רַבִּים נָשָׂא וְלַפֹּשְׁעִים יַפְגִּיעַ”. “Therefore I will divide to him among the many, and with the mighty he shall divide spoil; because he poured out to death his soul, and with transgressors he was numbered; and he bore the sin of many, and for the transgressors he shall intercede.”</t>
  </si>
  <si>
    <t>וְכֵיוָן שֶׁמִּתְעַבְּרוֹת בָּאוֹת לְבָתֵּיהֶם, וְכֵיוָן שֶׁמַּגִּיעַ זְמַן מוֹלְדֵיהֶן הוֹלְכוֹת וְיוֹלְדוֹת בַּשָּׂדֶה תַּחַת הַתַּפּוּחַ, שֶׁנֶּאֱמַר: ״תַּחַת הַתַּפּוּחַ עוֹרַרְתִּיךָ וְגוֹ׳״.</t>
  </si>
  <si>
    <t>And when become pregnant, they would come to their homes, and when the time for them to give birth they would go and give birth in the field under the apple tree, as it is stated: “Under the apple tree I awakened you;</t>
  </si>
  <si>
    <t>And when they become pregnant, they come back to their homes, and when the time of their giving birth arrives, they go and give birth in the field under the apple tree, as it is said: "Under the apple tree I awakened you..."</t>
  </si>
  <si>
    <t>And since they became pregnant, they came to their houses, and since the time of their giving birth arrived, they would go and give birth in the field under the tappu’aḥ, as it is stated: “Under the tappu’aḥ I awakened you, etc.”.</t>
  </si>
  <si>
    <t>רַבִּי חֲנִינָא בַּר פָּפָּא אָמַר: אוֹתוֹ הַיּוֹם עֶשְׂרִים וְאֶחָד בְּנִיסָן הָיָה, אָמְרוּ מַלְאֲכֵי הַשָּׁרֵת לִפְנֵי הַקָּדוֹשׁ בָּרוּךְ הוּא: רִבּוֹנוֹ שֶׁל עוֹלָם, מִי שֶׁעָתִיד לוֹמַר שִׁירָה עַל הַיָּם בְּיוֹם זֶה — יִלְקֶה בְּיוֹם זֶה?</t>
  </si>
  <si>
    <t>Rabbi Ḥanina bar Pappa says: That day was the twenty-first of Nisan. The ministering angels said before the Holy One, Blessed be He: Master of the Universe, one who in the future will say Song at the Sea on this day be stricken on this day?</t>
  </si>
  <si>
    <t>Rabbi Chanina bar Papa said: That day was the twenty-first of Nisan. The ministering angels said before the Holy One, blessed be He: Master of the Universe, one who is destined to sing a song at the sea on this day - shall be drowned on this day?</t>
  </si>
  <si>
    <t>רַבִּי חֲנִינָא בַּר פָּפָּא אָמַר: Rabbi Ḥanina bar Pappa said: אוֹתוֹ הַיּוֹם עֶשְׂרִים וְאֶחָד בְּנִיסָן הָיָה, that day was the twenty-first of Nisan; אָמְרוּ מַלְאֲכֵי הַשָּׁרֵת לִפְנֵי הַקָּדוֹשׁ בָּרוּךְ הוּא: the ministering angels said before the Holy One, blessed be He: רִבּוֹנוֹ שֶׁל עוֹלָם, Master of the world, מִי שֶׁעָתִיד לוֹמַר שִׁירָה עַל הַיָּם בְּיוֹם זֶה — one who is destined to say song at the sea on this day— יִלְקֶה בְּיוֹם זֶה? will he be flogged on this day?</t>
  </si>
  <si>
    <t>״וַיֹּאמֶר אֲלֵיהֶם בֶּן מֵאָה וְעֶשְׂרִים שָׁנָה אָנֹכִי הַיּוֹם״, שֶׁאֵין תַּלְמוּד לוֹמַר ״הַיּוֹם״: הַיּוֹם מָלְאוּ יָמַי וּשְׁנוֹתַי. לְלַמֶּדְךָ שֶׁהַקָּדוֹשׁ בָּרוּךְ הוּא מַשְׁלִים שְׁנוֹתֵיהֶם שֶׁל צַדִּיקִים מִיּוֹם לְיוֹם וּמֵחֹדֶשׁ לְחֹדֶשׁ, דִּכְתִיב: ״אֶת מִסְפַּר יָמֶיךָ אֲמַלֵּא״.</t>
  </si>
  <si>
    <t>“And he said to them: I am a hundred and twenty years old this day; as no the verse to state “this day.” this day, my days and years have been completed to teach you that the Holy One, Blessed be He, completes the years of the righteous from day to day and from month to month, as it is written: “The number of your days I will fill”</t>
  </si>
  <si>
    <t>"And he said to them, 'I am a hundred and twenty years old today,' as the Talmud does not say 'today': 'Today my days and years have been completed.' To teach you that the Holy One, blessed be He, completes the years of the righteous from day to day and from month to month, as it is written: 'I will fulfill the number of your days.'"</t>
  </si>
  <si>
    <t>“And he said to them: ‘A son of one hundred and twenty years am I today’,” for there is no need for the Talmud to say “today”: today my days and my years were completed. To teach you that the Holy One, blessed be He, completes the years of the righteous from day to day and from month to month, as it is written: “The number of your days I will fill.”</t>
  </si>
  <si>
    <t>בִּשְׁלָמָא לְמַאן דְּאָמַר בְּשִׁשָּׁה בְּסִיוָן, מַשְׁכַּחַתְּ לַהּ תְּלָתָא יַרְחֵי. דְּאָמַר מָר: בְּשִׁבְעָה בַּאֲדָר מֵת, וּבְשִׁבְעָה בַּאֲדָר נוֹלָד מֹשֶׁה, וּמִשִּׁבְעָה בַּאֲדָר וְעַד שִׁשָּׁה בְּסִיוָן תְּלָתָא יַרְחֵי. אֶלָּא לְמַאן דְּאָמַר בְּעֶשְׂרִים וְאֶחָד בְּנִיסָן, הֵיכִי מַשְׁכַּחַתְּ לַהּ?</t>
  </si>
  <si>
    <t>Granted, according to the one who says on the sixth of Sivan, you find three months as the Master said died on the seventh of Adar, and Moses was born on the seventh of Adar. And from the seventh of Adar until the sixth of Sivan three months, But according to the one who says on the twenty-first of Nisan, how can you find</t>
  </si>
  <si>
    <t>In truth, according to the one who says on the sixth of Sivan, she forgets three months. For the Master said: On the seventh of Adar, Moses died, and on the seventh of Adar, Moses was born, and from the seventh of Adar until the sixth of Sivan is three months. But according to the one who says on the twenty-first of Nisan, how does she forget?</t>
  </si>
  <si>
    <t>Granted, according to the one who says on the sixth of Sivan, you find for it three months. As the Master said: On the seventh of Adar he died, and on the seventh of Adar Moshe was born, and from the seventh of Adar until the sixth of Sivan is three months. But according to the one who says on the twenty-first of Nisan, how do you find for it?</t>
  </si>
  <si>
    <t>רַבִּי אַחָא בַּר חֲנִינָא אָמַר: אוֹתוֹ הַיּוֹם שִׁשָּׁה בְּסִיוָן הָיָה, אָמְרוּ מַלְאֲכֵי הַשָּׁרֵת לִפְנֵי הַקָּדוֹשׁ בָּרוּךְ הוּא: רִבּוֹנוֹ שֶׁל עוֹלָם, מִי שֶׁעָתִיד לְקַבֵּל תּוֹרָה מֵהַר סִינַי בְּיוֹם זֶה — יִלְקֶה בְּיוֹם זֶה?</t>
  </si>
  <si>
    <t>Rabbi Aḥa bar Ḥanina says: That day was the sixth of Sivan. The ministering angels said before the Holy One, Blessed be He: Master of the Universe, one who in the future will receive Torah on Mount Sinai on this day be stricken on this day?</t>
  </si>
  <si>
    <t>Rabbi Ahah bar Hanina said: That day was the sixth of Sivan. The ministering angels said before the Holy One, blessed be He: Master of the Universe, one who is destined to receive the Torah from Mount Sinai on this day - shall he be punished on this day?</t>
  </si>
  <si>
    <t>רַבִּי אַחָא בַּר חֲנִינָא said: That day was the sixth of Sivan; the ministering angels said before the Holy One, blessed be He: Master of the world, he who is destined to receive Torah from Mount Sinai on this day — shall he be flogged on this day?</t>
  </si>
  <si>
    <t>וְכֵן מָצִינוּ בְּקַיִן וְקֹרַח וּבִלְעָם וְדוֹאֵג וַאֲחִיתוֹפֶל וְגֵחֲזִי וְאַבְשָׁלוֹם וַאֲדוֹנִיָּהוּ וְעוּזִּיָּהוּ וְהָמָן — שֶׁנָּתְנוּ עֵינֵיהֶם בְּמַה שֶּׁאֵינוֹ רָאוּי לָהֶם. מַה שֶּׁבִּיקְּשׁוּ — לֹא נִיתַּן לָהֶם, וּמַה שֶּׁבְּיָדָם — נְטָלוּהוּ מֵהֶם.</t>
  </si>
  <si>
    <t>And so we found with regard to Cain, and Korah, and Balaam, and Doeg, and Ahithophel, and Gehazi, and Absalom, and Adonijah, and Uzziah, and Haman, who placed their eyes on that which is unfit for them, and what they desired was not given to them, and what they had was taken from them.</t>
  </si>
  <si>
    <t>And so we find with Cain, and Korah, and Balaam, and Doeg, and Ahithophel, and Gehazi, and Absalom, and Adonijah, and Uzziah, and Haman - that they set their eyes on that which was not fitting for them. What they sought - was not given to them, and what was in their hands - was taken from them.</t>
  </si>
  <si>
    <t>And so we found with Qayin and Qoraḥ and Bil‘am and Do’eg and Aḥitofel and Geḥazi and Avshalom and Adoniyahu and ‘Uzziyahu and Haman — that they set their eyes upon that which is not fitting for them. What they sought — was not given to them, and what was in their hand — they took it from them.</t>
  </si>
  <si>
    <t>״וַיִּרְאֶהָ יְהוּדָה וַיַּחְשְׁבֶהָ לְזוֹנָה כִּי כִסְּתָה פָּנֶיהָ״. מִשּׁוּם דְּכִסְּתָה פָּנֶיהָ, חַשְּׁבַהּ לְזוֹנָה?!</t>
  </si>
  <si>
    <t>“When Judah saw her, he thought her to be a prostitute, for she had covered her face” Because she had covered her face he thought her to be a prostitute?</t>
  </si>
  <si>
    <t>"And Judah saw her and he thought her to be a prostitute, for she had covered her face." Because she covered her face, he thought her to be a prostitute?!</t>
  </si>
  <si>
    <t>“And Yehudah saw her and he thought her for a zonah, for she had covered her face” (Genesis 38:15). Because she had covered her face, he thought her for a zonah?!</t>
  </si>
  <si>
    <t>מִשֶּׁמֵּת רַבָּן יוֹחָנָן בֶּן זַכַּאי בָּטַל זִיו הַחׇכְמָה. מִשֶּׁמֵּת רַבָּן גַּמְלִיאֵל הַזָּקֵן בָּטַל כְּבוֹד הַתּוֹרָה, וּמֵתָה טׇהֳרָה וּפְרִישׁוּת. מִשֶּׁמֵּת רַבִּי יִשְׁמָעֵאל בֶּן פִּאָבִי בָּטְלָה זִיו הַכְּהוּנָּה. מִשֶּׁמֵּת רַבִּי בָּטְלָ[ה] עֲנָוָה וְיִרְאַת חֵטְא.</t>
  </si>
  <si>
    <t>From when Rabban Yoḥanan ben Zakkai died, the glory of wisdom ceased; from when Rabban Gamliel the Elder died, the honor of the Torah ceased, and purity and asceticism died. From when Rabbi Yishmael ben Pavi died, the glory of the priesthood ceased; from when Rabbi died, humility and fear of sin ceased.</t>
  </si>
  <si>
    <t>From when Rabban Yochanan ben Zakkai died, the splendor of wisdom ceased. From when Rabban Gamliel the Elder died, the honor of the Torah ceased, and purity and separation ceased. From when Rabbi Yishmael ben Piavi died, the radiance of the priesthood ceased. From when Rabbi died, humility and fear of sin ceased.</t>
  </si>
  <si>
    <t>From when Rabban Yoḥanan ben Zakkai died, the radiance of wisdom was nullified. From when Rabban Gamliel haZaken died, the honor of the Torah was nullified, and purity and abstinence died. From when Rabbi Yishmaʿel ben Piʾavi died, the radiance of the priesthood was nullified. From when Rabbi died, humility and fear of sin were nullified.</t>
  </si>
  <si>
    <t>קִיֵּים זֶה כׇּל מַה שֶּׁכָּתוּב בָּזֶה.</t>
  </si>
  <si>
    <t>This fulfilled all that is written in this.</t>
  </si>
  <si>
    <t>Fulfilled this all that is written in this.</t>
  </si>
  <si>
    <t>He fulfilled this: all that is written in this.</t>
  </si>
  <si>
    <t>וּמַעֲלֵהוּ</t>
  </si>
  <si>
    <t>And he brings it up</t>
  </si>
  <si>
    <t>And he brings it up.</t>
  </si>
  <si>
    <t>And he raises it up.</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</si>
</sst>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4A86E8"/>
        <bgColor rgb="FF4A86E8"/>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2" fontId="1" numFmtId="0" xfId="0" applyAlignment="1" applyFill="1" applyFont="1">
      <alignment readingOrder="0" shrinkToFit="0" vertical="top" wrapText="1"/>
    </xf>
    <xf borderId="0" fillId="3" fontId="1" numFmtId="0" xfId="0" applyAlignment="1" applyFill="1" applyFon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shrinkToFit="0" vertical="top" wrapText="1"/>
    </xf>
    <xf quotePrefix="1" borderId="0" fillId="0" fontId="1"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12.63"/>
    <col customWidth="1" min="3" max="3" width="12.13"/>
    <col customWidth="1" min="4" max="5" width="28.75"/>
    <col customWidth="1" hidden="1" min="6" max="7" width="28.75"/>
    <col customWidth="1" min="8" max="8" width="28.75"/>
    <col customWidth="1" hidden="1" min="9" max="12" width="44.75"/>
    <col customWidth="1" min="13" max="13" width="18.63"/>
    <col customWidth="1" min="14" max="14" width="17.25"/>
    <col customWidth="1" hidden="1" min="15" max="23" width="44.75"/>
    <col customWidth="1" min="24" max="24" width="28.88"/>
    <col customWidth="1" min="25" max="25" width="23.0"/>
    <col customWidth="1" min="26" max="26" width="30.75"/>
    <col hidden="1" min="27" max="27" width="12.63"/>
    <col customWidth="1" min="28" max="29" width="12.63"/>
    <col hidden="1" min="30" max="35" width="12.63"/>
    <col customWidth="1" min="36" max="36" width="12.63"/>
    <col hidden="1" min="37" max="77" width="12.63"/>
    <col customWidth="1" min="78" max="78" width="12.63"/>
    <col customWidth="1" min="79" max="79" width="11.88"/>
    <col customWidth="1" min="80" max="80" width="12.63"/>
    <col customWidth="1" min="81" max="81" width="11.88"/>
    <col customWidth="1" min="82" max="82"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2" t="s">
        <v>24</v>
      </c>
      <c r="Z1" s="2" t="s">
        <v>25</v>
      </c>
      <c r="AA1" s="1" t="s">
        <v>26</v>
      </c>
      <c r="AB1" s="1" t="s">
        <v>27</v>
      </c>
      <c r="AC1" s="1" t="s">
        <v>28</v>
      </c>
      <c r="AD1" s="1" t="s">
        <v>29</v>
      </c>
      <c r="AE1" s="1" t="s">
        <v>30</v>
      </c>
      <c r="AF1" s="1" t="s">
        <v>31</v>
      </c>
      <c r="AG1" s="1" t="s">
        <v>32</v>
      </c>
      <c r="AH1" s="1" t="s">
        <v>33</v>
      </c>
      <c r="AI1" s="1"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4"/>
      <c r="CF1" s="4"/>
    </row>
    <row r="2" hidden="1">
      <c r="A2" s="1" t="s">
        <v>82</v>
      </c>
      <c r="B2" s="1" t="s">
        <v>83</v>
      </c>
      <c r="C2" s="1">
        <v>21.0</v>
      </c>
      <c r="D2" s="5" t="s">
        <v>84</v>
      </c>
      <c r="E2" s="1" t="s">
        <v>85</v>
      </c>
      <c r="F2" s="1">
        <v>113.0</v>
      </c>
      <c r="G2" s="1">
        <v>0.7906</v>
      </c>
      <c r="H2" s="1" t="s">
        <v>86</v>
      </c>
      <c r="I2" s="4" t="b">
        <f>IFERROR(__xludf.DUMMYFUNCTION("IF(H2="""",,REGEXMATCH(H2,""[א-ת]""))"),FALSE)</f>
        <v>0</v>
      </c>
      <c r="J2" s="1" t="s">
        <v>87</v>
      </c>
      <c r="K2" s="1" t="s">
        <v>88</v>
      </c>
      <c r="L2" s="1">
        <v>0.0</v>
      </c>
      <c r="M2" s="1">
        <v>0.44</v>
      </c>
      <c r="N2" s="1">
        <v>100.0</v>
      </c>
      <c r="O2" s="1">
        <v>0.8849557522</v>
      </c>
      <c r="P2" s="4"/>
      <c r="Q2" s="4"/>
      <c r="R2" s="1" t="s">
        <v>89</v>
      </c>
      <c r="S2" s="1" t="s">
        <v>85</v>
      </c>
      <c r="T2" s="1" t="s">
        <v>83</v>
      </c>
      <c r="U2" s="1">
        <v>22.0</v>
      </c>
      <c r="V2" s="5" t="s">
        <v>84</v>
      </c>
      <c r="W2" s="1" t="s">
        <v>85</v>
      </c>
      <c r="X2" s="1" t="s">
        <v>90</v>
      </c>
      <c r="Y2" s="4"/>
      <c r="Z2" s="4"/>
      <c r="AA2" s="4" t="b">
        <f>IFERROR(__xludf.DUMMYFUNCTION("IF(X2="""",,REGEXMATCH(X2,""[א-ת]""))"),FALSE)</f>
        <v>0</v>
      </c>
      <c r="AB2" s="1">
        <v>34.18</v>
      </c>
      <c r="AC2" s="1">
        <v>44.25</v>
      </c>
      <c r="AD2" s="1">
        <v>0.645725621924889</v>
      </c>
      <c r="AE2" s="1">
        <v>0.0</v>
      </c>
      <c r="AF2" s="1">
        <v>0.7906</v>
      </c>
      <c r="AG2" s="1">
        <v>6.337</v>
      </c>
      <c r="AH2" s="1">
        <v>6.781</v>
      </c>
      <c r="AI2" s="1" t="b">
        <v>1</v>
      </c>
      <c r="AJ2" s="1" t="b">
        <v>0</v>
      </c>
      <c r="AK2" s="1">
        <v>94.182</v>
      </c>
      <c r="AL2" s="1">
        <v>96.508</v>
      </c>
      <c r="AM2" s="1" t="b">
        <v>1</v>
      </c>
      <c r="AN2" s="1" t="b">
        <v>0</v>
      </c>
      <c r="AO2" s="1">
        <v>8.05</v>
      </c>
      <c r="AP2" s="1">
        <v>8.53399999999999</v>
      </c>
      <c r="AQ2" s="1" t="b">
        <v>1</v>
      </c>
      <c r="AR2" s="1" t="b">
        <v>0</v>
      </c>
      <c r="AS2" s="1">
        <v>86.9179999999999</v>
      </c>
      <c r="AT2" s="1">
        <v>87.152</v>
      </c>
      <c r="AU2" s="1" t="b">
        <v>1</v>
      </c>
      <c r="AV2" s="1" t="b">
        <v>0</v>
      </c>
      <c r="AW2" s="1">
        <v>9.61399999999999</v>
      </c>
      <c r="AX2" s="1">
        <v>11.026</v>
      </c>
      <c r="AY2" s="1" t="b">
        <v>1</v>
      </c>
      <c r="AZ2" s="1" t="b">
        <v>0</v>
      </c>
      <c r="BA2" s="1">
        <v>81.25</v>
      </c>
      <c r="BB2" s="1">
        <v>77.78</v>
      </c>
      <c r="BC2" s="1" t="b">
        <v>1</v>
      </c>
      <c r="BD2" s="1" t="b">
        <v>0</v>
      </c>
      <c r="BE2" s="1">
        <v>11.34</v>
      </c>
      <c r="BF2" s="1">
        <v>13.285</v>
      </c>
      <c r="BG2" s="1" t="b">
        <v>1</v>
      </c>
      <c r="BH2" s="1" t="b">
        <v>0</v>
      </c>
      <c r="BI2" s="1">
        <v>77.78</v>
      </c>
      <c r="BJ2" s="1">
        <v>75.0</v>
      </c>
      <c r="BK2" s="1" t="b">
        <v>1</v>
      </c>
      <c r="BL2" s="1" t="b">
        <v>0</v>
      </c>
      <c r="BM2" s="1">
        <v>13.121</v>
      </c>
      <c r="BN2" s="1">
        <v>14.568</v>
      </c>
      <c r="BO2" s="1" t="b">
        <v>1</v>
      </c>
      <c r="BP2" s="1" t="b">
        <v>0</v>
      </c>
      <c r="BQ2" s="1">
        <v>75.0</v>
      </c>
      <c r="BR2" s="1">
        <v>72.027</v>
      </c>
      <c r="BS2" s="1" t="b">
        <v>1</v>
      </c>
      <c r="BT2" s="1" t="b">
        <v>0</v>
      </c>
      <c r="BU2" s="1" t="s">
        <v>91</v>
      </c>
      <c r="BV2" s="1" t="s">
        <v>91</v>
      </c>
      <c r="BW2" s="1" t="s">
        <v>91</v>
      </c>
      <c r="BX2" s="1" t="s">
        <v>91</v>
      </c>
      <c r="BY2" s="1" t="s">
        <v>91</v>
      </c>
      <c r="BZ2" s="1" t="s">
        <v>91</v>
      </c>
      <c r="CA2" s="1" t="s">
        <v>91</v>
      </c>
      <c r="CB2" s="1" t="s">
        <v>91</v>
      </c>
      <c r="CC2" s="1" t="s">
        <v>91</v>
      </c>
      <c r="CD2" s="1" t="s">
        <v>91</v>
      </c>
      <c r="CE2" s="4"/>
      <c r="CF2" s="4"/>
    </row>
    <row r="3" hidden="1">
      <c r="A3" s="1" t="s">
        <v>82</v>
      </c>
      <c r="B3" s="1" t="s">
        <v>92</v>
      </c>
      <c r="C3" s="1">
        <v>12.0</v>
      </c>
      <c r="D3" s="5" t="s">
        <v>93</v>
      </c>
      <c r="E3" s="1" t="s">
        <v>94</v>
      </c>
      <c r="F3" s="1">
        <v>73.0</v>
      </c>
      <c r="G3" s="1">
        <v>-0.8481</v>
      </c>
      <c r="H3" s="1" t="s">
        <v>95</v>
      </c>
      <c r="I3" s="4" t="b">
        <f>IFERROR(__xludf.DUMMYFUNCTION("IF(H3="""",,REGEXMATCH(H3,""[א-ת]""))"),FALSE)</f>
        <v>0</v>
      </c>
      <c r="J3" s="4"/>
      <c r="K3" s="4"/>
      <c r="L3" s="1">
        <v>0.0</v>
      </c>
      <c r="M3" s="1">
        <v>0.56</v>
      </c>
      <c r="N3" s="1">
        <v>100.0</v>
      </c>
      <c r="O3" s="1">
        <v>1.369863014</v>
      </c>
      <c r="P3" s="4"/>
      <c r="Q3" s="4"/>
      <c r="R3" s="1" t="s">
        <v>96</v>
      </c>
      <c r="S3" s="1" t="s">
        <v>94</v>
      </c>
      <c r="T3" s="1" t="s">
        <v>92</v>
      </c>
      <c r="U3" s="1">
        <v>13.0</v>
      </c>
      <c r="V3" s="5" t="s">
        <v>93</v>
      </c>
      <c r="W3" s="1" t="s">
        <v>94</v>
      </c>
      <c r="X3" s="1" t="s">
        <v>97</v>
      </c>
      <c r="Y3" s="4"/>
      <c r="Z3" s="4"/>
      <c r="AA3" s="4" t="b">
        <f>IFERROR(__xludf.DUMMYFUNCTION("IF(X3="""",,REGEXMATCH(X3,""[א-ת]""))"),FALSE)</f>
        <v>0</v>
      </c>
      <c r="AB3" s="1">
        <v>21.23</v>
      </c>
      <c r="AC3" s="1">
        <v>63.01</v>
      </c>
      <c r="AD3" s="1">
        <v>0.389425617118428</v>
      </c>
      <c r="AE3" s="1">
        <v>-0.5267</v>
      </c>
      <c r="AF3" s="1">
        <v>-0.8481</v>
      </c>
      <c r="AG3" s="1">
        <v>6.337</v>
      </c>
      <c r="AH3" s="1">
        <v>6.781</v>
      </c>
      <c r="AI3" s="1" t="b">
        <v>1</v>
      </c>
      <c r="AJ3" s="1" t="b">
        <v>0</v>
      </c>
      <c r="AK3" s="1">
        <v>94.182</v>
      </c>
      <c r="AL3" s="1">
        <v>96.508</v>
      </c>
      <c r="AM3" s="1" t="b">
        <v>1</v>
      </c>
      <c r="AN3" s="1" t="b">
        <v>0</v>
      </c>
      <c r="AO3" s="1">
        <v>8.05</v>
      </c>
      <c r="AP3" s="1">
        <v>8.53399999999999</v>
      </c>
      <c r="AQ3" s="1" t="b">
        <v>1</v>
      </c>
      <c r="AR3" s="1" t="b">
        <v>0</v>
      </c>
      <c r="AS3" s="1">
        <v>86.9179999999999</v>
      </c>
      <c r="AT3" s="1">
        <v>87.152</v>
      </c>
      <c r="AU3" s="1" t="b">
        <v>1</v>
      </c>
      <c r="AV3" s="1" t="b">
        <v>0</v>
      </c>
      <c r="AW3" s="1">
        <v>9.61399999999999</v>
      </c>
      <c r="AX3" s="1">
        <v>11.026</v>
      </c>
      <c r="AY3" s="1" t="b">
        <v>1</v>
      </c>
      <c r="AZ3" s="1" t="b">
        <v>0</v>
      </c>
      <c r="BA3" s="1">
        <v>81.25</v>
      </c>
      <c r="BB3" s="1">
        <v>77.78</v>
      </c>
      <c r="BC3" s="1" t="b">
        <v>1</v>
      </c>
      <c r="BD3" s="1" t="b">
        <v>0</v>
      </c>
      <c r="BE3" s="1">
        <v>11.34</v>
      </c>
      <c r="BF3" s="1">
        <v>13.285</v>
      </c>
      <c r="BG3" s="1" t="b">
        <v>1</v>
      </c>
      <c r="BH3" s="1" t="b">
        <v>0</v>
      </c>
      <c r="BI3" s="1">
        <v>77.78</v>
      </c>
      <c r="BJ3" s="1">
        <v>75.0</v>
      </c>
      <c r="BK3" s="1" t="b">
        <v>1</v>
      </c>
      <c r="BL3" s="1" t="b">
        <v>0</v>
      </c>
      <c r="BM3" s="1">
        <v>13.121</v>
      </c>
      <c r="BN3" s="1">
        <v>14.568</v>
      </c>
      <c r="BO3" s="1" t="b">
        <v>1</v>
      </c>
      <c r="BP3" s="1" t="b">
        <v>0</v>
      </c>
      <c r="BQ3" s="1">
        <v>75.0</v>
      </c>
      <c r="BR3" s="1">
        <v>72.027</v>
      </c>
      <c r="BS3" s="1" t="b">
        <v>1</v>
      </c>
      <c r="BT3" s="1" t="b">
        <v>0</v>
      </c>
      <c r="BU3" s="1" t="s">
        <v>91</v>
      </c>
      <c r="BV3" s="1" t="s">
        <v>91</v>
      </c>
      <c r="BW3" s="1" t="s">
        <v>91</v>
      </c>
      <c r="BX3" s="1" t="s">
        <v>91</v>
      </c>
      <c r="BY3" s="1" t="s">
        <v>91</v>
      </c>
      <c r="BZ3" s="1" t="s">
        <v>91</v>
      </c>
      <c r="CA3" s="1" t="s">
        <v>91</v>
      </c>
      <c r="CB3" s="1" t="s">
        <v>91</v>
      </c>
      <c r="CC3" s="1" t="s">
        <v>91</v>
      </c>
      <c r="CD3" s="1" t="s">
        <v>91</v>
      </c>
      <c r="CE3" s="4"/>
      <c r="CF3" s="4"/>
    </row>
    <row r="4">
      <c r="A4" s="1" t="s">
        <v>82</v>
      </c>
      <c r="B4" s="1" t="s">
        <v>98</v>
      </c>
      <c r="C4" s="1">
        <v>20.0</v>
      </c>
      <c r="D4" s="5" t="s">
        <v>99</v>
      </c>
      <c r="E4" s="1" t="s">
        <v>100</v>
      </c>
      <c r="F4" s="1">
        <v>38.0</v>
      </c>
      <c r="G4" s="1">
        <v>-0.4767</v>
      </c>
      <c r="H4" s="1" t="s">
        <v>101</v>
      </c>
      <c r="I4" s="4" t="b">
        <f>IFERROR(__xludf.DUMMYFUNCTION("IF(H4="""",,REGEXMATCH(H4,""[א-ת]""))"),FALSE)</f>
        <v>0</v>
      </c>
      <c r="J4" s="4"/>
      <c r="K4" s="4"/>
      <c r="L4" s="1">
        <v>0.0</v>
      </c>
      <c r="M4" s="1">
        <v>1.28</v>
      </c>
      <c r="N4" s="1">
        <v>86.84</v>
      </c>
      <c r="O4" s="1">
        <v>2.285263158</v>
      </c>
      <c r="P4" s="4"/>
      <c r="Q4" s="4"/>
      <c r="R4" s="1" t="s">
        <v>89</v>
      </c>
      <c r="S4" s="1" t="s">
        <v>100</v>
      </c>
      <c r="T4" s="1" t="s">
        <v>98</v>
      </c>
      <c r="U4" s="1">
        <v>21.0</v>
      </c>
      <c r="V4" s="5" t="s">
        <v>99</v>
      </c>
      <c r="W4" s="1" t="s">
        <v>100</v>
      </c>
      <c r="X4" s="1" t="s">
        <v>102</v>
      </c>
      <c r="Y4" s="1" t="s">
        <v>103</v>
      </c>
      <c r="Z4" s="4"/>
      <c r="AA4" s="4" t="b">
        <f>IFERROR(__xludf.DUMMYFUNCTION("IF(X4="""",,REGEXMATCH(X4,""[א-ת]""))"),FALSE)</f>
        <v>0</v>
      </c>
      <c r="AB4" s="1">
        <v>4.73</v>
      </c>
      <c r="AC4" s="1">
        <v>84.21</v>
      </c>
      <c r="AD4" s="1">
        <v>0.468320657424174</v>
      </c>
      <c r="AE4" s="1">
        <v>0.0</v>
      </c>
      <c r="AF4" s="1">
        <v>-0.4767</v>
      </c>
      <c r="AG4" s="1">
        <v>6.337</v>
      </c>
      <c r="AH4" s="1">
        <v>6.781</v>
      </c>
      <c r="AI4" s="1" t="b">
        <v>1</v>
      </c>
      <c r="AJ4" s="1" t="b">
        <v>1</v>
      </c>
      <c r="AK4" s="1">
        <v>94.182</v>
      </c>
      <c r="AL4" s="1">
        <v>96.508</v>
      </c>
      <c r="AM4" s="1" t="b">
        <v>0</v>
      </c>
      <c r="AN4" s="1" t="b">
        <v>0</v>
      </c>
      <c r="AO4" s="1">
        <v>8.05</v>
      </c>
      <c r="AP4" s="1">
        <v>8.53399999999999</v>
      </c>
      <c r="AQ4" s="1" t="b">
        <v>1</v>
      </c>
      <c r="AR4" s="1" t="b">
        <v>1</v>
      </c>
      <c r="AS4" s="1">
        <v>86.9179999999999</v>
      </c>
      <c r="AT4" s="1">
        <v>87.152</v>
      </c>
      <c r="AU4" s="1" t="b">
        <v>0</v>
      </c>
      <c r="AV4" s="1" t="b">
        <v>0</v>
      </c>
      <c r="AW4" s="1">
        <v>9.61399999999999</v>
      </c>
      <c r="AX4" s="1">
        <v>11.026</v>
      </c>
      <c r="AY4" s="1" t="b">
        <v>1</v>
      </c>
      <c r="AZ4" s="1" t="b">
        <v>1</v>
      </c>
      <c r="BA4" s="1">
        <v>81.25</v>
      </c>
      <c r="BB4" s="1">
        <v>77.78</v>
      </c>
      <c r="BC4" s="1" t="b">
        <v>1</v>
      </c>
      <c r="BD4" s="1" t="b">
        <v>1</v>
      </c>
      <c r="BE4" s="1">
        <v>11.34</v>
      </c>
      <c r="BF4" s="1">
        <v>13.285</v>
      </c>
      <c r="BG4" s="1" t="b">
        <v>1</v>
      </c>
      <c r="BH4" s="1" t="b">
        <v>1</v>
      </c>
      <c r="BI4" s="1">
        <v>77.78</v>
      </c>
      <c r="BJ4" s="1">
        <v>75.0</v>
      </c>
      <c r="BK4" s="1" t="b">
        <v>1</v>
      </c>
      <c r="BL4" s="1" t="b">
        <v>1</v>
      </c>
      <c r="BM4" s="1">
        <v>13.121</v>
      </c>
      <c r="BN4" s="1">
        <v>14.568</v>
      </c>
      <c r="BO4" s="1" t="b">
        <v>1</v>
      </c>
      <c r="BP4" s="1" t="b">
        <v>1</v>
      </c>
      <c r="BQ4" s="1">
        <v>75.0</v>
      </c>
      <c r="BR4" s="1">
        <v>72.027</v>
      </c>
      <c r="BS4" s="1" t="b">
        <v>1</v>
      </c>
      <c r="BT4" s="1" t="b">
        <v>1</v>
      </c>
      <c r="BU4" s="1" t="s">
        <v>104</v>
      </c>
      <c r="BV4" s="1" t="s">
        <v>105</v>
      </c>
      <c r="BW4" s="1" t="s">
        <v>104</v>
      </c>
      <c r="BX4" s="1" t="s">
        <v>105</v>
      </c>
      <c r="BY4" s="1" t="s">
        <v>104</v>
      </c>
      <c r="BZ4" s="1" t="s">
        <v>104</v>
      </c>
      <c r="CA4" s="1" t="s">
        <v>104</v>
      </c>
      <c r="CB4" s="1" t="s">
        <v>104</v>
      </c>
      <c r="CC4" s="1" t="s">
        <v>104</v>
      </c>
      <c r="CD4" s="1" t="s">
        <v>104</v>
      </c>
      <c r="CE4" s="4"/>
      <c r="CF4" s="4"/>
    </row>
    <row r="5">
      <c r="A5" s="1" t="s">
        <v>82</v>
      </c>
      <c r="B5" s="1" t="s">
        <v>98</v>
      </c>
      <c r="C5" s="1">
        <v>19.0</v>
      </c>
      <c r="D5" s="5" t="s">
        <v>106</v>
      </c>
      <c r="E5" s="1" t="s">
        <v>107</v>
      </c>
      <c r="F5" s="1">
        <v>43.0</v>
      </c>
      <c r="G5" s="1">
        <v>-0.4678</v>
      </c>
      <c r="H5" s="1" t="s">
        <v>108</v>
      </c>
      <c r="I5" s="4" t="b">
        <f>IFERROR(__xludf.DUMMYFUNCTION("IF(H5="""",,REGEXMATCH(H5,""[א-ת]""))"),FALSE)</f>
        <v>0</v>
      </c>
      <c r="J5" s="4"/>
      <c r="K5" s="4"/>
      <c r="L5" s="1">
        <v>0.1007</v>
      </c>
      <c r="M5" s="1">
        <v>1.31</v>
      </c>
      <c r="N5" s="1">
        <v>88.37</v>
      </c>
      <c r="O5" s="1">
        <v>2.055116279</v>
      </c>
      <c r="P5" s="4"/>
      <c r="Q5" s="4"/>
      <c r="R5" s="1" t="s">
        <v>89</v>
      </c>
      <c r="S5" s="1" t="s">
        <v>107</v>
      </c>
      <c r="T5" s="1" t="s">
        <v>98</v>
      </c>
      <c r="U5" s="1">
        <v>20.0</v>
      </c>
      <c r="V5" s="5" t="s">
        <v>106</v>
      </c>
      <c r="W5" s="1" t="s">
        <v>107</v>
      </c>
      <c r="X5" s="1" t="s">
        <v>109</v>
      </c>
      <c r="Y5" s="1" t="s">
        <v>110</v>
      </c>
      <c r="Z5" s="4"/>
      <c r="AA5" s="4" t="b">
        <f>IFERROR(__xludf.DUMMYFUNCTION("IF(X5="""",,REGEXMATCH(X5,""[א-ת]""))"),FALSE)</f>
        <v>0</v>
      </c>
      <c r="AB5" s="1">
        <v>4.56</v>
      </c>
      <c r="AC5" s="1">
        <v>79.07</v>
      </c>
      <c r="AD5" s="1">
        <v>0.273440753889724</v>
      </c>
      <c r="AE5" s="1">
        <v>0.0</v>
      </c>
      <c r="AF5" s="1">
        <v>-0.4678</v>
      </c>
      <c r="AG5" s="1">
        <v>6.337</v>
      </c>
      <c r="AH5" s="1">
        <v>6.781</v>
      </c>
      <c r="AI5" s="1" t="b">
        <v>1</v>
      </c>
      <c r="AJ5" s="1" t="b">
        <v>1</v>
      </c>
      <c r="AK5" s="1">
        <v>94.182</v>
      </c>
      <c r="AL5" s="1">
        <v>96.508</v>
      </c>
      <c r="AM5" s="1" t="b">
        <v>0</v>
      </c>
      <c r="AN5" s="1" t="b">
        <v>0</v>
      </c>
      <c r="AO5" s="1">
        <v>8.05</v>
      </c>
      <c r="AP5" s="1">
        <v>8.53399999999999</v>
      </c>
      <c r="AQ5" s="1" t="b">
        <v>1</v>
      </c>
      <c r="AR5" s="1" t="b">
        <v>1</v>
      </c>
      <c r="AS5" s="1">
        <v>86.9179999999999</v>
      </c>
      <c r="AT5" s="1">
        <v>87.152</v>
      </c>
      <c r="AU5" s="1" t="b">
        <v>1</v>
      </c>
      <c r="AV5" s="1" t="b">
        <v>0</v>
      </c>
      <c r="AW5" s="1">
        <v>9.61399999999999</v>
      </c>
      <c r="AX5" s="1">
        <v>11.026</v>
      </c>
      <c r="AY5" s="1" t="b">
        <v>1</v>
      </c>
      <c r="AZ5" s="1" t="b">
        <v>1</v>
      </c>
      <c r="BA5" s="1">
        <v>81.25</v>
      </c>
      <c r="BB5" s="1">
        <v>77.78</v>
      </c>
      <c r="BC5" s="1" t="b">
        <v>1</v>
      </c>
      <c r="BD5" s="1" t="b">
        <v>1</v>
      </c>
      <c r="BE5" s="1">
        <v>11.34</v>
      </c>
      <c r="BF5" s="1">
        <v>13.285</v>
      </c>
      <c r="BG5" s="1" t="b">
        <v>1</v>
      </c>
      <c r="BH5" s="1" t="b">
        <v>1</v>
      </c>
      <c r="BI5" s="1">
        <v>77.78</v>
      </c>
      <c r="BJ5" s="1">
        <v>75.0</v>
      </c>
      <c r="BK5" s="1" t="b">
        <v>1</v>
      </c>
      <c r="BL5" s="1" t="b">
        <v>1</v>
      </c>
      <c r="BM5" s="1">
        <v>13.121</v>
      </c>
      <c r="BN5" s="1">
        <v>14.568</v>
      </c>
      <c r="BO5" s="1" t="b">
        <v>1</v>
      </c>
      <c r="BP5" s="1" t="b">
        <v>1</v>
      </c>
      <c r="BQ5" s="1">
        <v>75.0</v>
      </c>
      <c r="BR5" s="1">
        <v>72.027</v>
      </c>
      <c r="BS5" s="1" t="b">
        <v>1</v>
      </c>
      <c r="BT5" s="1" t="b">
        <v>1</v>
      </c>
      <c r="BU5" s="1" t="s">
        <v>104</v>
      </c>
      <c r="BV5" s="1" t="s">
        <v>105</v>
      </c>
      <c r="BW5" s="1" t="s">
        <v>104</v>
      </c>
      <c r="BX5" s="1" t="s">
        <v>91</v>
      </c>
      <c r="BY5" s="1" t="s">
        <v>104</v>
      </c>
      <c r="BZ5" s="1" t="s">
        <v>104</v>
      </c>
      <c r="CA5" s="1" t="s">
        <v>104</v>
      </c>
      <c r="CB5" s="1" t="s">
        <v>104</v>
      </c>
      <c r="CC5" s="1" t="s">
        <v>104</v>
      </c>
      <c r="CD5" s="1" t="s">
        <v>104</v>
      </c>
      <c r="CE5" s="4"/>
      <c r="CF5" s="4"/>
    </row>
    <row r="6" hidden="1">
      <c r="A6" s="1" t="s">
        <v>82</v>
      </c>
      <c r="B6" s="1" t="s">
        <v>111</v>
      </c>
      <c r="C6" s="1">
        <v>27.0</v>
      </c>
      <c r="D6" s="5" t="s">
        <v>112</v>
      </c>
      <c r="E6" s="1" t="s">
        <v>113</v>
      </c>
      <c r="F6" s="1">
        <v>64.0</v>
      </c>
      <c r="G6" s="1">
        <v>-0.4939</v>
      </c>
      <c r="H6" s="1" t="s">
        <v>114</v>
      </c>
      <c r="I6" s="4" t="b">
        <f>IFERROR(__xludf.DUMMYFUNCTION("IF(H6="""",,REGEXMATCH(H6,""[א-ת]""))"),FALSE)</f>
        <v>0</v>
      </c>
      <c r="J6" s="4"/>
      <c r="K6" s="4"/>
      <c r="L6" s="1">
        <v>0.1301</v>
      </c>
      <c r="M6" s="1">
        <v>1.71</v>
      </c>
      <c r="N6" s="1">
        <v>117.19</v>
      </c>
      <c r="O6" s="1">
        <v>1.83109375</v>
      </c>
      <c r="P6" s="4"/>
      <c r="Q6" s="4"/>
      <c r="R6" s="1" t="s">
        <v>89</v>
      </c>
      <c r="S6" s="1" t="s">
        <v>113</v>
      </c>
      <c r="T6" s="1" t="s">
        <v>111</v>
      </c>
      <c r="U6" s="1">
        <v>28.0</v>
      </c>
      <c r="V6" s="5" t="s">
        <v>112</v>
      </c>
      <c r="W6" s="1" t="s">
        <v>113</v>
      </c>
      <c r="X6" s="1" t="s">
        <v>115</v>
      </c>
      <c r="Y6" s="4"/>
      <c r="Z6" s="4"/>
      <c r="AA6" s="4" t="b">
        <f>IFERROR(__xludf.DUMMYFUNCTION("IF(X6="""",,REGEXMATCH(X6,""[א-ת]""))"),FALSE)</f>
        <v>0</v>
      </c>
      <c r="AB6" s="1">
        <v>6.93</v>
      </c>
      <c r="AC6" s="1">
        <v>114.06</v>
      </c>
      <c r="AD6" s="1">
        <v>0.258741511604347</v>
      </c>
      <c r="AE6" s="1">
        <v>-0.3612</v>
      </c>
      <c r="AF6" s="1">
        <v>-0.4939</v>
      </c>
      <c r="AG6" s="1">
        <v>6.337</v>
      </c>
      <c r="AH6" s="1">
        <v>6.781</v>
      </c>
      <c r="AI6" s="1" t="b">
        <v>1</v>
      </c>
      <c r="AJ6" s="1" t="b">
        <v>0</v>
      </c>
      <c r="AK6" s="1">
        <v>94.182</v>
      </c>
      <c r="AL6" s="1">
        <v>96.508</v>
      </c>
      <c r="AM6" s="1" t="b">
        <v>1</v>
      </c>
      <c r="AN6" s="1" t="b">
        <v>1</v>
      </c>
      <c r="AO6" s="1">
        <v>8.05</v>
      </c>
      <c r="AP6" s="1">
        <v>8.53399999999999</v>
      </c>
      <c r="AQ6" s="1" t="b">
        <v>1</v>
      </c>
      <c r="AR6" s="1" t="b">
        <v>1</v>
      </c>
      <c r="AS6" s="1">
        <v>86.9179999999999</v>
      </c>
      <c r="AT6" s="1">
        <v>87.152</v>
      </c>
      <c r="AU6" s="1" t="b">
        <v>1</v>
      </c>
      <c r="AV6" s="1" t="b">
        <v>1</v>
      </c>
      <c r="AW6" s="1">
        <v>9.61399999999999</v>
      </c>
      <c r="AX6" s="1">
        <v>11.026</v>
      </c>
      <c r="AY6" s="1" t="b">
        <v>1</v>
      </c>
      <c r="AZ6" s="1" t="b">
        <v>1</v>
      </c>
      <c r="BA6" s="1">
        <v>81.25</v>
      </c>
      <c r="BB6" s="1">
        <v>77.78</v>
      </c>
      <c r="BC6" s="1" t="b">
        <v>1</v>
      </c>
      <c r="BD6" s="1" t="b">
        <v>1</v>
      </c>
      <c r="BE6" s="1">
        <v>11.34</v>
      </c>
      <c r="BF6" s="1">
        <v>13.285</v>
      </c>
      <c r="BG6" s="1" t="b">
        <v>1</v>
      </c>
      <c r="BH6" s="1" t="b">
        <v>1</v>
      </c>
      <c r="BI6" s="1">
        <v>77.78</v>
      </c>
      <c r="BJ6" s="1">
        <v>75.0</v>
      </c>
      <c r="BK6" s="1" t="b">
        <v>1</v>
      </c>
      <c r="BL6" s="1" t="b">
        <v>1</v>
      </c>
      <c r="BM6" s="1">
        <v>13.121</v>
      </c>
      <c r="BN6" s="1">
        <v>14.568</v>
      </c>
      <c r="BO6" s="1" t="b">
        <v>1</v>
      </c>
      <c r="BP6" s="1" t="b">
        <v>1</v>
      </c>
      <c r="BQ6" s="1">
        <v>75.0</v>
      </c>
      <c r="BR6" s="1">
        <v>72.027</v>
      </c>
      <c r="BS6" s="1" t="b">
        <v>1</v>
      </c>
      <c r="BT6" s="1" t="b">
        <v>1</v>
      </c>
      <c r="BU6" s="1" t="s">
        <v>91</v>
      </c>
      <c r="BV6" s="1" t="s">
        <v>104</v>
      </c>
      <c r="BW6" s="1" t="s">
        <v>104</v>
      </c>
      <c r="BX6" s="1" t="s">
        <v>104</v>
      </c>
      <c r="BY6" s="1" t="s">
        <v>104</v>
      </c>
      <c r="BZ6" s="1" t="s">
        <v>104</v>
      </c>
      <c r="CA6" s="1" t="s">
        <v>104</v>
      </c>
      <c r="CB6" s="1" t="s">
        <v>104</v>
      </c>
      <c r="CC6" s="1" t="s">
        <v>104</v>
      </c>
      <c r="CD6" s="1" t="s">
        <v>104</v>
      </c>
      <c r="CE6" s="4"/>
      <c r="CF6" s="4"/>
    </row>
    <row r="7">
      <c r="A7" s="1" t="s">
        <v>82</v>
      </c>
      <c r="B7" s="1" t="s">
        <v>116</v>
      </c>
      <c r="C7" s="1">
        <v>11.0</v>
      </c>
      <c r="D7" s="5" t="s">
        <v>117</v>
      </c>
      <c r="E7" s="1" t="s">
        <v>118</v>
      </c>
      <c r="F7" s="1">
        <v>15.0</v>
      </c>
      <c r="G7" s="1">
        <v>-0.296</v>
      </c>
      <c r="H7" s="1" t="s">
        <v>119</v>
      </c>
      <c r="I7" s="4" t="b">
        <f>IFERROR(__xludf.DUMMYFUNCTION("IF(H7="""",,REGEXMATCH(H7,""[א-ת]""))"),FALSE)</f>
        <v>0</v>
      </c>
      <c r="J7" s="4"/>
      <c r="K7" s="4"/>
      <c r="L7" s="1">
        <v>0.0</v>
      </c>
      <c r="M7" s="1">
        <v>2.05</v>
      </c>
      <c r="N7" s="1">
        <v>120.0</v>
      </c>
      <c r="O7" s="1">
        <v>8.0</v>
      </c>
      <c r="P7" s="4"/>
      <c r="Q7" s="4"/>
      <c r="R7" s="1" t="s">
        <v>89</v>
      </c>
      <c r="S7" s="1" t="s">
        <v>118</v>
      </c>
      <c r="T7" s="1" t="s">
        <v>116</v>
      </c>
      <c r="U7" s="1">
        <v>12.0</v>
      </c>
      <c r="V7" s="5" t="s">
        <v>117</v>
      </c>
      <c r="W7" s="1" t="s">
        <v>118</v>
      </c>
      <c r="X7" s="1" t="s">
        <v>120</v>
      </c>
      <c r="Y7" s="1" t="s">
        <v>121</v>
      </c>
      <c r="Z7" s="1" t="s">
        <v>122</v>
      </c>
      <c r="AA7" s="4" t="b">
        <f>IFERROR(__xludf.DUMMYFUNCTION("IF(X7="""",,REGEXMATCH(X7,""[א-ת]""))"),FALSE)</f>
        <v>0</v>
      </c>
      <c r="AB7" s="1">
        <v>1.21</v>
      </c>
      <c r="AC7" s="1">
        <v>153.33</v>
      </c>
      <c r="AD7" s="1">
        <v>0.0140868170146714</v>
      </c>
      <c r="AE7" s="1">
        <v>0.0</v>
      </c>
      <c r="AF7" s="1">
        <v>-0.296</v>
      </c>
      <c r="AG7" s="1">
        <v>6.337</v>
      </c>
      <c r="AH7" s="1">
        <v>6.781</v>
      </c>
      <c r="AI7" s="1" t="b">
        <v>1</v>
      </c>
      <c r="AJ7" s="1" t="b">
        <v>1</v>
      </c>
      <c r="AK7" s="1">
        <v>94.182</v>
      </c>
      <c r="AL7" s="1">
        <v>96.508</v>
      </c>
      <c r="AM7" s="1" t="b">
        <v>1</v>
      </c>
      <c r="AN7" s="1" t="b">
        <v>1</v>
      </c>
      <c r="AO7" s="1">
        <v>8.05</v>
      </c>
      <c r="AP7" s="1">
        <v>8.53399999999999</v>
      </c>
      <c r="AQ7" s="1" t="b">
        <v>1</v>
      </c>
      <c r="AR7" s="1" t="b">
        <v>1</v>
      </c>
      <c r="AS7" s="1">
        <v>86.9179999999999</v>
      </c>
      <c r="AT7" s="1">
        <v>87.152</v>
      </c>
      <c r="AU7" s="1" t="b">
        <v>1</v>
      </c>
      <c r="AV7" s="1" t="b">
        <v>1</v>
      </c>
      <c r="AW7" s="1">
        <v>9.61399999999999</v>
      </c>
      <c r="AX7" s="1">
        <v>11.026</v>
      </c>
      <c r="AY7" s="1" t="b">
        <v>1</v>
      </c>
      <c r="AZ7" s="1" t="b">
        <v>1</v>
      </c>
      <c r="BA7" s="1">
        <v>81.25</v>
      </c>
      <c r="BB7" s="1">
        <v>77.78</v>
      </c>
      <c r="BC7" s="1" t="b">
        <v>1</v>
      </c>
      <c r="BD7" s="1" t="b">
        <v>1</v>
      </c>
      <c r="BE7" s="1">
        <v>11.34</v>
      </c>
      <c r="BF7" s="1">
        <v>13.285</v>
      </c>
      <c r="BG7" s="1" t="b">
        <v>1</v>
      </c>
      <c r="BH7" s="1" t="b">
        <v>1</v>
      </c>
      <c r="BI7" s="1">
        <v>77.78</v>
      </c>
      <c r="BJ7" s="1">
        <v>75.0</v>
      </c>
      <c r="BK7" s="1" t="b">
        <v>1</v>
      </c>
      <c r="BL7" s="1" t="b">
        <v>1</v>
      </c>
      <c r="BM7" s="1">
        <v>13.121</v>
      </c>
      <c r="BN7" s="1">
        <v>14.568</v>
      </c>
      <c r="BO7" s="1" t="b">
        <v>1</v>
      </c>
      <c r="BP7" s="1" t="b">
        <v>1</v>
      </c>
      <c r="BQ7" s="1">
        <v>75.0</v>
      </c>
      <c r="BR7" s="1">
        <v>72.027</v>
      </c>
      <c r="BS7" s="1" t="b">
        <v>1</v>
      </c>
      <c r="BT7" s="1" t="b">
        <v>1</v>
      </c>
      <c r="BU7" s="1" t="s">
        <v>104</v>
      </c>
      <c r="BV7" s="1" t="s">
        <v>104</v>
      </c>
      <c r="BW7" s="1" t="s">
        <v>104</v>
      </c>
      <c r="BX7" s="1" t="s">
        <v>104</v>
      </c>
      <c r="BY7" s="1" t="s">
        <v>104</v>
      </c>
      <c r="BZ7" s="1" t="s">
        <v>104</v>
      </c>
      <c r="CA7" s="1" t="s">
        <v>104</v>
      </c>
      <c r="CB7" s="1" t="s">
        <v>104</v>
      </c>
      <c r="CC7" s="1" t="s">
        <v>104</v>
      </c>
      <c r="CD7" s="1" t="s">
        <v>104</v>
      </c>
      <c r="CE7" s="4"/>
      <c r="CF7" s="4"/>
    </row>
    <row r="8" hidden="1">
      <c r="A8" s="1" t="s">
        <v>82</v>
      </c>
      <c r="B8" s="1" t="s">
        <v>123</v>
      </c>
      <c r="C8" s="1">
        <v>3.0</v>
      </c>
      <c r="D8" s="5" t="s">
        <v>124</v>
      </c>
      <c r="E8" s="1" t="s">
        <v>125</v>
      </c>
      <c r="F8" s="1">
        <v>11.0</v>
      </c>
      <c r="G8" s="1">
        <v>0.0</v>
      </c>
      <c r="H8" s="1" t="s">
        <v>126</v>
      </c>
      <c r="I8" s="4" t="b">
        <f>IFERROR(__xludf.DUMMYFUNCTION("IF(H8="""",,REGEXMATCH(H8,""[א-ת]""))"),FALSE)</f>
        <v>0</v>
      </c>
      <c r="J8" s="4"/>
      <c r="K8" s="4"/>
      <c r="L8" s="1">
        <v>0.0</v>
      </c>
      <c r="M8" s="1">
        <v>2.13</v>
      </c>
      <c r="N8" s="1">
        <v>163.64</v>
      </c>
      <c r="O8" s="1">
        <v>14.87636364</v>
      </c>
      <c r="P8" s="4"/>
      <c r="Q8" s="4"/>
      <c r="R8" s="1" t="s">
        <v>127</v>
      </c>
      <c r="S8" s="1" t="s">
        <v>125</v>
      </c>
      <c r="T8" s="1" t="s">
        <v>123</v>
      </c>
      <c r="U8" s="1">
        <v>4.0</v>
      </c>
      <c r="V8" s="5" t="s">
        <v>124</v>
      </c>
      <c r="W8" s="1" t="s">
        <v>125</v>
      </c>
      <c r="X8" s="1" t="s">
        <v>128</v>
      </c>
      <c r="Y8" s="4"/>
      <c r="Z8" s="4"/>
      <c r="AA8" s="4" t="b">
        <f>IFERROR(__xludf.DUMMYFUNCTION("IF(X8="""",,REGEXMATCH(X8,""[א-ת]""))"),FALSE)</f>
        <v>0</v>
      </c>
      <c r="AB8" s="1">
        <v>9.08</v>
      </c>
      <c r="AC8" s="1">
        <v>109.09</v>
      </c>
      <c r="AD8" s="1">
        <v>0.351460774964488</v>
      </c>
      <c r="AE8" s="1">
        <v>0.0</v>
      </c>
      <c r="AF8" s="1">
        <v>0.0</v>
      </c>
      <c r="AG8" s="1">
        <v>6.337</v>
      </c>
      <c r="AH8" s="1">
        <v>6.781</v>
      </c>
      <c r="AI8" s="1" t="b">
        <v>1</v>
      </c>
      <c r="AJ8" s="1" t="b">
        <v>0</v>
      </c>
      <c r="AK8" s="1">
        <v>94.182</v>
      </c>
      <c r="AL8" s="1">
        <v>96.508</v>
      </c>
      <c r="AM8" s="1" t="b">
        <v>1</v>
      </c>
      <c r="AN8" s="1" t="b">
        <v>1</v>
      </c>
      <c r="AO8" s="1">
        <v>8.05</v>
      </c>
      <c r="AP8" s="1">
        <v>8.53399999999999</v>
      </c>
      <c r="AQ8" s="1" t="b">
        <v>1</v>
      </c>
      <c r="AR8" s="1" t="b">
        <v>0</v>
      </c>
      <c r="AS8" s="1">
        <v>86.9179999999999</v>
      </c>
      <c r="AT8" s="1">
        <v>87.152</v>
      </c>
      <c r="AU8" s="1" t="b">
        <v>1</v>
      </c>
      <c r="AV8" s="1" t="b">
        <v>1</v>
      </c>
      <c r="AW8" s="1">
        <v>9.61399999999999</v>
      </c>
      <c r="AX8" s="1">
        <v>11.026</v>
      </c>
      <c r="AY8" s="1" t="b">
        <v>1</v>
      </c>
      <c r="AZ8" s="1" t="b">
        <v>1</v>
      </c>
      <c r="BA8" s="1">
        <v>81.25</v>
      </c>
      <c r="BB8" s="1">
        <v>77.78</v>
      </c>
      <c r="BC8" s="1" t="b">
        <v>1</v>
      </c>
      <c r="BD8" s="1" t="b">
        <v>1</v>
      </c>
      <c r="BE8" s="1">
        <v>11.34</v>
      </c>
      <c r="BF8" s="1">
        <v>13.285</v>
      </c>
      <c r="BG8" s="1" t="b">
        <v>1</v>
      </c>
      <c r="BH8" s="1" t="b">
        <v>1</v>
      </c>
      <c r="BI8" s="1">
        <v>77.78</v>
      </c>
      <c r="BJ8" s="1">
        <v>75.0</v>
      </c>
      <c r="BK8" s="1" t="b">
        <v>1</v>
      </c>
      <c r="BL8" s="1" t="b">
        <v>1</v>
      </c>
      <c r="BM8" s="1">
        <v>13.121</v>
      </c>
      <c r="BN8" s="1">
        <v>14.568</v>
      </c>
      <c r="BO8" s="1" t="b">
        <v>1</v>
      </c>
      <c r="BP8" s="1" t="b">
        <v>1</v>
      </c>
      <c r="BQ8" s="1">
        <v>75.0</v>
      </c>
      <c r="BR8" s="1">
        <v>72.027</v>
      </c>
      <c r="BS8" s="1" t="b">
        <v>1</v>
      </c>
      <c r="BT8" s="1" t="b">
        <v>1</v>
      </c>
      <c r="BU8" s="1" t="s">
        <v>91</v>
      </c>
      <c r="BV8" s="1" t="s">
        <v>104</v>
      </c>
      <c r="BW8" s="1" t="s">
        <v>91</v>
      </c>
      <c r="BX8" s="1" t="s">
        <v>104</v>
      </c>
      <c r="BY8" s="1" t="s">
        <v>104</v>
      </c>
      <c r="BZ8" s="1" t="s">
        <v>104</v>
      </c>
      <c r="CA8" s="1" t="s">
        <v>104</v>
      </c>
      <c r="CB8" s="1" t="s">
        <v>104</v>
      </c>
      <c r="CC8" s="1" t="s">
        <v>104</v>
      </c>
      <c r="CD8" s="1" t="s">
        <v>104</v>
      </c>
      <c r="CE8" s="4"/>
      <c r="CF8" s="4"/>
    </row>
    <row r="9" hidden="1">
      <c r="A9" s="1" t="s">
        <v>82</v>
      </c>
      <c r="B9" s="1" t="s">
        <v>98</v>
      </c>
      <c r="C9" s="1">
        <v>16.0</v>
      </c>
      <c r="D9" s="5" t="s">
        <v>129</v>
      </c>
      <c r="E9" s="1" t="s">
        <v>130</v>
      </c>
      <c r="F9" s="1">
        <v>16.0</v>
      </c>
      <c r="G9" s="1">
        <v>-0.296</v>
      </c>
      <c r="H9" s="1" t="s">
        <v>131</v>
      </c>
      <c r="I9" s="4" t="b">
        <f>IFERROR(__xludf.DUMMYFUNCTION("IF(H9="""",,REGEXMATCH(H9,""[א-ת]""))"),FALSE)</f>
        <v>0</v>
      </c>
      <c r="J9" s="4"/>
      <c r="K9" s="4"/>
      <c r="L9" s="1">
        <v>0.0</v>
      </c>
      <c r="M9" s="1">
        <v>2.3</v>
      </c>
      <c r="N9" s="1">
        <v>100.0</v>
      </c>
      <c r="O9" s="1">
        <v>6.25</v>
      </c>
      <c r="P9" s="4"/>
      <c r="Q9" s="4"/>
      <c r="R9" s="1" t="s">
        <v>89</v>
      </c>
      <c r="S9" s="1" t="s">
        <v>130</v>
      </c>
      <c r="T9" s="1" t="s">
        <v>98</v>
      </c>
      <c r="U9" s="1">
        <v>17.0</v>
      </c>
      <c r="V9" s="5" t="s">
        <v>129</v>
      </c>
      <c r="W9" s="1" t="s">
        <v>130</v>
      </c>
      <c r="X9" s="1" t="s">
        <v>132</v>
      </c>
      <c r="Y9" s="4"/>
      <c r="Z9" s="4"/>
      <c r="AA9" s="4" t="b">
        <f>IFERROR(__xludf.DUMMYFUNCTION("IF(X9="""",,REGEXMATCH(X9,""[א-ת]""))"),FALSE)</f>
        <v>0</v>
      </c>
      <c r="AB9" s="1">
        <v>9.56</v>
      </c>
      <c r="AC9" s="1">
        <v>68.75</v>
      </c>
      <c r="AD9" s="1">
        <v>0.457791502691989</v>
      </c>
      <c r="AE9" s="1">
        <v>0.0</v>
      </c>
      <c r="AF9" s="1">
        <v>-0.296</v>
      </c>
      <c r="AG9" s="1">
        <v>6.337</v>
      </c>
      <c r="AH9" s="1">
        <v>6.781</v>
      </c>
      <c r="AI9" s="1" t="b">
        <v>1</v>
      </c>
      <c r="AJ9" s="1" t="b">
        <v>0</v>
      </c>
      <c r="AK9" s="1">
        <v>94.182</v>
      </c>
      <c r="AL9" s="1">
        <v>96.508</v>
      </c>
      <c r="AM9" s="1" t="b">
        <v>1</v>
      </c>
      <c r="AN9" s="1" t="b">
        <v>0</v>
      </c>
      <c r="AO9" s="1">
        <v>8.05</v>
      </c>
      <c r="AP9" s="1">
        <v>8.53399999999999</v>
      </c>
      <c r="AQ9" s="1" t="b">
        <v>1</v>
      </c>
      <c r="AR9" s="1" t="b">
        <v>0</v>
      </c>
      <c r="AS9" s="1">
        <v>86.9179999999999</v>
      </c>
      <c r="AT9" s="1">
        <v>87.152</v>
      </c>
      <c r="AU9" s="1" t="b">
        <v>1</v>
      </c>
      <c r="AV9" s="1" t="b">
        <v>0</v>
      </c>
      <c r="AW9" s="1">
        <v>9.61399999999999</v>
      </c>
      <c r="AX9" s="1">
        <v>11.026</v>
      </c>
      <c r="AY9" s="1" t="b">
        <v>1</v>
      </c>
      <c r="AZ9" s="1" t="b">
        <v>1</v>
      </c>
      <c r="BA9" s="1">
        <v>81.25</v>
      </c>
      <c r="BB9" s="1">
        <v>77.78</v>
      </c>
      <c r="BC9" s="1" t="b">
        <v>1</v>
      </c>
      <c r="BD9" s="1" t="b">
        <v>0</v>
      </c>
      <c r="BE9" s="1">
        <v>11.34</v>
      </c>
      <c r="BF9" s="1">
        <v>13.285</v>
      </c>
      <c r="BG9" s="1" t="b">
        <v>1</v>
      </c>
      <c r="BH9" s="1" t="b">
        <v>1</v>
      </c>
      <c r="BI9" s="1">
        <v>77.78</v>
      </c>
      <c r="BJ9" s="1">
        <v>75.0</v>
      </c>
      <c r="BK9" s="1" t="b">
        <v>1</v>
      </c>
      <c r="BL9" s="1" t="b">
        <v>0</v>
      </c>
      <c r="BM9" s="1">
        <v>13.121</v>
      </c>
      <c r="BN9" s="1">
        <v>14.568</v>
      </c>
      <c r="BO9" s="1" t="b">
        <v>1</v>
      </c>
      <c r="BP9" s="1" t="b">
        <v>1</v>
      </c>
      <c r="BQ9" s="1">
        <v>75.0</v>
      </c>
      <c r="BR9" s="1">
        <v>72.027</v>
      </c>
      <c r="BS9" s="1" t="b">
        <v>1</v>
      </c>
      <c r="BT9" s="1" t="b">
        <v>0</v>
      </c>
      <c r="BU9" s="1" t="s">
        <v>91</v>
      </c>
      <c r="BV9" s="1" t="s">
        <v>91</v>
      </c>
      <c r="BW9" s="1" t="s">
        <v>91</v>
      </c>
      <c r="BX9" s="1" t="s">
        <v>91</v>
      </c>
      <c r="BY9" s="1" t="s">
        <v>104</v>
      </c>
      <c r="BZ9" s="1" t="s">
        <v>91</v>
      </c>
      <c r="CA9" s="1" t="s">
        <v>104</v>
      </c>
      <c r="CB9" s="1" t="s">
        <v>91</v>
      </c>
      <c r="CC9" s="1" t="s">
        <v>104</v>
      </c>
      <c r="CD9" s="1" t="s">
        <v>91</v>
      </c>
      <c r="CE9" s="4"/>
      <c r="CF9" s="4"/>
    </row>
    <row r="10">
      <c r="A10" s="1" t="s">
        <v>82</v>
      </c>
      <c r="B10" s="1" t="s">
        <v>111</v>
      </c>
      <c r="C10" s="1">
        <v>25.0</v>
      </c>
      <c r="D10" s="5" t="s">
        <v>133</v>
      </c>
      <c r="E10" s="1" t="s">
        <v>134</v>
      </c>
      <c r="F10" s="1">
        <v>27.0</v>
      </c>
      <c r="G10" s="1">
        <v>-0.4767</v>
      </c>
      <c r="H10" s="1" t="s">
        <v>135</v>
      </c>
      <c r="I10" s="4" t="b">
        <f>IFERROR(__xludf.DUMMYFUNCTION("IF(H10="""",,REGEXMATCH(H10,""[א-ת]""))"),FALSE)</f>
        <v>0</v>
      </c>
      <c r="J10" s="4"/>
      <c r="K10" s="4"/>
      <c r="L10" s="1">
        <v>-0.6093</v>
      </c>
      <c r="M10" s="1">
        <v>2.45</v>
      </c>
      <c r="N10" s="1">
        <v>118.52</v>
      </c>
      <c r="O10" s="1">
        <v>4.38962963</v>
      </c>
      <c r="P10" s="4"/>
      <c r="Q10" s="4"/>
      <c r="R10" s="1" t="s">
        <v>89</v>
      </c>
      <c r="S10" s="1" t="s">
        <v>134</v>
      </c>
      <c r="T10" s="1" t="s">
        <v>111</v>
      </c>
      <c r="U10" s="1">
        <v>26.0</v>
      </c>
      <c r="V10" s="5" t="s">
        <v>133</v>
      </c>
      <c r="W10" s="1" t="s">
        <v>134</v>
      </c>
      <c r="X10" s="1" t="s">
        <v>136</v>
      </c>
      <c r="Y10" s="1" t="s">
        <v>137</v>
      </c>
      <c r="Z10" s="1" t="s">
        <v>138</v>
      </c>
      <c r="AA10" s="4" t="b">
        <f>IFERROR(__xludf.DUMMYFUNCTION("IF(X10="""",,REGEXMATCH(X10,""[א-ת]""))"),TRUE)</f>
        <v>1</v>
      </c>
      <c r="AB10" s="1">
        <v>5.08</v>
      </c>
      <c r="AC10" s="1">
        <v>159.26</v>
      </c>
      <c r="AD10" s="1">
        <v>0.266214163556267</v>
      </c>
      <c r="AE10" s="1">
        <v>-0.4007</v>
      </c>
      <c r="AF10" s="1">
        <v>-0.4767</v>
      </c>
      <c r="AG10" s="1">
        <v>6.337</v>
      </c>
      <c r="AH10" s="1">
        <v>6.781</v>
      </c>
      <c r="AI10" s="1" t="b">
        <v>1</v>
      </c>
      <c r="AJ10" s="1" t="b">
        <v>1</v>
      </c>
      <c r="AK10" s="1">
        <v>94.182</v>
      </c>
      <c r="AL10" s="1">
        <v>96.508</v>
      </c>
      <c r="AM10" s="1" t="b">
        <v>1</v>
      </c>
      <c r="AN10" s="1" t="b">
        <v>1</v>
      </c>
      <c r="AO10" s="1">
        <v>8.05</v>
      </c>
      <c r="AP10" s="1">
        <v>8.53399999999999</v>
      </c>
      <c r="AQ10" s="1" t="b">
        <v>1</v>
      </c>
      <c r="AR10" s="1" t="b">
        <v>1</v>
      </c>
      <c r="AS10" s="1">
        <v>86.9179999999999</v>
      </c>
      <c r="AT10" s="1">
        <v>87.152</v>
      </c>
      <c r="AU10" s="1" t="b">
        <v>1</v>
      </c>
      <c r="AV10" s="1" t="b">
        <v>1</v>
      </c>
      <c r="AW10" s="1">
        <v>9.61399999999999</v>
      </c>
      <c r="AX10" s="1">
        <v>11.026</v>
      </c>
      <c r="AY10" s="1" t="b">
        <v>1</v>
      </c>
      <c r="AZ10" s="1" t="b">
        <v>1</v>
      </c>
      <c r="BA10" s="1">
        <v>81.25</v>
      </c>
      <c r="BB10" s="1">
        <v>77.78</v>
      </c>
      <c r="BC10" s="1" t="b">
        <v>1</v>
      </c>
      <c r="BD10" s="1" t="b">
        <v>1</v>
      </c>
      <c r="BE10" s="1">
        <v>11.34</v>
      </c>
      <c r="BF10" s="1">
        <v>13.285</v>
      </c>
      <c r="BG10" s="1" t="b">
        <v>1</v>
      </c>
      <c r="BH10" s="1" t="b">
        <v>1</v>
      </c>
      <c r="BI10" s="1">
        <v>77.78</v>
      </c>
      <c r="BJ10" s="1">
        <v>75.0</v>
      </c>
      <c r="BK10" s="1" t="b">
        <v>1</v>
      </c>
      <c r="BL10" s="1" t="b">
        <v>1</v>
      </c>
      <c r="BM10" s="1">
        <v>13.121</v>
      </c>
      <c r="BN10" s="1">
        <v>14.568</v>
      </c>
      <c r="BO10" s="1" t="b">
        <v>1</v>
      </c>
      <c r="BP10" s="1" t="b">
        <v>1</v>
      </c>
      <c r="BQ10" s="1">
        <v>75.0</v>
      </c>
      <c r="BR10" s="1">
        <v>72.027</v>
      </c>
      <c r="BS10" s="1" t="b">
        <v>1</v>
      </c>
      <c r="BT10" s="1" t="b">
        <v>1</v>
      </c>
      <c r="BU10" s="1" t="s">
        <v>104</v>
      </c>
      <c r="BV10" s="1" t="s">
        <v>104</v>
      </c>
      <c r="BW10" s="1" t="s">
        <v>104</v>
      </c>
      <c r="BX10" s="1" t="s">
        <v>104</v>
      </c>
      <c r="BY10" s="1" t="s">
        <v>104</v>
      </c>
      <c r="BZ10" s="1" t="s">
        <v>104</v>
      </c>
      <c r="CA10" s="1" t="s">
        <v>104</v>
      </c>
      <c r="CB10" s="1" t="s">
        <v>104</v>
      </c>
      <c r="CC10" s="1" t="s">
        <v>104</v>
      </c>
      <c r="CD10" s="1" t="s">
        <v>104</v>
      </c>
      <c r="CE10" s="4"/>
      <c r="CF10" s="4"/>
    </row>
    <row r="11">
      <c r="A11" s="1" t="s">
        <v>82</v>
      </c>
      <c r="B11" s="1" t="s">
        <v>139</v>
      </c>
      <c r="C11" s="1">
        <v>4.0</v>
      </c>
      <c r="D11" s="5" t="s">
        <v>140</v>
      </c>
      <c r="E11" s="1" t="s">
        <v>141</v>
      </c>
      <c r="F11" s="1">
        <v>8.0</v>
      </c>
      <c r="G11" s="1">
        <v>0.0</v>
      </c>
      <c r="H11" s="1" t="s">
        <v>142</v>
      </c>
      <c r="I11" s="4" t="b">
        <f>IFERROR(__xludf.DUMMYFUNCTION("IF(H11="""",,REGEXMATCH(H11,""[א-ת]""))"),FALSE)</f>
        <v>0</v>
      </c>
      <c r="J11" s="4"/>
      <c r="K11" s="4"/>
      <c r="L11" s="1">
        <v>0.0</v>
      </c>
      <c r="M11" s="1">
        <v>2.55</v>
      </c>
      <c r="N11" s="1">
        <v>162.5</v>
      </c>
      <c r="O11" s="1">
        <v>20.3125</v>
      </c>
      <c r="P11" s="4"/>
      <c r="Q11" s="4"/>
      <c r="R11" s="1" t="s">
        <v>96</v>
      </c>
      <c r="S11" s="1" t="s">
        <v>141</v>
      </c>
      <c r="T11" s="1" t="s">
        <v>139</v>
      </c>
      <c r="U11" s="1">
        <v>5.0</v>
      </c>
      <c r="V11" s="5" t="s">
        <v>140</v>
      </c>
      <c r="W11" s="1" t="s">
        <v>141</v>
      </c>
      <c r="X11" s="1" t="s">
        <v>143</v>
      </c>
      <c r="Y11" s="1" t="s">
        <v>144</v>
      </c>
      <c r="Z11" s="4"/>
      <c r="AA11" s="4" t="b">
        <f>IFERROR(__xludf.DUMMYFUNCTION("IF(X11="""",,REGEXMATCH(X11,""[א-ת]""))"),FALSE)</f>
        <v>0</v>
      </c>
      <c r="AB11" s="1">
        <v>4.02</v>
      </c>
      <c r="AC11" s="1">
        <v>137.5</v>
      </c>
      <c r="AD11" s="1">
        <v>0.103996114148334</v>
      </c>
      <c r="AE11" s="1">
        <v>0.0</v>
      </c>
      <c r="AF11" s="1">
        <v>0.0</v>
      </c>
      <c r="AG11" s="1">
        <v>6.337</v>
      </c>
      <c r="AH11" s="1">
        <v>6.781</v>
      </c>
      <c r="AI11" s="1" t="b">
        <v>1</v>
      </c>
      <c r="AJ11" s="1" t="b">
        <v>1</v>
      </c>
      <c r="AK11" s="1">
        <v>94.182</v>
      </c>
      <c r="AL11" s="1">
        <v>96.508</v>
      </c>
      <c r="AM11" s="1" t="b">
        <v>1</v>
      </c>
      <c r="AN11" s="1" t="b">
        <v>1</v>
      </c>
      <c r="AO11" s="1">
        <v>8.05</v>
      </c>
      <c r="AP11" s="1">
        <v>8.53399999999999</v>
      </c>
      <c r="AQ11" s="1" t="b">
        <v>1</v>
      </c>
      <c r="AR11" s="1" t="b">
        <v>1</v>
      </c>
      <c r="AS11" s="1">
        <v>86.9179999999999</v>
      </c>
      <c r="AT11" s="1">
        <v>87.152</v>
      </c>
      <c r="AU11" s="1" t="b">
        <v>1</v>
      </c>
      <c r="AV11" s="1" t="b">
        <v>1</v>
      </c>
      <c r="AW11" s="1">
        <v>9.61399999999999</v>
      </c>
      <c r="AX11" s="1">
        <v>11.026</v>
      </c>
      <c r="AY11" s="1" t="b">
        <v>1</v>
      </c>
      <c r="AZ11" s="1" t="b">
        <v>1</v>
      </c>
      <c r="BA11" s="1">
        <v>81.25</v>
      </c>
      <c r="BB11" s="1">
        <v>77.78</v>
      </c>
      <c r="BC11" s="1" t="b">
        <v>1</v>
      </c>
      <c r="BD11" s="1" t="b">
        <v>1</v>
      </c>
      <c r="BE11" s="1">
        <v>11.34</v>
      </c>
      <c r="BF11" s="1">
        <v>13.285</v>
      </c>
      <c r="BG11" s="1" t="b">
        <v>1</v>
      </c>
      <c r="BH11" s="1" t="b">
        <v>1</v>
      </c>
      <c r="BI11" s="1">
        <v>77.78</v>
      </c>
      <c r="BJ11" s="1">
        <v>75.0</v>
      </c>
      <c r="BK11" s="1" t="b">
        <v>1</v>
      </c>
      <c r="BL11" s="1" t="b">
        <v>1</v>
      </c>
      <c r="BM11" s="1">
        <v>13.121</v>
      </c>
      <c r="BN11" s="1">
        <v>14.568</v>
      </c>
      <c r="BO11" s="1" t="b">
        <v>1</v>
      </c>
      <c r="BP11" s="1" t="b">
        <v>1</v>
      </c>
      <c r="BQ11" s="1">
        <v>75.0</v>
      </c>
      <c r="BR11" s="1">
        <v>72.027</v>
      </c>
      <c r="BS11" s="1" t="b">
        <v>1</v>
      </c>
      <c r="BT11" s="1" t="b">
        <v>1</v>
      </c>
      <c r="BU11" s="1" t="s">
        <v>104</v>
      </c>
      <c r="BV11" s="1" t="s">
        <v>104</v>
      </c>
      <c r="BW11" s="1" t="s">
        <v>104</v>
      </c>
      <c r="BX11" s="1" t="s">
        <v>104</v>
      </c>
      <c r="BY11" s="1" t="s">
        <v>104</v>
      </c>
      <c r="BZ11" s="1" t="s">
        <v>104</v>
      </c>
      <c r="CA11" s="1" t="s">
        <v>104</v>
      </c>
      <c r="CB11" s="1" t="s">
        <v>104</v>
      </c>
      <c r="CC11" s="1" t="s">
        <v>104</v>
      </c>
      <c r="CD11" s="1" t="s">
        <v>104</v>
      </c>
      <c r="CE11" s="4"/>
      <c r="CF11" s="4"/>
    </row>
    <row r="12">
      <c r="A12" s="1" t="s">
        <v>82</v>
      </c>
      <c r="B12" s="1" t="s">
        <v>145</v>
      </c>
      <c r="C12" s="1">
        <v>8.0</v>
      </c>
      <c r="D12" s="5" t="s">
        <v>146</v>
      </c>
      <c r="E12" s="1" t="s">
        <v>147</v>
      </c>
      <c r="F12" s="1">
        <v>14.0</v>
      </c>
      <c r="G12" s="1">
        <v>0.0772</v>
      </c>
      <c r="H12" s="1" t="s">
        <v>148</v>
      </c>
      <c r="I12" s="4" t="b">
        <f>IFERROR(__xludf.DUMMYFUNCTION("IF(H12="""",,REGEXMATCH(H12,""[א-ת]""))"),FALSE)</f>
        <v>0</v>
      </c>
      <c r="J12" s="4"/>
      <c r="K12" s="4"/>
      <c r="L12" s="1">
        <v>0.0</v>
      </c>
      <c r="M12" s="1">
        <v>2.66</v>
      </c>
      <c r="N12" s="1">
        <v>171.43</v>
      </c>
      <c r="O12" s="1">
        <v>12.245</v>
      </c>
      <c r="P12" s="4"/>
      <c r="Q12" s="4"/>
      <c r="R12" s="1" t="s">
        <v>89</v>
      </c>
      <c r="S12" s="1" t="s">
        <v>147</v>
      </c>
      <c r="T12" s="1" t="s">
        <v>145</v>
      </c>
      <c r="U12" s="1">
        <v>9.0</v>
      </c>
      <c r="V12" s="5" t="s">
        <v>146</v>
      </c>
      <c r="W12" s="1" t="s">
        <v>147</v>
      </c>
      <c r="X12" s="1" t="s">
        <v>149</v>
      </c>
      <c r="Y12" s="1" t="s">
        <v>150</v>
      </c>
      <c r="Z12" s="1" t="s">
        <v>151</v>
      </c>
      <c r="AA12" s="4" t="b">
        <f>IFERROR(__xludf.DUMMYFUNCTION("IF(X12="""",,REGEXMATCH(X12,""[א-ת]""))"),FALSE)</f>
        <v>0</v>
      </c>
      <c r="AB12" s="1">
        <v>3.77</v>
      </c>
      <c r="AC12" s="1">
        <v>185.71</v>
      </c>
      <c r="AD12" s="1">
        <v>0.513333681908135</v>
      </c>
      <c r="AE12" s="1">
        <v>-0.5661</v>
      </c>
      <c r="AF12" s="1">
        <v>0.0772</v>
      </c>
      <c r="AG12" s="1">
        <v>6.337</v>
      </c>
      <c r="AH12" s="1">
        <v>6.781</v>
      </c>
      <c r="AI12" s="1" t="b">
        <v>1</v>
      </c>
      <c r="AJ12" s="1" t="b">
        <v>1</v>
      </c>
      <c r="AK12" s="1">
        <v>94.182</v>
      </c>
      <c r="AL12" s="1">
        <v>96.508</v>
      </c>
      <c r="AM12" s="1" t="b">
        <v>1</v>
      </c>
      <c r="AN12" s="1" t="b">
        <v>1</v>
      </c>
      <c r="AO12" s="1">
        <v>8.05</v>
      </c>
      <c r="AP12" s="1">
        <v>8.53399999999999</v>
      </c>
      <c r="AQ12" s="1" t="b">
        <v>1</v>
      </c>
      <c r="AR12" s="1" t="b">
        <v>1</v>
      </c>
      <c r="AS12" s="1">
        <v>86.9179999999999</v>
      </c>
      <c r="AT12" s="1">
        <v>87.152</v>
      </c>
      <c r="AU12" s="1" t="b">
        <v>1</v>
      </c>
      <c r="AV12" s="1" t="b">
        <v>1</v>
      </c>
      <c r="AW12" s="1">
        <v>9.61399999999999</v>
      </c>
      <c r="AX12" s="1">
        <v>11.026</v>
      </c>
      <c r="AY12" s="1" t="b">
        <v>1</v>
      </c>
      <c r="AZ12" s="1" t="b">
        <v>1</v>
      </c>
      <c r="BA12" s="1">
        <v>81.25</v>
      </c>
      <c r="BB12" s="1">
        <v>77.78</v>
      </c>
      <c r="BC12" s="1" t="b">
        <v>1</v>
      </c>
      <c r="BD12" s="1" t="b">
        <v>1</v>
      </c>
      <c r="BE12" s="1">
        <v>11.34</v>
      </c>
      <c r="BF12" s="1">
        <v>13.285</v>
      </c>
      <c r="BG12" s="1" t="b">
        <v>1</v>
      </c>
      <c r="BH12" s="1" t="b">
        <v>1</v>
      </c>
      <c r="BI12" s="1">
        <v>77.78</v>
      </c>
      <c r="BJ12" s="1">
        <v>75.0</v>
      </c>
      <c r="BK12" s="1" t="b">
        <v>1</v>
      </c>
      <c r="BL12" s="1" t="b">
        <v>1</v>
      </c>
      <c r="BM12" s="1">
        <v>13.121</v>
      </c>
      <c r="BN12" s="1">
        <v>14.568</v>
      </c>
      <c r="BO12" s="1" t="b">
        <v>1</v>
      </c>
      <c r="BP12" s="1" t="b">
        <v>1</v>
      </c>
      <c r="BQ12" s="1">
        <v>75.0</v>
      </c>
      <c r="BR12" s="1">
        <v>72.027</v>
      </c>
      <c r="BS12" s="1" t="b">
        <v>1</v>
      </c>
      <c r="BT12" s="1" t="b">
        <v>1</v>
      </c>
      <c r="BU12" s="1" t="s">
        <v>104</v>
      </c>
      <c r="BV12" s="1" t="s">
        <v>104</v>
      </c>
      <c r="BW12" s="1" t="s">
        <v>104</v>
      </c>
      <c r="BX12" s="1" t="s">
        <v>104</v>
      </c>
      <c r="BY12" s="1" t="s">
        <v>104</v>
      </c>
      <c r="BZ12" s="1" t="s">
        <v>104</v>
      </c>
      <c r="CA12" s="1" t="s">
        <v>104</v>
      </c>
      <c r="CB12" s="1" t="s">
        <v>104</v>
      </c>
      <c r="CC12" s="1" t="s">
        <v>104</v>
      </c>
      <c r="CD12" s="1" t="s">
        <v>104</v>
      </c>
      <c r="CE12" s="4"/>
      <c r="CF12" s="4"/>
    </row>
    <row r="13" hidden="1">
      <c r="A13" s="1" t="s">
        <v>82</v>
      </c>
      <c r="B13" s="1" t="s">
        <v>152</v>
      </c>
      <c r="C13" s="1">
        <v>6.0</v>
      </c>
      <c r="D13" s="5" t="s">
        <v>153</v>
      </c>
      <c r="E13" s="1" t="s">
        <v>154</v>
      </c>
      <c r="F13" s="1">
        <v>17.0</v>
      </c>
      <c r="G13" s="1">
        <v>-0.1779</v>
      </c>
      <c r="H13" s="1" t="s">
        <v>155</v>
      </c>
      <c r="I13" s="4" t="b">
        <f>IFERROR(__xludf.DUMMYFUNCTION("IF(H13="""",,REGEXMATCH(H13,""[א-ת]""))"),FALSE)</f>
        <v>0</v>
      </c>
      <c r="J13" s="4"/>
      <c r="K13" s="4"/>
      <c r="L13" s="1">
        <v>0.0</v>
      </c>
      <c r="M13" s="1">
        <v>2.68</v>
      </c>
      <c r="N13" s="1">
        <v>94.12</v>
      </c>
      <c r="O13" s="1">
        <v>5.536470588</v>
      </c>
      <c r="P13" s="4"/>
      <c r="Q13" s="4"/>
      <c r="R13" s="1" t="s">
        <v>89</v>
      </c>
      <c r="S13" s="1" t="s">
        <v>154</v>
      </c>
      <c r="T13" s="1" t="s">
        <v>152</v>
      </c>
      <c r="U13" s="1">
        <v>7.0</v>
      </c>
      <c r="V13" s="5" t="s">
        <v>153</v>
      </c>
      <c r="W13" s="1" t="s">
        <v>154</v>
      </c>
      <c r="X13" s="1" t="s">
        <v>156</v>
      </c>
      <c r="Y13" s="4"/>
      <c r="Z13" s="4"/>
      <c r="AA13" s="4" t="b">
        <f>IFERROR(__xludf.DUMMYFUNCTION("IF(X13="""",,REGEXMATCH(X13,""[א-ת]""))"),TRUE)</f>
        <v>1</v>
      </c>
      <c r="AB13" s="1">
        <v>9.52</v>
      </c>
      <c r="AC13" s="1">
        <v>117.65</v>
      </c>
      <c r="AD13" s="1">
        <v>0.585540175119789</v>
      </c>
      <c r="AE13" s="1">
        <v>0.0</v>
      </c>
      <c r="AF13" s="1">
        <v>-0.1779</v>
      </c>
      <c r="AG13" s="1">
        <v>6.337</v>
      </c>
      <c r="AH13" s="1">
        <v>6.781</v>
      </c>
      <c r="AI13" s="1" t="b">
        <v>1</v>
      </c>
      <c r="AJ13" s="1" t="b">
        <v>0</v>
      </c>
      <c r="AK13" s="1">
        <v>94.182</v>
      </c>
      <c r="AL13" s="1">
        <v>96.508</v>
      </c>
      <c r="AM13" s="1" t="b">
        <v>0</v>
      </c>
      <c r="AN13" s="1" t="b">
        <v>1</v>
      </c>
      <c r="AO13" s="1">
        <v>8.05</v>
      </c>
      <c r="AP13" s="1">
        <v>8.53399999999999</v>
      </c>
      <c r="AQ13" s="1" t="b">
        <v>1</v>
      </c>
      <c r="AR13" s="1" t="b">
        <v>0</v>
      </c>
      <c r="AS13" s="1">
        <v>86.9179999999999</v>
      </c>
      <c r="AT13" s="1">
        <v>87.152</v>
      </c>
      <c r="AU13" s="1" t="b">
        <v>1</v>
      </c>
      <c r="AV13" s="1" t="b">
        <v>1</v>
      </c>
      <c r="AW13" s="1">
        <v>9.61399999999999</v>
      </c>
      <c r="AX13" s="1">
        <v>11.026</v>
      </c>
      <c r="AY13" s="1" t="b">
        <v>1</v>
      </c>
      <c r="AZ13" s="1" t="b">
        <v>1</v>
      </c>
      <c r="BA13" s="1">
        <v>81.25</v>
      </c>
      <c r="BB13" s="1">
        <v>77.78</v>
      </c>
      <c r="BC13" s="1" t="b">
        <v>1</v>
      </c>
      <c r="BD13" s="1" t="b">
        <v>1</v>
      </c>
      <c r="BE13" s="1">
        <v>11.34</v>
      </c>
      <c r="BF13" s="1">
        <v>13.285</v>
      </c>
      <c r="BG13" s="1" t="b">
        <v>1</v>
      </c>
      <c r="BH13" s="1" t="b">
        <v>1</v>
      </c>
      <c r="BI13" s="1">
        <v>77.78</v>
      </c>
      <c r="BJ13" s="1">
        <v>75.0</v>
      </c>
      <c r="BK13" s="1" t="b">
        <v>1</v>
      </c>
      <c r="BL13" s="1" t="b">
        <v>1</v>
      </c>
      <c r="BM13" s="1">
        <v>13.121</v>
      </c>
      <c r="BN13" s="1">
        <v>14.568</v>
      </c>
      <c r="BO13" s="1" t="b">
        <v>1</v>
      </c>
      <c r="BP13" s="1" t="b">
        <v>1</v>
      </c>
      <c r="BQ13" s="1">
        <v>75.0</v>
      </c>
      <c r="BR13" s="1">
        <v>72.027</v>
      </c>
      <c r="BS13" s="1" t="b">
        <v>1</v>
      </c>
      <c r="BT13" s="1" t="b">
        <v>1</v>
      </c>
      <c r="BU13" s="1" t="s">
        <v>91</v>
      </c>
      <c r="BV13" s="1" t="s">
        <v>157</v>
      </c>
      <c r="BW13" s="1" t="s">
        <v>91</v>
      </c>
      <c r="BX13" s="1" t="s">
        <v>104</v>
      </c>
      <c r="BY13" s="1" t="s">
        <v>104</v>
      </c>
      <c r="BZ13" s="1" t="s">
        <v>104</v>
      </c>
      <c r="CA13" s="1" t="s">
        <v>104</v>
      </c>
      <c r="CB13" s="1" t="s">
        <v>104</v>
      </c>
      <c r="CC13" s="1" t="s">
        <v>104</v>
      </c>
      <c r="CD13" s="1" t="s">
        <v>104</v>
      </c>
      <c r="CE13" s="4"/>
      <c r="CF13" s="4"/>
    </row>
    <row r="14" hidden="1">
      <c r="A14" s="1" t="s">
        <v>82</v>
      </c>
      <c r="B14" s="1" t="s">
        <v>158</v>
      </c>
      <c r="C14" s="1">
        <v>12.0</v>
      </c>
      <c r="D14" s="5" t="s">
        <v>159</v>
      </c>
      <c r="E14" s="1" t="s">
        <v>160</v>
      </c>
      <c r="F14" s="1">
        <v>30.0</v>
      </c>
      <c r="G14" s="1">
        <v>0.0</v>
      </c>
      <c r="H14" s="1" t="s">
        <v>161</v>
      </c>
      <c r="I14" s="4" t="b">
        <f>IFERROR(__xludf.DUMMYFUNCTION("IF(H14="""",,REGEXMATCH(H14,""[א-ת]""))"),FALSE)</f>
        <v>0</v>
      </c>
      <c r="J14" s="4"/>
      <c r="K14" s="4"/>
      <c r="L14" s="1">
        <v>0.0</v>
      </c>
      <c r="M14" s="1">
        <v>2.72</v>
      </c>
      <c r="N14" s="1">
        <v>100.0</v>
      </c>
      <c r="O14" s="1">
        <v>3.333333333</v>
      </c>
      <c r="P14" s="4"/>
      <c r="Q14" s="4"/>
      <c r="R14" s="1" t="s">
        <v>89</v>
      </c>
      <c r="S14" s="1" t="s">
        <v>160</v>
      </c>
      <c r="T14" s="1" t="s">
        <v>158</v>
      </c>
      <c r="U14" s="1">
        <v>13.0</v>
      </c>
      <c r="V14" s="5" t="s">
        <v>159</v>
      </c>
      <c r="W14" s="1" t="s">
        <v>160</v>
      </c>
      <c r="X14" s="1" t="s">
        <v>162</v>
      </c>
      <c r="Y14" s="4"/>
      <c r="Z14" s="4"/>
      <c r="AA14" s="4" t="b">
        <f>IFERROR(__xludf.DUMMYFUNCTION("IF(X14="""",,REGEXMATCH(X14,""[א-ת]""))"),FALSE)</f>
        <v>0</v>
      </c>
      <c r="AB14" s="1">
        <v>20.43</v>
      </c>
      <c r="AC14" s="1">
        <v>53.33</v>
      </c>
      <c r="AD14" s="1">
        <v>0.668383560395632</v>
      </c>
      <c r="AE14" s="1">
        <v>0.0</v>
      </c>
      <c r="AF14" s="1">
        <v>0.0</v>
      </c>
      <c r="AG14" s="1">
        <v>6.337</v>
      </c>
      <c r="AH14" s="1">
        <v>6.781</v>
      </c>
      <c r="AI14" s="1" t="b">
        <v>1</v>
      </c>
      <c r="AJ14" s="1" t="b">
        <v>0</v>
      </c>
      <c r="AK14" s="1">
        <v>94.182</v>
      </c>
      <c r="AL14" s="1">
        <v>96.508</v>
      </c>
      <c r="AM14" s="1" t="b">
        <v>1</v>
      </c>
      <c r="AN14" s="1" t="b">
        <v>0</v>
      </c>
      <c r="AO14" s="1">
        <v>8.05</v>
      </c>
      <c r="AP14" s="1">
        <v>8.53399999999999</v>
      </c>
      <c r="AQ14" s="1" t="b">
        <v>1</v>
      </c>
      <c r="AR14" s="1" t="b">
        <v>0</v>
      </c>
      <c r="AS14" s="1">
        <v>86.9179999999999</v>
      </c>
      <c r="AT14" s="1">
        <v>87.152</v>
      </c>
      <c r="AU14" s="1" t="b">
        <v>1</v>
      </c>
      <c r="AV14" s="1" t="b">
        <v>0</v>
      </c>
      <c r="AW14" s="1">
        <v>9.61399999999999</v>
      </c>
      <c r="AX14" s="1">
        <v>11.026</v>
      </c>
      <c r="AY14" s="1" t="b">
        <v>1</v>
      </c>
      <c r="AZ14" s="1" t="b">
        <v>0</v>
      </c>
      <c r="BA14" s="1">
        <v>81.25</v>
      </c>
      <c r="BB14" s="1">
        <v>77.78</v>
      </c>
      <c r="BC14" s="1" t="b">
        <v>1</v>
      </c>
      <c r="BD14" s="1" t="b">
        <v>0</v>
      </c>
      <c r="BE14" s="1">
        <v>11.34</v>
      </c>
      <c r="BF14" s="1">
        <v>13.285</v>
      </c>
      <c r="BG14" s="1" t="b">
        <v>1</v>
      </c>
      <c r="BH14" s="1" t="b">
        <v>0</v>
      </c>
      <c r="BI14" s="1">
        <v>77.78</v>
      </c>
      <c r="BJ14" s="1">
        <v>75.0</v>
      </c>
      <c r="BK14" s="1" t="b">
        <v>1</v>
      </c>
      <c r="BL14" s="1" t="b">
        <v>0</v>
      </c>
      <c r="BM14" s="1">
        <v>13.121</v>
      </c>
      <c r="BN14" s="1">
        <v>14.568</v>
      </c>
      <c r="BO14" s="1" t="b">
        <v>1</v>
      </c>
      <c r="BP14" s="1" t="b">
        <v>0</v>
      </c>
      <c r="BQ14" s="1">
        <v>75.0</v>
      </c>
      <c r="BR14" s="1">
        <v>72.027</v>
      </c>
      <c r="BS14" s="1" t="b">
        <v>1</v>
      </c>
      <c r="BT14" s="1" t="b">
        <v>0</v>
      </c>
      <c r="BU14" s="1" t="s">
        <v>91</v>
      </c>
      <c r="BV14" s="1" t="s">
        <v>91</v>
      </c>
      <c r="BW14" s="1" t="s">
        <v>91</v>
      </c>
      <c r="BX14" s="1" t="s">
        <v>91</v>
      </c>
      <c r="BY14" s="1" t="s">
        <v>91</v>
      </c>
      <c r="BZ14" s="1" t="s">
        <v>91</v>
      </c>
      <c r="CA14" s="1" t="s">
        <v>91</v>
      </c>
      <c r="CB14" s="1" t="s">
        <v>91</v>
      </c>
      <c r="CC14" s="1" t="s">
        <v>91</v>
      </c>
      <c r="CD14" s="1" t="s">
        <v>91</v>
      </c>
      <c r="CE14" s="4"/>
      <c r="CF14" s="4"/>
    </row>
    <row r="15" hidden="1">
      <c r="A15" s="1" t="s">
        <v>82</v>
      </c>
      <c r="B15" s="1" t="s">
        <v>139</v>
      </c>
      <c r="C15" s="1">
        <v>27.0</v>
      </c>
      <c r="D15" s="5" t="s">
        <v>163</v>
      </c>
      <c r="E15" s="1" t="s">
        <v>164</v>
      </c>
      <c r="F15" s="1">
        <v>17.0</v>
      </c>
      <c r="G15" s="1">
        <v>0.0</v>
      </c>
      <c r="H15" s="1" t="s">
        <v>165</v>
      </c>
      <c r="I15" s="4" t="b">
        <f>IFERROR(__xludf.DUMMYFUNCTION("IF(H15="""",,REGEXMATCH(H15,""[א-ת]""))"),FALSE)</f>
        <v>0</v>
      </c>
      <c r="J15" s="4"/>
      <c r="K15" s="4"/>
      <c r="L15" s="1">
        <v>0.7184</v>
      </c>
      <c r="M15" s="1">
        <v>2.85</v>
      </c>
      <c r="N15" s="1">
        <v>76.47</v>
      </c>
      <c r="O15" s="1">
        <v>4.498235294</v>
      </c>
      <c r="P15" s="4"/>
      <c r="Q15" s="4"/>
      <c r="R15" s="1" t="s">
        <v>96</v>
      </c>
      <c r="S15" s="1" t="s">
        <v>164</v>
      </c>
      <c r="T15" s="1" t="s">
        <v>139</v>
      </c>
      <c r="U15" s="1">
        <v>28.0</v>
      </c>
      <c r="V15" s="5" t="s">
        <v>163</v>
      </c>
      <c r="W15" s="1" t="s">
        <v>164</v>
      </c>
      <c r="X15" s="1" t="s">
        <v>166</v>
      </c>
      <c r="Y15" s="4"/>
      <c r="Z15" s="4"/>
      <c r="AA15" s="4" t="b">
        <f>IFERROR(__xludf.DUMMYFUNCTION("IF(X15="""",,REGEXMATCH(X15,""[א-ת]""))"),FALSE)</f>
        <v>0</v>
      </c>
      <c r="AB15" s="1">
        <v>10.66</v>
      </c>
      <c r="AC15" s="1">
        <v>76.47</v>
      </c>
      <c r="AD15" s="1">
        <v>0.225672649337483</v>
      </c>
      <c r="AE15" s="1">
        <v>0.0</v>
      </c>
      <c r="AF15" s="1">
        <v>0.0</v>
      </c>
      <c r="AG15" s="1">
        <v>6.337</v>
      </c>
      <c r="AH15" s="1">
        <v>6.781</v>
      </c>
      <c r="AI15" s="1" t="b">
        <v>1</v>
      </c>
      <c r="AJ15" s="1" t="b">
        <v>0</v>
      </c>
      <c r="AK15" s="1">
        <v>94.182</v>
      </c>
      <c r="AL15" s="1">
        <v>96.508</v>
      </c>
      <c r="AM15" s="1" t="b">
        <v>0</v>
      </c>
      <c r="AN15" s="1" t="b">
        <v>0</v>
      </c>
      <c r="AO15" s="1">
        <v>8.05</v>
      </c>
      <c r="AP15" s="1">
        <v>8.53399999999999</v>
      </c>
      <c r="AQ15" s="1" t="b">
        <v>1</v>
      </c>
      <c r="AR15" s="1" t="b">
        <v>0</v>
      </c>
      <c r="AS15" s="1">
        <v>86.9179999999999</v>
      </c>
      <c r="AT15" s="1">
        <v>87.152</v>
      </c>
      <c r="AU15" s="1" t="b">
        <v>0</v>
      </c>
      <c r="AV15" s="1" t="b">
        <v>0</v>
      </c>
      <c r="AW15" s="1">
        <v>9.61399999999999</v>
      </c>
      <c r="AX15" s="1">
        <v>11.026</v>
      </c>
      <c r="AY15" s="1" t="b">
        <v>1</v>
      </c>
      <c r="AZ15" s="1" t="b">
        <v>1</v>
      </c>
      <c r="BA15" s="1">
        <v>81.25</v>
      </c>
      <c r="BB15" s="1">
        <v>77.78</v>
      </c>
      <c r="BC15" s="1" t="b">
        <v>0</v>
      </c>
      <c r="BD15" s="1" t="b">
        <v>0</v>
      </c>
      <c r="BE15" s="1">
        <v>11.34</v>
      </c>
      <c r="BF15" s="1">
        <v>13.285</v>
      </c>
      <c r="BG15" s="1" t="b">
        <v>1</v>
      </c>
      <c r="BH15" s="1" t="b">
        <v>1</v>
      </c>
      <c r="BI15" s="1">
        <v>77.78</v>
      </c>
      <c r="BJ15" s="1">
        <v>75.0</v>
      </c>
      <c r="BK15" s="1" t="b">
        <v>0</v>
      </c>
      <c r="BL15" s="1" t="b">
        <v>1</v>
      </c>
      <c r="BM15" s="1">
        <v>13.121</v>
      </c>
      <c r="BN15" s="1">
        <v>14.568</v>
      </c>
      <c r="BO15" s="1" t="b">
        <v>1</v>
      </c>
      <c r="BP15" s="1" t="b">
        <v>1</v>
      </c>
      <c r="BQ15" s="1">
        <v>75.0</v>
      </c>
      <c r="BR15" s="1">
        <v>72.027</v>
      </c>
      <c r="BS15" s="1" t="b">
        <v>1</v>
      </c>
      <c r="BT15" s="1" t="b">
        <v>1</v>
      </c>
      <c r="BU15" s="1" t="s">
        <v>91</v>
      </c>
      <c r="BV15" s="1" t="s">
        <v>105</v>
      </c>
      <c r="BW15" s="1" t="s">
        <v>91</v>
      </c>
      <c r="BX15" s="1" t="s">
        <v>105</v>
      </c>
      <c r="BY15" s="1" t="s">
        <v>104</v>
      </c>
      <c r="BZ15" s="1" t="s">
        <v>105</v>
      </c>
      <c r="CA15" s="1" t="s">
        <v>104</v>
      </c>
      <c r="CB15" s="1" t="s">
        <v>157</v>
      </c>
      <c r="CC15" s="1" t="s">
        <v>104</v>
      </c>
      <c r="CD15" s="1" t="s">
        <v>104</v>
      </c>
      <c r="CE15" s="4"/>
      <c r="CF15" s="4"/>
    </row>
    <row r="16" hidden="1">
      <c r="A16" s="1" t="s">
        <v>82</v>
      </c>
      <c r="B16" s="1" t="s">
        <v>167</v>
      </c>
      <c r="C16" s="1">
        <v>0.0</v>
      </c>
      <c r="D16" s="5" t="s">
        <v>168</v>
      </c>
      <c r="E16" s="1" t="s">
        <v>169</v>
      </c>
      <c r="F16" s="1">
        <v>8.0</v>
      </c>
      <c r="G16" s="1">
        <v>-0.34</v>
      </c>
      <c r="H16" s="1" t="s">
        <v>170</v>
      </c>
      <c r="I16" s="4" t="b">
        <f>IFERROR(__xludf.DUMMYFUNCTION("IF(H16="""",,REGEXMATCH(H16,""[א-ת]""))"),FALSE)</f>
        <v>0</v>
      </c>
      <c r="J16" s="4"/>
      <c r="K16" s="4"/>
      <c r="L16" s="1">
        <v>-0.4215</v>
      </c>
      <c r="M16" s="1">
        <v>2.95</v>
      </c>
      <c r="N16" s="1">
        <v>250.0</v>
      </c>
      <c r="O16" s="1">
        <v>31.25</v>
      </c>
      <c r="P16" s="4"/>
      <c r="Q16" s="4"/>
      <c r="R16" s="1" t="s">
        <v>127</v>
      </c>
      <c r="S16" s="1" t="s">
        <v>169</v>
      </c>
      <c r="T16" s="1" t="s">
        <v>167</v>
      </c>
      <c r="U16" s="1">
        <v>1.0</v>
      </c>
      <c r="V16" s="5" t="s">
        <v>168</v>
      </c>
      <c r="W16" s="1" t="s">
        <v>169</v>
      </c>
      <c r="X16" s="1" t="s">
        <v>171</v>
      </c>
      <c r="Y16" s="4"/>
      <c r="Z16" s="4"/>
      <c r="AA16" s="4" t="b">
        <f>IFERROR(__xludf.DUMMYFUNCTION("IF(X16="""",,REGEXMATCH(X16,""[א-ת]""))"),FALSE)</f>
        <v>0</v>
      </c>
      <c r="AB16" s="1">
        <v>10.6</v>
      </c>
      <c r="AC16" s="1">
        <v>87.5</v>
      </c>
      <c r="AD16" s="1">
        <v>0.398031008106848</v>
      </c>
      <c r="AE16" s="1">
        <v>0.128</v>
      </c>
      <c r="AF16" s="1">
        <v>-0.34</v>
      </c>
      <c r="AG16" s="1">
        <v>6.337</v>
      </c>
      <c r="AH16" s="1">
        <v>6.781</v>
      </c>
      <c r="AI16" s="1" t="b">
        <v>1</v>
      </c>
      <c r="AJ16" s="1" t="b">
        <v>0</v>
      </c>
      <c r="AK16" s="1">
        <v>94.182</v>
      </c>
      <c r="AL16" s="1">
        <v>96.508</v>
      </c>
      <c r="AM16" s="1" t="b">
        <v>1</v>
      </c>
      <c r="AN16" s="1" t="b">
        <v>0</v>
      </c>
      <c r="AO16" s="1">
        <v>8.05</v>
      </c>
      <c r="AP16" s="1">
        <v>8.53399999999999</v>
      </c>
      <c r="AQ16" s="1" t="b">
        <v>1</v>
      </c>
      <c r="AR16" s="1" t="b">
        <v>0</v>
      </c>
      <c r="AS16" s="1">
        <v>86.9179999999999</v>
      </c>
      <c r="AT16" s="1">
        <v>87.152</v>
      </c>
      <c r="AU16" s="1" t="b">
        <v>1</v>
      </c>
      <c r="AV16" s="1" t="b">
        <v>1</v>
      </c>
      <c r="AW16" s="1">
        <v>9.61399999999999</v>
      </c>
      <c r="AX16" s="1">
        <v>11.026</v>
      </c>
      <c r="AY16" s="1" t="b">
        <v>1</v>
      </c>
      <c r="AZ16" s="1" t="b">
        <v>1</v>
      </c>
      <c r="BA16" s="1">
        <v>81.25</v>
      </c>
      <c r="BB16" s="1">
        <v>77.78</v>
      </c>
      <c r="BC16" s="1" t="b">
        <v>1</v>
      </c>
      <c r="BD16" s="1" t="b">
        <v>1</v>
      </c>
      <c r="BE16" s="1">
        <v>11.34</v>
      </c>
      <c r="BF16" s="1">
        <v>13.285</v>
      </c>
      <c r="BG16" s="1" t="b">
        <v>1</v>
      </c>
      <c r="BH16" s="1" t="b">
        <v>1</v>
      </c>
      <c r="BI16" s="1">
        <v>77.78</v>
      </c>
      <c r="BJ16" s="1">
        <v>75.0</v>
      </c>
      <c r="BK16" s="1" t="b">
        <v>1</v>
      </c>
      <c r="BL16" s="1" t="b">
        <v>1</v>
      </c>
      <c r="BM16" s="1">
        <v>13.121</v>
      </c>
      <c r="BN16" s="1">
        <v>14.568</v>
      </c>
      <c r="BO16" s="1" t="b">
        <v>1</v>
      </c>
      <c r="BP16" s="1" t="b">
        <v>1</v>
      </c>
      <c r="BQ16" s="1">
        <v>75.0</v>
      </c>
      <c r="BR16" s="1">
        <v>72.027</v>
      </c>
      <c r="BS16" s="1" t="b">
        <v>1</v>
      </c>
      <c r="BT16" s="1" t="b">
        <v>1</v>
      </c>
      <c r="BU16" s="1" t="s">
        <v>91</v>
      </c>
      <c r="BV16" s="1" t="s">
        <v>91</v>
      </c>
      <c r="BW16" s="1" t="s">
        <v>91</v>
      </c>
      <c r="BX16" s="1" t="s">
        <v>104</v>
      </c>
      <c r="BY16" s="1" t="s">
        <v>104</v>
      </c>
      <c r="BZ16" s="1" t="s">
        <v>104</v>
      </c>
      <c r="CA16" s="1" t="s">
        <v>104</v>
      </c>
      <c r="CB16" s="1" t="s">
        <v>104</v>
      </c>
      <c r="CC16" s="1" t="s">
        <v>104</v>
      </c>
      <c r="CD16" s="1" t="s">
        <v>104</v>
      </c>
      <c r="CE16" s="4"/>
      <c r="CF16" s="4"/>
    </row>
    <row r="17" hidden="1">
      <c r="A17" s="1" t="s">
        <v>82</v>
      </c>
      <c r="B17" s="1" t="s">
        <v>92</v>
      </c>
      <c r="C17" s="1">
        <v>40.0</v>
      </c>
      <c r="D17" s="5" t="s">
        <v>172</v>
      </c>
      <c r="E17" s="1" t="s">
        <v>173</v>
      </c>
      <c r="F17" s="1">
        <v>39.0</v>
      </c>
      <c r="G17" s="1">
        <v>0.0</v>
      </c>
      <c r="H17" s="1" t="s">
        <v>174</v>
      </c>
      <c r="I17" s="4" t="b">
        <f>IFERROR(__xludf.DUMMYFUNCTION("IF(H17="""",,REGEXMATCH(H17,""[א-ת]""))"),FALSE)</f>
        <v>0</v>
      </c>
      <c r="J17" s="4"/>
      <c r="K17" s="4"/>
      <c r="L17" s="1">
        <v>-0.0258</v>
      </c>
      <c r="M17" s="1">
        <v>2.98</v>
      </c>
      <c r="N17" s="1">
        <v>89.74</v>
      </c>
      <c r="O17" s="1">
        <v>2.301025641</v>
      </c>
      <c r="P17" s="4"/>
      <c r="Q17" s="4"/>
      <c r="R17" s="1" t="s">
        <v>96</v>
      </c>
      <c r="S17" s="1" t="s">
        <v>173</v>
      </c>
      <c r="T17" s="1" t="s">
        <v>92</v>
      </c>
      <c r="U17" s="1">
        <v>41.0</v>
      </c>
      <c r="V17" s="5" t="s">
        <v>172</v>
      </c>
      <c r="W17" s="1" t="s">
        <v>173</v>
      </c>
      <c r="X17" s="1" t="s">
        <v>175</v>
      </c>
      <c r="Y17" s="4"/>
      <c r="Z17" s="4"/>
      <c r="AA17" s="4" t="b">
        <f>IFERROR(__xludf.DUMMYFUNCTION("IF(X17="""",,REGEXMATCH(X17,""[א-ת]""))"),FALSE)</f>
        <v>0</v>
      </c>
      <c r="AB17" s="1">
        <v>7.59</v>
      </c>
      <c r="AC17" s="1">
        <v>87.18</v>
      </c>
      <c r="AD17" s="1">
        <v>0.536543881247581</v>
      </c>
      <c r="AE17" s="1">
        <v>0.0</v>
      </c>
      <c r="AF17" s="1">
        <v>0.0</v>
      </c>
      <c r="AG17" s="1">
        <v>6.337</v>
      </c>
      <c r="AH17" s="1">
        <v>6.781</v>
      </c>
      <c r="AI17" s="1" t="b">
        <v>1</v>
      </c>
      <c r="AJ17" s="1" t="b">
        <v>0</v>
      </c>
      <c r="AK17" s="1">
        <v>94.182</v>
      </c>
      <c r="AL17" s="1">
        <v>96.508</v>
      </c>
      <c r="AM17" s="1" t="b">
        <v>0</v>
      </c>
      <c r="AN17" s="1" t="b">
        <v>0</v>
      </c>
      <c r="AO17" s="1">
        <v>8.05</v>
      </c>
      <c r="AP17" s="1">
        <v>8.53399999999999</v>
      </c>
      <c r="AQ17" s="1" t="b">
        <v>1</v>
      </c>
      <c r="AR17" s="1" t="b">
        <v>1</v>
      </c>
      <c r="AS17" s="1">
        <v>86.9179999999999</v>
      </c>
      <c r="AT17" s="1">
        <v>87.152</v>
      </c>
      <c r="AU17" s="1" t="b">
        <v>1</v>
      </c>
      <c r="AV17" s="1" t="b">
        <v>1</v>
      </c>
      <c r="AW17" s="1">
        <v>9.61399999999999</v>
      </c>
      <c r="AX17" s="1">
        <v>11.026</v>
      </c>
      <c r="AY17" s="1" t="b">
        <v>1</v>
      </c>
      <c r="AZ17" s="1" t="b">
        <v>1</v>
      </c>
      <c r="BA17" s="1">
        <v>81.25</v>
      </c>
      <c r="BB17" s="1">
        <v>77.78</v>
      </c>
      <c r="BC17" s="1" t="b">
        <v>1</v>
      </c>
      <c r="BD17" s="1" t="b">
        <v>1</v>
      </c>
      <c r="BE17" s="1">
        <v>11.34</v>
      </c>
      <c r="BF17" s="1">
        <v>13.285</v>
      </c>
      <c r="BG17" s="1" t="b">
        <v>1</v>
      </c>
      <c r="BH17" s="1" t="b">
        <v>1</v>
      </c>
      <c r="BI17" s="1">
        <v>77.78</v>
      </c>
      <c r="BJ17" s="1">
        <v>75.0</v>
      </c>
      <c r="BK17" s="1" t="b">
        <v>1</v>
      </c>
      <c r="BL17" s="1" t="b">
        <v>1</v>
      </c>
      <c r="BM17" s="1">
        <v>13.121</v>
      </c>
      <c r="BN17" s="1">
        <v>14.568</v>
      </c>
      <c r="BO17" s="1" t="b">
        <v>1</v>
      </c>
      <c r="BP17" s="1" t="b">
        <v>1</v>
      </c>
      <c r="BQ17" s="1">
        <v>75.0</v>
      </c>
      <c r="BR17" s="1">
        <v>72.027</v>
      </c>
      <c r="BS17" s="1" t="b">
        <v>1</v>
      </c>
      <c r="BT17" s="1" t="b">
        <v>1</v>
      </c>
      <c r="BU17" s="1" t="s">
        <v>91</v>
      </c>
      <c r="BV17" s="1" t="s">
        <v>105</v>
      </c>
      <c r="BW17" s="1" t="s">
        <v>104</v>
      </c>
      <c r="BX17" s="1" t="s">
        <v>104</v>
      </c>
      <c r="BY17" s="1" t="s">
        <v>104</v>
      </c>
      <c r="BZ17" s="1" t="s">
        <v>104</v>
      </c>
      <c r="CA17" s="1" t="s">
        <v>104</v>
      </c>
      <c r="CB17" s="1" t="s">
        <v>104</v>
      </c>
      <c r="CC17" s="1" t="s">
        <v>104</v>
      </c>
      <c r="CD17" s="1" t="s">
        <v>104</v>
      </c>
      <c r="CE17" s="4"/>
      <c r="CF17" s="4"/>
    </row>
    <row r="18">
      <c r="A18" s="1" t="s">
        <v>82</v>
      </c>
      <c r="B18" s="1" t="s">
        <v>176</v>
      </c>
      <c r="C18" s="1">
        <v>0.0</v>
      </c>
      <c r="D18" s="5" t="s">
        <v>177</v>
      </c>
      <c r="E18" s="1" t="s">
        <v>178</v>
      </c>
      <c r="F18" s="1">
        <v>14.0</v>
      </c>
      <c r="G18" s="1">
        <v>-0.1027</v>
      </c>
      <c r="H18" s="1" t="s">
        <v>179</v>
      </c>
      <c r="I18" s="4" t="b">
        <f>IFERROR(__xludf.DUMMYFUNCTION("IF(H18="""",,REGEXMATCH(H18,""[א-ת]""))"),FALSE)</f>
        <v>0</v>
      </c>
      <c r="J18" s="4"/>
      <c r="K18" s="4"/>
      <c r="L18" s="1">
        <v>0.0</v>
      </c>
      <c r="M18" s="1">
        <v>3.02</v>
      </c>
      <c r="N18" s="1">
        <v>85.71</v>
      </c>
      <c r="O18" s="1">
        <v>6.122142857</v>
      </c>
      <c r="P18" s="4"/>
      <c r="Q18" s="4"/>
      <c r="R18" s="1" t="s">
        <v>89</v>
      </c>
      <c r="S18" s="1" t="s">
        <v>178</v>
      </c>
      <c r="T18" s="1" t="s">
        <v>176</v>
      </c>
      <c r="U18" s="1">
        <v>1.0</v>
      </c>
      <c r="V18" s="5" t="s">
        <v>177</v>
      </c>
      <c r="W18" s="1" t="s">
        <v>178</v>
      </c>
      <c r="X18" s="1" t="s">
        <v>180</v>
      </c>
      <c r="Y18" s="1" t="s">
        <v>181</v>
      </c>
      <c r="Z18" s="1" t="s">
        <v>182</v>
      </c>
      <c r="AA18" s="4" t="b">
        <f>IFERROR(__xludf.DUMMYFUNCTION("IF(X18="""",,REGEXMATCH(X18,""[א-ת]""))"),FALSE)</f>
        <v>0</v>
      </c>
      <c r="AB18" s="1">
        <v>3.49</v>
      </c>
      <c r="AC18" s="1">
        <v>100.0</v>
      </c>
      <c r="AD18" s="1">
        <v>0.515610384025416</v>
      </c>
      <c r="AE18" s="1">
        <v>-0.1926</v>
      </c>
      <c r="AF18" s="1">
        <v>-0.1027</v>
      </c>
      <c r="AG18" s="1">
        <v>6.337</v>
      </c>
      <c r="AH18" s="1">
        <v>6.781</v>
      </c>
      <c r="AI18" s="1" t="b">
        <v>1</v>
      </c>
      <c r="AJ18" s="1" t="b">
        <v>1</v>
      </c>
      <c r="AK18" s="1">
        <v>94.182</v>
      </c>
      <c r="AL18" s="1">
        <v>96.508</v>
      </c>
      <c r="AM18" s="1" t="b">
        <v>0</v>
      </c>
      <c r="AN18" s="1" t="b">
        <v>1</v>
      </c>
      <c r="AO18" s="1">
        <v>8.05</v>
      </c>
      <c r="AP18" s="1">
        <v>8.53399999999999</v>
      </c>
      <c r="AQ18" s="1" t="b">
        <v>1</v>
      </c>
      <c r="AR18" s="1" t="b">
        <v>1</v>
      </c>
      <c r="AS18" s="1">
        <v>86.9179999999999</v>
      </c>
      <c r="AT18" s="1">
        <v>87.152</v>
      </c>
      <c r="AU18" s="1" t="b">
        <v>0</v>
      </c>
      <c r="AV18" s="1" t="b">
        <v>1</v>
      </c>
      <c r="AW18" s="1">
        <v>9.61399999999999</v>
      </c>
      <c r="AX18" s="1">
        <v>11.026</v>
      </c>
      <c r="AY18" s="1" t="b">
        <v>1</v>
      </c>
      <c r="AZ18" s="1" t="b">
        <v>1</v>
      </c>
      <c r="BA18" s="1">
        <v>81.25</v>
      </c>
      <c r="BB18" s="1">
        <v>77.78</v>
      </c>
      <c r="BC18" s="1" t="b">
        <v>1</v>
      </c>
      <c r="BD18" s="1" t="b">
        <v>1</v>
      </c>
      <c r="BE18" s="1">
        <v>11.34</v>
      </c>
      <c r="BF18" s="1">
        <v>13.285</v>
      </c>
      <c r="BG18" s="1" t="b">
        <v>1</v>
      </c>
      <c r="BH18" s="1" t="b">
        <v>1</v>
      </c>
      <c r="BI18" s="1">
        <v>77.78</v>
      </c>
      <c r="BJ18" s="1">
        <v>75.0</v>
      </c>
      <c r="BK18" s="1" t="b">
        <v>1</v>
      </c>
      <c r="BL18" s="1" t="b">
        <v>1</v>
      </c>
      <c r="BM18" s="1">
        <v>13.121</v>
      </c>
      <c r="BN18" s="1">
        <v>14.568</v>
      </c>
      <c r="BO18" s="1" t="b">
        <v>1</v>
      </c>
      <c r="BP18" s="1" t="b">
        <v>1</v>
      </c>
      <c r="BQ18" s="1">
        <v>75.0</v>
      </c>
      <c r="BR18" s="1">
        <v>72.027</v>
      </c>
      <c r="BS18" s="1" t="b">
        <v>1</v>
      </c>
      <c r="BT18" s="1" t="b">
        <v>1</v>
      </c>
      <c r="BU18" s="1" t="s">
        <v>104</v>
      </c>
      <c r="BV18" s="1" t="s">
        <v>157</v>
      </c>
      <c r="BW18" s="1" t="s">
        <v>104</v>
      </c>
      <c r="BX18" s="1" t="s">
        <v>157</v>
      </c>
      <c r="BY18" s="1" t="s">
        <v>104</v>
      </c>
      <c r="BZ18" s="1" t="s">
        <v>104</v>
      </c>
      <c r="CA18" s="1" t="s">
        <v>104</v>
      </c>
      <c r="CB18" s="1" t="s">
        <v>104</v>
      </c>
      <c r="CC18" s="1" t="s">
        <v>104</v>
      </c>
      <c r="CD18" s="1" t="s">
        <v>104</v>
      </c>
      <c r="CE18" s="4"/>
      <c r="CF18" s="4"/>
    </row>
    <row r="19" hidden="1">
      <c r="A19" s="1" t="s">
        <v>82</v>
      </c>
      <c r="B19" s="1" t="s">
        <v>139</v>
      </c>
      <c r="C19" s="1">
        <v>20.0</v>
      </c>
      <c r="D19" s="5" t="s">
        <v>183</v>
      </c>
      <c r="E19" s="1" t="s">
        <v>184</v>
      </c>
      <c r="F19" s="1">
        <v>35.0</v>
      </c>
      <c r="G19" s="1">
        <v>0.0</v>
      </c>
      <c r="H19" s="1" t="s">
        <v>185</v>
      </c>
      <c r="I19" s="4" t="b">
        <f>IFERROR(__xludf.DUMMYFUNCTION("IF(H19="""",,REGEXMATCH(H19,""[א-ת]""))"),FALSE)</f>
        <v>0</v>
      </c>
      <c r="J19" s="4"/>
      <c r="K19" s="4"/>
      <c r="L19" s="1">
        <v>0.0</v>
      </c>
      <c r="M19" s="1">
        <v>3.11</v>
      </c>
      <c r="N19" s="1">
        <v>91.43</v>
      </c>
      <c r="O19" s="1">
        <v>2.612285714</v>
      </c>
      <c r="P19" s="4"/>
      <c r="Q19" s="4"/>
      <c r="R19" s="1" t="s">
        <v>96</v>
      </c>
      <c r="S19" s="1" t="s">
        <v>184</v>
      </c>
      <c r="T19" s="1" t="s">
        <v>139</v>
      </c>
      <c r="U19" s="1">
        <v>21.0</v>
      </c>
      <c r="V19" s="5" t="s">
        <v>183</v>
      </c>
      <c r="W19" s="1" t="s">
        <v>184</v>
      </c>
      <c r="X19" s="1" t="s">
        <v>186</v>
      </c>
      <c r="Y19" s="4"/>
      <c r="Z19" s="4"/>
      <c r="AA19" s="4" t="b">
        <f>IFERROR(__xludf.DUMMYFUNCTION("IF(X19="""",,REGEXMATCH(X19,""[א-ת]""))"),FALSE)</f>
        <v>0</v>
      </c>
      <c r="AB19" s="1">
        <v>27.07</v>
      </c>
      <c r="AC19" s="1">
        <v>74.29</v>
      </c>
      <c r="AD19" s="1">
        <v>0.842371076550663</v>
      </c>
      <c r="AE19" s="1">
        <v>0.0</v>
      </c>
      <c r="AF19" s="1">
        <v>0.0</v>
      </c>
      <c r="AG19" s="1">
        <v>6.337</v>
      </c>
      <c r="AH19" s="1">
        <v>6.781</v>
      </c>
      <c r="AI19" s="1" t="b">
        <v>1</v>
      </c>
      <c r="AJ19" s="1" t="b">
        <v>0</v>
      </c>
      <c r="AK19" s="1">
        <v>94.182</v>
      </c>
      <c r="AL19" s="1">
        <v>96.508</v>
      </c>
      <c r="AM19" s="1" t="b">
        <v>0</v>
      </c>
      <c r="AN19" s="1" t="b">
        <v>0</v>
      </c>
      <c r="AO19" s="1">
        <v>8.05</v>
      </c>
      <c r="AP19" s="1">
        <v>8.53399999999999</v>
      </c>
      <c r="AQ19" s="1" t="b">
        <v>1</v>
      </c>
      <c r="AR19" s="1" t="b">
        <v>0</v>
      </c>
      <c r="AS19" s="1">
        <v>86.9179999999999</v>
      </c>
      <c r="AT19" s="1">
        <v>87.152</v>
      </c>
      <c r="AU19" s="1" t="b">
        <v>1</v>
      </c>
      <c r="AV19" s="1" t="b">
        <v>0</v>
      </c>
      <c r="AW19" s="1">
        <v>9.61399999999999</v>
      </c>
      <c r="AX19" s="1">
        <v>11.026</v>
      </c>
      <c r="AY19" s="1" t="b">
        <v>1</v>
      </c>
      <c r="AZ19" s="1" t="b">
        <v>0</v>
      </c>
      <c r="BA19" s="1">
        <v>81.25</v>
      </c>
      <c r="BB19" s="1">
        <v>77.78</v>
      </c>
      <c r="BC19" s="1" t="b">
        <v>1</v>
      </c>
      <c r="BD19" s="1" t="b">
        <v>0</v>
      </c>
      <c r="BE19" s="1">
        <v>11.34</v>
      </c>
      <c r="BF19" s="1">
        <v>13.285</v>
      </c>
      <c r="BG19" s="1" t="b">
        <v>1</v>
      </c>
      <c r="BH19" s="1" t="b">
        <v>0</v>
      </c>
      <c r="BI19" s="1">
        <v>77.78</v>
      </c>
      <c r="BJ19" s="1">
        <v>75.0</v>
      </c>
      <c r="BK19" s="1" t="b">
        <v>1</v>
      </c>
      <c r="BL19" s="1" t="b">
        <v>0</v>
      </c>
      <c r="BM19" s="1">
        <v>13.121</v>
      </c>
      <c r="BN19" s="1">
        <v>14.568</v>
      </c>
      <c r="BO19" s="1" t="b">
        <v>1</v>
      </c>
      <c r="BP19" s="1" t="b">
        <v>0</v>
      </c>
      <c r="BQ19" s="1">
        <v>75.0</v>
      </c>
      <c r="BR19" s="1">
        <v>72.027</v>
      </c>
      <c r="BS19" s="1" t="b">
        <v>1</v>
      </c>
      <c r="BT19" s="1" t="b">
        <v>1</v>
      </c>
      <c r="BU19" s="1" t="s">
        <v>91</v>
      </c>
      <c r="BV19" s="1" t="s">
        <v>105</v>
      </c>
      <c r="BW19" s="1" t="s">
        <v>91</v>
      </c>
      <c r="BX19" s="1" t="s">
        <v>91</v>
      </c>
      <c r="BY19" s="1" t="s">
        <v>91</v>
      </c>
      <c r="BZ19" s="1" t="s">
        <v>91</v>
      </c>
      <c r="CA19" s="1" t="s">
        <v>91</v>
      </c>
      <c r="CB19" s="1" t="s">
        <v>91</v>
      </c>
      <c r="CC19" s="1" t="s">
        <v>91</v>
      </c>
      <c r="CD19" s="1" t="s">
        <v>104</v>
      </c>
      <c r="CE19" s="4"/>
      <c r="CF19" s="4"/>
    </row>
    <row r="20" hidden="1">
      <c r="A20" s="1" t="s">
        <v>82</v>
      </c>
      <c r="B20" s="1" t="s">
        <v>98</v>
      </c>
      <c r="C20" s="1">
        <v>15.0</v>
      </c>
      <c r="D20" s="5" t="s">
        <v>187</v>
      </c>
      <c r="E20" s="1" t="s">
        <v>188</v>
      </c>
      <c r="F20" s="1">
        <v>43.0</v>
      </c>
      <c r="G20" s="1">
        <v>-0.0869</v>
      </c>
      <c r="H20" s="1" t="s">
        <v>189</v>
      </c>
      <c r="I20" s="4" t="b">
        <f>IFERROR(__xludf.DUMMYFUNCTION("IF(H20="""",,REGEXMATCH(H20,""[א-ת]""))"),FALSE)</f>
        <v>0</v>
      </c>
      <c r="J20" s="4"/>
      <c r="K20" s="4"/>
      <c r="L20" s="1">
        <v>0.0</v>
      </c>
      <c r="M20" s="1">
        <v>3.31</v>
      </c>
      <c r="N20" s="1">
        <v>100.0</v>
      </c>
      <c r="O20" s="1">
        <v>2.325581395</v>
      </c>
      <c r="P20" s="4"/>
      <c r="Q20" s="4"/>
      <c r="R20" s="1" t="s">
        <v>89</v>
      </c>
      <c r="S20" s="1" t="s">
        <v>188</v>
      </c>
      <c r="T20" s="1" t="s">
        <v>98</v>
      </c>
      <c r="U20" s="1">
        <v>16.0</v>
      </c>
      <c r="V20" s="5" t="s">
        <v>187</v>
      </c>
      <c r="W20" s="1" t="s">
        <v>188</v>
      </c>
      <c r="X20" s="1" t="s">
        <v>190</v>
      </c>
      <c r="Y20" s="4"/>
      <c r="Z20" s="4"/>
      <c r="AA20" s="4" t="b">
        <f>IFERROR(__xludf.DUMMYFUNCTION("IF(X20="""",,REGEXMATCH(X20,""[א-ת]""))"),TRUE)</f>
        <v>1</v>
      </c>
      <c r="AB20" s="1">
        <v>16.43</v>
      </c>
      <c r="AC20" s="1">
        <v>69.77</v>
      </c>
      <c r="AD20" s="1">
        <v>0.584450548190668</v>
      </c>
      <c r="AE20" s="1">
        <v>0.0</v>
      </c>
      <c r="AF20" s="1">
        <v>-0.0869</v>
      </c>
      <c r="AG20" s="1">
        <v>6.337</v>
      </c>
      <c r="AH20" s="1">
        <v>6.781</v>
      </c>
      <c r="AI20" s="1" t="b">
        <v>1</v>
      </c>
      <c r="AJ20" s="1" t="b">
        <v>0</v>
      </c>
      <c r="AK20" s="1">
        <v>94.182</v>
      </c>
      <c r="AL20" s="1">
        <v>96.508</v>
      </c>
      <c r="AM20" s="1" t="b">
        <v>1</v>
      </c>
      <c r="AN20" s="1" t="b">
        <v>0</v>
      </c>
      <c r="AO20" s="1">
        <v>8.05</v>
      </c>
      <c r="AP20" s="1">
        <v>8.53399999999999</v>
      </c>
      <c r="AQ20" s="1" t="b">
        <v>1</v>
      </c>
      <c r="AR20" s="1" t="b">
        <v>0</v>
      </c>
      <c r="AS20" s="1">
        <v>86.9179999999999</v>
      </c>
      <c r="AT20" s="1">
        <v>87.152</v>
      </c>
      <c r="AU20" s="1" t="b">
        <v>1</v>
      </c>
      <c r="AV20" s="1" t="b">
        <v>0</v>
      </c>
      <c r="AW20" s="1">
        <v>9.61399999999999</v>
      </c>
      <c r="AX20" s="1">
        <v>11.026</v>
      </c>
      <c r="AY20" s="1" t="b">
        <v>1</v>
      </c>
      <c r="AZ20" s="1" t="b">
        <v>0</v>
      </c>
      <c r="BA20" s="1">
        <v>81.25</v>
      </c>
      <c r="BB20" s="1">
        <v>77.78</v>
      </c>
      <c r="BC20" s="1" t="b">
        <v>1</v>
      </c>
      <c r="BD20" s="1" t="b">
        <v>0</v>
      </c>
      <c r="BE20" s="1">
        <v>11.34</v>
      </c>
      <c r="BF20" s="1">
        <v>13.285</v>
      </c>
      <c r="BG20" s="1" t="b">
        <v>1</v>
      </c>
      <c r="BH20" s="1" t="b">
        <v>0</v>
      </c>
      <c r="BI20" s="1">
        <v>77.78</v>
      </c>
      <c r="BJ20" s="1">
        <v>75.0</v>
      </c>
      <c r="BK20" s="1" t="b">
        <v>1</v>
      </c>
      <c r="BL20" s="1" t="b">
        <v>0</v>
      </c>
      <c r="BM20" s="1">
        <v>13.121</v>
      </c>
      <c r="BN20" s="1">
        <v>14.568</v>
      </c>
      <c r="BO20" s="1" t="b">
        <v>1</v>
      </c>
      <c r="BP20" s="1" t="b">
        <v>0</v>
      </c>
      <c r="BQ20" s="1">
        <v>75.0</v>
      </c>
      <c r="BR20" s="1">
        <v>72.027</v>
      </c>
      <c r="BS20" s="1" t="b">
        <v>1</v>
      </c>
      <c r="BT20" s="1" t="b">
        <v>0</v>
      </c>
      <c r="BU20" s="1" t="s">
        <v>91</v>
      </c>
      <c r="BV20" s="1" t="s">
        <v>91</v>
      </c>
      <c r="BW20" s="1" t="s">
        <v>91</v>
      </c>
      <c r="BX20" s="1" t="s">
        <v>91</v>
      </c>
      <c r="BY20" s="1" t="s">
        <v>91</v>
      </c>
      <c r="BZ20" s="1" t="s">
        <v>91</v>
      </c>
      <c r="CA20" s="1" t="s">
        <v>91</v>
      </c>
      <c r="CB20" s="1" t="s">
        <v>91</v>
      </c>
      <c r="CC20" s="1" t="s">
        <v>91</v>
      </c>
      <c r="CD20" s="1" t="s">
        <v>91</v>
      </c>
      <c r="CE20" s="4"/>
      <c r="CF20" s="4"/>
    </row>
    <row r="21">
      <c r="A21" s="1" t="s">
        <v>82</v>
      </c>
      <c r="B21" s="1" t="s">
        <v>123</v>
      </c>
      <c r="C21" s="1">
        <v>6.0</v>
      </c>
      <c r="D21" s="5" t="s">
        <v>191</v>
      </c>
      <c r="E21" s="1" t="s">
        <v>192</v>
      </c>
      <c r="F21" s="1">
        <v>24.0</v>
      </c>
      <c r="G21" s="1">
        <v>-0.5106</v>
      </c>
      <c r="H21" s="1" t="s">
        <v>193</v>
      </c>
      <c r="I21" s="4" t="b">
        <f>IFERROR(__xludf.DUMMYFUNCTION("IF(H21="""",,REGEXMATCH(H21,""[א-ת]""))"),FALSE)</f>
        <v>0</v>
      </c>
      <c r="J21" s="4"/>
      <c r="K21" s="4"/>
      <c r="L21" s="1">
        <v>-0.2023</v>
      </c>
      <c r="M21" s="1">
        <v>3.47</v>
      </c>
      <c r="N21" s="1">
        <v>79.17</v>
      </c>
      <c r="O21" s="1">
        <v>3.29875</v>
      </c>
      <c r="P21" s="4"/>
      <c r="Q21" s="4"/>
      <c r="R21" s="1" t="s">
        <v>127</v>
      </c>
      <c r="S21" s="1" t="s">
        <v>192</v>
      </c>
      <c r="T21" s="1" t="s">
        <v>123</v>
      </c>
      <c r="U21" s="1">
        <v>7.0</v>
      </c>
      <c r="V21" s="5" t="s">
        <v>191</v>
      </c>
      <c r="W21" s="1" t="s">
        <v>192</v>
      </c>
      <c r="X21" s="1" t="s">
        <v>194</v>
      </c>
      <c r="Y21" s="1" t="s">
        <v>195</v>
      </c>
      <c r="Z21" s="1" t="s">
        <v>196</v>
      </c>
      <c r="AA21" s="4" t="b">
        <f>IFERROR(__xludf.DUMMYFUNCTION("IF(X21="""",,REGEXMATCH(X21,""[א-ת]""))"),FALSE)</f>
        <v>0</v>
      </c>
      <c r="AB21" s="1">
        <v>1.84</v>
      </c>
      <c r="AC21" s="1">
        <v>95.83</v>
      </c>
      <c r="AD21" s="1">
        <v>0.0351007287787467</v>
      </c>
      <c r="AE21" s="1">
        <v>0.0</v>
      </c>
      <c r="AF21" s="1">
        <v>-0.5106</v>
      </c>
      <c r="AG21" s="1">
        <v>6.337</v>
      </c>
      <c r="AH21" s="1">
        <v>6.781</v>
      </c>
      <c r="AI21" s="1" t="b">
        <v>1</v>
      </c>
      <c r="AJ21" s="1" t="b">
        <v>1</v>
      </c>
      <c r="AK21" s="1">
        <v>94.182</v>
      </c>
      <c r="AL21" s="1">
        <v>96.508</v>
      </c>
      <c r="AM21" s="1" t="b">
        <v>0</v>
      </c>
      <c r="AN21" s="1" t="b">
        <v>0</v>
      </c>
      <c r="AO21" s="1">
        <v>8.05</v>
      </c>
      <c r="AP21" s="1">
        <v>8.53399999999999</v>
      </c>
      <c r="AQ21" s="1" t="b">
        <v>1</v>
      </c>
      <c r="AR21" s="1" t="b">
        <v>1</v>
      </c>
      <c r="AS21" s="1">
        <v>86.9179999999999</v>
      </c>
      <c r="AT21" s="1">
        <v>87.152</v>
      </c>
      <c r="AU21" s="1" t="b">
        <v>0</v>
      </c>
      <c r="AV21" s="1" t="b">
        <v>1</v>
      </c>
      <c r="AW21" s="1">
        <v>9.61399999999999</v>
      </c>
      <c r="AX21" s="1">
        <v>11.026</v>
      </c>
      <c r="AY21" s="1" t="b">
        <v>1</v>
      </c>
      <c r="AZ21" s="1" t="b">
        <v>1</v>
      </c>
      <c r="BA21" s="1">
        <v>81.25</v>
      </c>
      <c r="BB21" s="1">
        <v>77.78</v>
      </c>
      <c r="BC21" s="1" t="b">
        <v>0</v>
      </c>
      <c r="BD21" s="1" t="b">
        <v>1</v>
      </c>
      <c r="BE21" s="1">
        <v>11.34</v>
      </c>
      <c r="BF21" s="1">
        <v>13.285</v>
      </c>
      <c r="BG21" s="1" t="b">
        <v>1</v>
      </c>
      <c r="BH21" s="1" t="b">
        <v>1</v>
      </c>
      <c r="BI21" s="1">
        <v>77.78</v>
      </c>
      <c r="BJ21" s="1">
        <v>75.0</v>
      </c>
      <c r="BK21" s="1" t="b">
        <v>1</v>
      </c>
      <c r="BL21" s="1" t="b">
        <v>1</v>
      </c>
      <c r="BM21" s="1">
        <v>13.121</v>
      </c>
      <c r="BN21" s="1">
        <v>14.568</v>
      </c>
      <c r="BO21" s="1" t="b">
        <v>1</v>
      </c>
      <c r="BP21" s="1" t="b">
        <v>1</v>
      </c>
      <c r="BQ21" s="1">
        <v>75.0</v>
      </c>
      <c r="BR21" s="1">
        <v>72.027</v>
      </c>
      <c r="BS21" s="1" t="b">
        <v>1</v>
      </c>
      <c r="BT21" s="1" t="b">
        <v>1</v>
      </c>
      <c r="BU21" s="1" t="s">
        <v>104</v>
      </c>
      <c r="BV21" s="1" t="s">
        <v>105</v>
      </c>
      <c r="BW21" s="1" t="s">
        <v>104</v>
      </c>
      <c r="BX21" s="1" t="s">
        <v>157</v>
      </c>
      <c r="BY21" s="1" t="s">
        <v>104</v>
      </c>
      <c r="BZ21" s="1" t="s">
        <v>157</v>
      </c>
      <c r="CA21" s="1" t="s">
        <v>104</v>
      </c>
      <c r="CB21" s="1" t="s">
        <v>104</v>
      </c>
      <c r="CC21" s="1" t="s">
        <v>104</v>
      </c>
      <c r="CD21" s="1" t="s">
        <v>104</v>
      </c>
      <c r="CE21" s="4"/>
      <c r="CF21" s="4"/>
    </row>
    <row r="22">
      <c r="A22" s="1" t="s">
        <v>82</v>
      </c>
      <c r="B22" s="1" t="s">
        <v>197</v>
      </c>
      <c r="C22" s="1">
        <v>12.0</v>
      </c>
      <c r="D22" s="5" t="s">
        <v>198</v>
      </c>
      <c r="E22" s="1" t="s">
        <v>199</v>
      </c>
      <c r="F22" s="1">
        <v>73.0</v>
      </c>
      <c r="G22" s="1">
        <v>0.3612</v>
      </c>
      <c r="H22" s="1" t="s">
        <v>200</v>
      </c>
      <c r="I22" s="4" t="b">
        <f>IFERROR(__xludf.DUMMYFUNCTION("IF(H22="""",,REGEXMATCH(H22,""[א-ת]""))"),TRUE)</f>
        <v>1</v>
      </c>
      <c r="J22" s="4"/>
      <c r="K22" s="4"/>
      <c r="L22" s="1">
        <v>0.9217</v>
      </c>
      <c r="M22" s="1">
        <v>3.58</v>
      </c>
      <c r="N22" s="1">
        <v>84.93</v>
      </c>
      <c r="O22" s="1">
        <v>1.163424658</v>
      </c>
      <c r="P22" s="4"/>
      <c r="Q22" s="4"/>
      <c r="R22" s="1" t="s">
        <v>89</v>
      </c>
      <c r="S22" s="1" t="s">
        <v>199</v>
      </c>
      <c r="T22" s="1" t="s">
        <v>197</v>
      </c>
      <c r="U22" s="1">
        <v>13.0</v>
      </c>
      <c r="V22" s="5" t="s">
        <v>198</v>
      </c>
      <c r="W22" s="1" t="s">
        <v>199</v>
      </c>
      <c r="X22" s="1" t="s">
        <v>201</v>
      </c>
      <c r="Y22" s="1" t="s">
        <v>202</v>
      </c>
      <c r="Z22" s="1" t="s">
        <v>203</v>
      </c>
      <c r="AA22" s="4" t="b">
        <f>IFERROR(__xludf.DUMMYFUNCTION("IF(X22="""",,REGEXMATCH(X22,""[א-ת]""))"),FALSE)</f>
        <v>0</v>
      </c>
      <c r="AB22" s="1">
        <v>4.66</v>
      </c>
      <c r="AC22" s="1">
        <v>87.67</v>
      </c>
      <c r="AD22" s="1">
        <v>0.414398573394501</v>
      </c>
      <c r="AE22" s="1">
        <v>0.3612</v>
      </c>
      <c r="AF22" s="1">
        <v>0.3612</v>
      </c>
      <c r="AG22" s="1">
        <v>6.337</v>
      </c>
      <c r="AH22" s="1">
        <v>6.781</v>
      </c>
      <c r="AI22" s="1" t="b">
        <v>1</v>
      </c>
      <c r="AJ22" s="1" t="b">
        <v>1</v>
      </c>
      <c r="AK22" s="1">
        <v>94.182</v>
      </c>
      <c r="AL22" s="1">
        <v>96.508</v>
      </c>
      <c r="AM22" s="1" t="b">
        <v>0</v>
      </c>
      <c r="AN22" s="1" t="b">
        <v>0</v>
      </c>
      <c r="AO22" s="1">
        <v>8.05</v>
      </c>
      <c r="AP22" s="1">
        <v>8.53399999999999</v>
      </c>
      <c r="AQ22" s="1" t="b">
        <v>1</v>
      </c>
      <c r="AR22" s="1" t="b">
        <v>1</v>
      </c>
      <c r="AS22" s="1">
        <v>86.9179999999999</v>
      </c>
      <c r="AT22" s="1">
        <v>87.152</v>
      </c>
      <c r="AU22" s="1" t="b">
        <v>0</v>
      </c>
      <c r="AV22" s="1" t="b">
        <v>1</v>
      </c>
      <c r="AW22" s="1">
        <v>9.61399999999999</v>
      </c>
      <c r="AX22" s="1">
        <v>11.026</v>
      </c>
      <c r="AY22" s="1" t="b">
        <v>1</v>
      </c>
      <c r="AZ22" s="1" t="b">
        <v>1</v>
      </c>
      <c r="BA22" s="1">
        <v>81.25</v>
      </c>
      <c r="BB22" s="1">
        <v>77.78</v>
      </c>
      <c r="BC22" s="1" t="b">
        <v>1</v>
      </c>
      <c r="BD22" s="1" t="b">
        <v>1</v>
      </c>
      <c r="BE22" s="1">
        <v>11.34</v>
      </c>
      <c r="BF22" s="1">
        <v>13.285</v>
      </c>
      <c r="BG22" s="1" t="b">
        <v>1</v>
      </c>
      <c r="BH22" s="1" t="b">
        <v>1</v>
      </c>
      <c r="BI22" s="1">
        <v>77.78</v>
      </c>
      <c r="BJ22" s="1">
        <v>75.0</v>
      </c>
      <c r="BK22" s="1" t="b">
        <v>1</v>
      </c>
      <c r="BL22" s="1" t="b">
        <v>1</v>
      </c>
      <c r="BM22" s="1">
        <v>13.121</v>
      </c>
      <c r="BN22" s="1">
        <v>14.568</v>
      </c>
      <c r="BO22" s="1" t="b">
        <v>1</v>
      </c>
      <c r="BP22" s="1" t="b">
        <v>1</v>
      </c>
      <c r="BQ22" s="1">
        <v>75.0</v>
      </c>
      <c r="BR22" s="1">
        <v>72.027</v>
      </c>
      <c r="BS22" s="1" t="b">
        <v>1</v>
      </c>
      <c r="BT22" s="1" t="b">
        <v>1</v>
      </c>
      <c r="BU22" s="1" t="s">
        <v>104</v>
      </c>
      <c r="BV22" s="1" t="s">
        <v>105</v>
      </c>
      <c r="BW22" s="1" t="s">
        <v>104</v>
      </c>
      <c r="BX22" s="1" t="s">
        <v>157</v>
      </c>
      <c r="BY22" s="1" t="s">
        <v>104</v>
      </c>
      <c r="BZ22" s="1" t="s">
        <v>104</v>
      </c>
      <c r="CA22" s="1" t="s">
        <v>104</v>
      </c>
      <c r="CB22" s="1" t="s">
        <v>104</v>
      </c>
      <c r="CC22" s="1" t="s">
        <v>104</v>
      </c>
      <c r="CD22" s="1" t="s">
        <v>104</v>
      </c>
      <c r="CE22" s="4"/>
      <c r="CF22" s="4"/>
    </row>
    <row r="23" hidden="1">
      <c r="A23" s="1" t="s">
        <v>82</v>
      </c>
      <c r="B23" s="1" t="s">
        <v>111</v>
      </c>
      <c r="C23" s="1">
        <v>10.0</v>
      </c>
      <c r="D23" s="5" t="s">
        <v>204</v>
      </c>
      <c r="E23" s="1" t="s">
        <v>205</v>
      </c>
      <c r="F23" s="1">
        <v>30.0</v>
      </c>
      <c r="G23" s="1">
        <v>0.4939</v>
      </c>
      <c r="H23" s="1" t="s">
        <v>206</v>
      </c>
      <c r="I23" s="4" t="b">
        <f>IFERROR(__xludf.DUMMYFUNCTION("IF(H23="""",,REGEXMATCH(H23,""[א-ת]""))"),FALSE)</f>
        <v>0</v>
      </c>
      <c r="J23" s="4"/>
      <c r="K23" s="4"/>
      <c r="L23" s="1">
        <v>0.7862</v>
      </c>
      <c r="M23" s="1">
        <v>3.6</v>
      </c>
      <c r="N23" s="1">
        <v>96.67</v>
      </c>
      <c r="O23" s="1">
        <v>3.222333333</v>
      </c>
      <c r="P23" s="4"/>
      <c r="Q23" s="4"/>
      <c r="R23" s="1" t="s">
        <v>89</v>
      </c>
      <c r="S23" s="1" t="s">
        <v>205</v>
      </c>
      <c r="T23" s="1" t="s">
        <v>111</v>
      </c>
      <c r="U23" s="1">
        <v>11.0</v>
      </c>
      <c r="V23" s="5" t="s">
        <v>204</v>
      </c>
      <c r="W23" s="1" t="s">
        <v>205</v>
      </c>
      <c r="X23" s="1" t="s">
        <v>207</v>
      </c>
      <c r="Y23" s="4"/>
      <c r="Z23" s="4"/>
      <c r="AA23" s="4" t="b">
        <f>IFERROR(__xludf.DUMMYFUNCTION("IF(X23="""",,REGEXMATCH(X23,""[א-ת]""))"),FALSE)</f>
        <v>0</v>
      </c>
      <c r="AB23" s="1">
        <v>11.52</v>
      </c>
      <c r="AC23" s="1">
        <v>93.33</v>
      </c>
      <c r="AD23" s="1">
        <v>0.410409261771292</v>
      </c>
      <c r="AE23" s="1">
        <v>0.6486</v>
      </c>
      <c r="AF23" s="1">
        <v>0.4939</v>
      </c>
      <c r="AG23" s="1">
        <v>6.337</v>
      </c>
      <c r="AH23" s="1">
        <v>6.781</v>
      </c>
      <c r="AI23" s="1" t="b">
        <v>1</v>
      </c>
      <c r="AJ23" s="1" t="b">
        <v>0</v>
      </c>
      <c r="AK23" s="1">
        <v>94.182</v>
      </c>
      <c r="AL23" s="1">
        <v>96.508</v>
      </c>
      <c r="AM23" s="1" t="b">
        <v>1</v>
      </c>
      <c r="AN23" s="1" t="b">
        <v>0</v>
      </c>
      <c r="AO23" s="1">
        <v>8.05</v>
      </c>
      <c r="AP23" s="1">
        <v>8.53399999999999</v>
      </c>
      <c r="AQ23" s="1" t="b">
        <v>1</v>
      </c>
      <c r="AR23" s="1" t="b">
        <v>0</v>
      </c>
      <c r="AS23" s="1">
        <v>86.9179999999999</v>
      </c>
      <c r="AT23" s="1">
        <v>87.152</v>
      </c>
      <c r="AU23" s="1" t="b">
        <v>1</v>
      </c>
      <c r="AV23" s="1" t="b">
        <v>1</v>
      </c>
      <c r="AW23" s="1">
        <v>9.61399999999999</v>
      </c>
      <c r="AX23" s="1">
        <v>11.026</v>
      </c>
      <c r="AY23" s="1" t="b">
        <v>1</v>
      </c>
      <c r="AZ23" s="1" t="b">
        <v>0</v>
      </c>
      <c r="BA23" s="1">
        <v>81.25</v>
      </c>
      <c r="BB23" s="1">
        <v>77.78</v>
      </c>
      <c r="BC23" s="1" t="b">
        <v>1</v>
      </c>
      <c r="BD23" s="1" t="b">
        <v>1</v>
      </c>
      <c r="BE23" s="1">
        <v>11.34</v>
      </c>
      <c r="BF23" s="1">
        <v>13.285</v>
      </c>
      <c r="BG23" s="1" t="b">
        <v>1</v>
      </c>
      <c r="BH23" s="1" t="b">
        <v>1</v>
      </c>
      <c r="BI23" s="1">
        <v>77.78</v>
      </c>
      <c r="BJ23" s="1">
        <v>75.0</v>
      </c>
      <c r="BK23" s="1" t="b">
        <v>1</v>
      </c>
      <c r="BL23" s="1" t="b">
        <v>1</v>
      </c>
      <c r="BM23" s="1">
        <v>13.121</v>
      </c>
      <c r="BN23" s="1">
        <v>14.568</v>
      </c>
      <c r="BO23" s="1" t="b">
        <v>1</v>
      </c>
      <c r="BP23" s="1" t="b">
        <v>1</v>
      </c>
      <c r="BQ23" s="1">
        <v>75.0</v>
      </c>
      <c r="BR23" s="1">
        <v>72.027</v>
      </c>
      <c r="BS23" s="1" t="b">
        <v>1</v>
      </c>
      <c r="BT23" s="1" t="b">
        <v>1</v>
      </c>
      <c r="BU23" s="1" t="s">
        <v>91</v>
      </c>
      <c r="BV23" s="1" t="s">
        <v>91</v>
      </c>
      <c r="BW23" s="1" t="s">
        <v>91</v>
      </c>
      <c r="BX23" s="1" t="s">
        <v>104</v>
      </c>
      <c r="BY23" s="1" t="s">
        <v>91</v>
      </c>
      <c r="BZ23" s="1" t="s">
        <v>104</v>
      </c>
      <c r="CA23" s="1" t="s">
        <v>104</v>
      </c>
      <c r="CB23" s="1" t="s">
        <v>104</v>
      </c>
      <c r="CC23" s="1" t="s">
        <v>104</v>
      </c>
      <c r="CD23" s="1" t="s">
        <v>104</v>
      </c>
      <c r="CE23" s="4"/>
      <c r="CF23" s="4"/>
    </row>
    <row r="24">
      <c r="A24" s="1" t="s">
        <v>82</v>
      </c>
      <c r="B24" s="1" t="s">
        <v>145</v>
      </c>
      <c r="C24" s="1">
        <v>14.0</v>
      </c>
      <c r="D24" s="5" t="s">
        <v>208</v>
      </c>
      <c r="E24" s="1" t="s">
        <v>209</v>
      </c>
      <c r="F24" s="1">
        <v>19.0</v>
      </c>
      <c r="G24" s="1">
        <v>-0.3094</v>
      </c>
      <c r="H24" s="1" t="s">
        <v>210</v>
      </c>
      <c r="I24" s="4" t="b">
        <f>IFERROR(__xludf.DUMMYFUNCTION("IF(H24="""",,REGEXMATCH(H24,""[א-ת]""))"),FALSE)</f>
        <v>0</v>
      </c>
      <c r="J24" s="4"/>
      <c r="K24" s="4"/>
      <c r="L24" s="1">
        <v>0.0</v>
      </c>
      <c r="M24" s="1">
        <v>3.62</v>
      </c>
      <c r="N24" s="1">
        <v>94.74</v>
      </c>
      <c r="O24" s="1">
        <v>4.986315789</v>
      </c>
      <c r="P24" s="4"/>
      <c r="Q24" s="4"/>
      <c r="R24" s="1" t="s">
        <v>89</v>
      </c>
      <c r="S24" s="1" t="s">
        <v>209</v>
      </c>
      <c r="T24" s="1" t="s">
        <v>145</v>
      </c>
      <c r="U24" s="1">
        <v>15.0</v>
      </c>
      <c r="V24" s="5" t="s">
        <v>208</v>
      </c>
      <c r="W24" s="1" t="s">
        <v>209</v>
      </c>
      <c r="X24" s="1" t="s">
        <v>211</v>
      </c>
      <c r="Y24" s="1" t="s">
        <v>212</v>
      </c>
      <c r="Z24" s="1" t="s">
        <v>213</v>
      </c>
      <c r="AA24" s="4" t="b">
        <f>IFERROR(__xludf.DUMMYFUNCTION("IF(X24="""",,REGEXMATCH(X24,""[א-ת]""))"),TRUE)</f>
        <v>1</v>
      </c>
      <c r="AB24" s="1">
        <v>3.03</v>
      </c>
      <c r="AC24" s="1">
        <v>178.95</v>
      </c>
      <c r="AD24" s="1">
        <v>0.167576357973824</v>
      </c>
      <c r="AE24" s="1">
        <v>-0.5661</v>
      </c>
      <c r="AF24" s="1">
        <v>-0.3094</v>
      </c>
      <c r="AG24" s="1">
        <v>6.337</v>
      </c>
      <c r="AH24" s="1">
        <v>6.781</v>
      </c>
      <c r="AI24" s="1" t="b">
        <v>1</v>
      </c>
      <c r="AJ24" s="1" t="b">
        <v>1</v>
      </c>
      <c r="AK24" s="1">
        <v>94.182</v>
      </c>
      <c r="AL24" s="1">
        <v>96.508</v>
      </c>
      <c r="AM24" s="1" t="b">
        <v>1</v>
      </c>
      <c r="AN24" s="1" t="b">
        <v>1</v>
      </c>
      <c r="AO24" s="1">
        <v>8.05</v>
      </c>
      <c r="AP24" s="1">
        <v>8.53399999999999</v>
      </c>
      <c r="AQ24" s="1" t="b">
        <v>1</v>
      </c>
      <c r="AR24" s="1" t="b">
        <v>1</v>
      </c>
      <c r="AS24" s="1">
        <v>86.9179999999999</v>
      </c>
      <c r="AT24" s="1">
        <v>87.152</v>
      </c>
      <c r="AU24" s="1" t="b">
        <v>1</v>
      </c>
      <c r="AV24" s="1" t="b">
        <v>1</v>
      </c>
      <c r="AW24" s="1">
        <v>9.61399999999999</v>
      </c>
      <c r="AX24" s="1">
        <v>11.026</v>
      </c>
      <c r="AY24" s="1" t="b">
        <v>1</v>
      </c>
      <c r="AZ24" s="1" t="b">
        <v>1</v>
      </c>
      <c r="BA24" s="1">
        <v>81.25</v>
      </c>
      <c r="BB24" s="1">
        <v>77.78</v>
      </c>
      <c r="BC24" s="1" t="b">
        <v>1</v>
      </c>
      <c r="BD24" s="1" t="b">
        <v>1</v>
      </c>
      <c r="BE24" s="1">
        <v>11.34</v>
      </c>
      <c r="BF24" s="1">
        <v>13.285</v>
      </c>
      <c r="BG24" s="1" t="b">
        <v>1</v>
      </c>
      <c r="BH24" s="1" t="b">
        <v>1</v>
      </c>
      <c r="BI24" s="1">
        <v>77.78</v>
      </c>
      <c r="BJ24" s="1">
        <v>75.0</v>
      </c>
      <c r="BK24" s="1" t="b">
        <v>1</v>
      </c>
      <c r="BL24" s="1" t="b">
        <v>1</v>
      </c>
      <c r="BM24" s="1">
        <v>13.121</v>
      </c>
      <c r="BN24" s="1">
        <v>14.568</v>
      </c>
      <c r="BO24" s="1" t="b">
        <v>1</v>
      </c>
      <c r="BP24" s="1" t="b">
        <v>1</v>
      </c>
      <c r="BQ24" s="1">
        <v>75.0</v>
      </c>
      <c r="BR24" s="1">
        <v>72.027</v>
      </c>
      <c r="BS24" s="1" t="b">
        <v>1</v>
      </c>
      <c r="BT24" s="1" t="b">
        <v>1</v>
      </c>
      <c r="BU24" s="1" t="s">
        <v>104</v>
      </c>
      <c r="BV24" s="1" t="s">
        <v>104</v>
      </c>
      <c r="BW24" s="1" t="s">
        <v>104</v>
      </c>
      <c r="BX24" s="1" t="s">
        <v>104</v>
      </c>
      <c r="BY24" s="1" t="s">
        <v>104</v>
      </c>
      <c r="BZ24" s="1" t="s">
        <v>104</v>
      </c>
      <c r="CA24" s="1" t="s">
        <v>104</v>
      </c>
      <c r="CB24" s="1" t="s">
        <v>104</v>
      </c>
      <c r="CC24" s="1" t="s">
        <v>104</v>
      </c>
      <c r="CD24" s="1" t="s">
        <v>104</v>
      </c>
      <c r="CE24" s="4"/>
      <c r="CF24" s="4"/>
    </row>
    <row r="25" hidden="1">
      <c r="A25" s="1" t="s">
        <v>82</v>
      </c>
      <c r="B25" s="1" t="s">
        <v>98</v>
      </c>
      <c r="C25" s="1">
        <v>6.0</v>
      </c>
      <c r="D25" s="5" t="s">
        <v>214</v>
      </c>
      <c r="E25" s="1" t="s">
        <v>215</v>
      </c>
      <c r="F25" s="1">
        <v>23.0</v>
      </c>
      <c r="G25" s="1">
        <v>0.0772</v>
      </c>
      <c r="H25" s="1" t="s">
        <v>216</v>
      </c>
      <c r="I25" s="4" t="b">
        <f>IFERROR(__xludf.DUMMYFUNCTION("IF(H25="""",,REGEXMATCH(H25,""[א-ת]""))"),FALSE)</f>
        <v>0</v>
      </c>
      <c r="J25" s="4"/>
      <c r="K25" s="1" t="s">
        <v>217</v>
      </c>
      <c r="L25" s="1">
        <v>0.0</v>
      </c>
      <c r="M25" s="1">
        <v>3.66</v>
      </c>
      <c r="N25" s="1">
        <v>91.3</v>
      </c>
      <c r="O25" s="1">
        <v>3.969565217</v>
      </c>
      <c r="P25" s="4"/>
      <c r="Q25" s="4"/>
      <c r="R25" s="1" t="s">
        <v>89</v>
      </c>
      <c r="S25" s="1" t="s">
        <v>215</v>
      </c>
      <c r="T25" s="1" t="s">
        <v>98</v>
      </c>
      <c r="U25" s="1">
        <v>7.0</v>
      </c>
      <c r="V25" s="5" t="s">
        <v>214</v>
      </c>
      <c r="W25" s="1" t="s">
        <v>215</v>
      </c>
      <c r="X25" s="1" t="s">
        <v>218</v>
      </c>
      <c r="Y25" s="4"/>
      <c r="Z25" s="4"/>
      <c r="AA25" s="4" t="b">
        <f>IFERROR(__xludf.DUMMYFUNCTION("IF(X25="""",,REGEXMATCH(X25,""[א-ת]""))"),FALSE)</f>
        <v>0</v>
      </c>
      <c r="AB25" s="1">
        <v>8.04</v>
      </c>
      <c r="AC25" s="1">
        <v>78.26</v>
      </c>
      <c r="AD25" s="1">
        <v>0.323954834736966</v>
      </c>
      <c r="AE25" s="1">
        <v>0.0</v>
      </c>
      <c r="AF25" s="1">
        <v>0.0772</v>
      </c>
      <c r="AG25" s="1">
        <v>6.337</v>
      </c>
      <c r="AH25" s="1">
        <v>6.781</v>
      </c>
      <c r="AI25" s="1" t="b">
        <v>1</v>
      </c>
      <c r="AJ25" s="1" t="b">
        <v>0</v>
      </c>
      <c r="AK25" s="1">
        <v>94.182</v>
      </c>
      <c r="AL25" s="1">
        <v>96.508</v>
      </c>
      <c r="AM25" s="1" t="b">
        <v>0</v>
      </c>
      <c r="AN25" s="1" t="b">
        <v>0</v>
      </c>
      <c r="AO25" s="1">
        <v>8.05</v>
      </c>
      <c r="AP25" s="1">
        <v>8.53399999999999</v>
      </c>
      <c r="AQ25" s="1" t="b">
        <v>1</v>
      </c>
      <c r="AR25" s="1" t="b">
        <v>1</v>
      </c>
      <c r="AS25" s="1">
        <v>86.9179999999999</v>
      </c>
      <c r="AT25" s="1">
        <v>87.152</v>
      </c>
      <c r="AU25" s="1" t="b">
        <v>1</v>
      </c>
      <c r="AV25" s="1" t="b">
        <v>0</v>
      </c>
      <c r="AW25" s="1">
        <v>9.61399999999999</v>
      </c>
      <c r="AX25" s="1">
        <v>11.026</v>
      </c>
      <c r="AY25" s="1" t="b">
        <v>1</v>
      </c>
      <c r="AZ25" s="1" t="b">
        <v>1</v>
      </c>
      <c r="BA25" s="1">
        <v>81.25</v>
      </c>
      <c r="BB25" s="1">
        <v>77.78</v>
      </c>
      <c r="BC25" s="1" t="b">
        <v>1</v>
      </c>
      <c r="BD25" s="1" t="b">
        <v>1</v>
      </c>
      <c r="BE25" s="1">
        <v>11.34</v>
      </c>
      <c r="BF25" s="1">
        <v>13.285</v>
      </c>
      <c r="BG25" s="1" t="b">
        <v>1</v>
      </c>
      <c r="BH25" s="1" t="b">
        <v>1</v>
      </c>
      <c r="BI25" s="1">
        <v>77.78</v>
      </c>
      <c r="BJ25" s="1">
        <v>75.0</v>
      </c>
      <c r="BK25" s="1" t="b">
        <v>1</v>
      </c>
      <c r="BL25" s="1" t="b">
        <v>1</v>
      </c>
      <c r="BM25" s="1">
        <v>13.121</v>
      </c>
      <c r="BN25" s="1">
        <v>14.568</v>
      </c>
      <c r="BO25" s="1" t="b">
        <v>1</v>
      </c>
      <c r="BP25" s="1" t="b">
        <v>1</v>
      </c>
      <c r="BQ25" s="1">
        <v>75.0</v>
      </c>
      <c r="BR25" s="1">
        <v>72.027</v>
      </c>
      <c r="BS25" s="1" t="b">
        <v>1</v>
      </c>
      <c r="BT25" s="1" t="b">
        <v>1</v>
      </c>
      <c r="BU25" s="1" t="s">
        <v>91</v>
      </c>
      <c r="BV25" s="1" t="s">
        <v>105</v>
      </c>
      <c r="BW25" s="1" t="s">
        <v>104</v>
      </c>
      <c r="BX25" s="1" t="s">
        <v>91</v>
      </c>
      <c r="BY25" s="1" t="s">
        <v>104</v>
      </c>
      <c r="BZ25" s="1" t="s">
        <v>104</v>
      </c>
      <c r="CA25" s="1" t="s">
        <v>104</v>
      </c>
      <c r="CB25" s="1" t="s">
        <v>104</v>
      </c>
      <c r="CC25" s="1" t="s">
        <v>104</v>
      </c>
      <c r="CD25" s="1" t="s">
        <v>104</v>
      </c>
      <c r="CE25" s="4"/>
      <c r="CF25" s="4"/>
    </row>
    <row r="26">
      <c r="A26" s="1" t="s">
        <v>82</v>
      </c>
      <c r="B26" s="1" t="s">
        <v>123</v>
      </c>
      <c r="C26" s="1">
        <v>35.0</v>
      </c>
      <c r="D26" s="5" t="s">
        <v>219</v>
      </c>
      <c r="E26" s="1" t="s">
        <v>220</v>
      </c>
      <c r="F26" s="1">
        <v>25.0</v>
      </c>
      <c r="G26" s="1">
        <v>0.0387</v>
      </c>
      <c r="H26" s="1" t="s">
        <v>221</v>
      </c>
      <c r="I26" s="4" t="b">
        <f>IFERROR(__xludf.DUMMYFUNCTION("IF(H26="""",,REGEXMATCH(H26,""[א-ת]""))"),FALSE)</f>
        <v>0</v>
      </c>
      <c r="J26" s="4"/>
      <c r="K26" s="4"/>
      <c r="L26" s="1">
        <v>-0.3348</v>
      </c>
      <c r="M26" s="1">
        <v>3.68</v>
      </c>
      <c r="N26" s="1">
        <v>108.0</v>
      </c>
      <c r="O26" s="1">
        <v>4.32</v>
      </c>
      <c r="P26" s="4"/>
      <c r="Q26" s="4"/>
      <c r="R26" s="1" t="s">
        <v>127</v>
      </c>
      <c r="S26" s="1" t="s">
        <v>220</v>
      </c>
      <c r="T26" s="1" t="s">
        <v>123</v>
      </c>
      <c r="U26" s="1">
        <v>36.0</v>
      </c>
      <c r="V26" s="5" t="s">
        <v>219</v>
      </c>
      <c r="W26" s="1" t="s">
        <v>220</v>
      </c>
      <c r="X26" s="1" t="s">
        <v>222</v>
      </c>
      <c r="Y26" s="1" t="s">
        <v>223</v>
      </c>
      <c r="Z26" s="1" t="s">
        <v>224</v>
      </c>
      <c r="AA26" s="4" t="b">
        <f>IFERROR(__xludf.DUMMYFUNCTION("IF(X26="""",,REGEXMATCH(X26,""[א-ת]""))"),FALSE)</f>
        <v>0</v>
      </c>
      <c r="AB26" s="1">
        <v>4.8</v>
      </c>
      <c r="AC26" s="1">
        <v>88.0</v>
      </c>
      <c r="AD26" s="1">
        <v>0.193254951965979</v>
      </c>
      <c r="AE26" s="1">
        <v>0.1007</v>
      </c>
      <c r="AF26" s="1">
        <v>0.0387</v>
      </c>
      <c r="AG26" s="1">
        <v>6.337</v>
      </c>
      <c r="AH26" s="1">
        <v>6.781</v>
      </c>
      <c r="AI26" s="1" t="b">
        <v>1</v>
      </c>
      <c r="AJ26" s="1" t="b">
        <v>1</v>
      </c>
      <c r="AK26" s="1">
        <v>94.182</v>
      </c>
      <c r="AL26" s="1">
        <v>96.508</v>
      </c>
      <c r="AM26" s="1" t="b">
        <v>1</v>
      </c>
      <c r="AN26" s="1" t="b">
        <v>0</v>
      </c>
      <c r="AO26" s="1">
        <v>8.05</v>
      </c>
      <c r="AP26" s="1">
        <v>8.53399999999999</v>
      </c>
      <c r="AQ26" s="1" t="b">
        <v>1</v>
      </c>
      <c r="AR26" s="1" t="b">
        <v>1</v>
      </c>
      <c r="AS26" s="1">
        <v>86.9179999999999</v>
      </c>
      <c r="AT26" s="1">
        <v>87.152</v>
      </c>
      <c r="AU26" s="1" t="b">
        <v>1</v>
      </c>
      <c r="AV26" s="1" t="b">
        <v>1</v>
      </c>
      <c r="AW26" s="1">
        <v>9.61399999999999</v>
      </c>
      <c r="AX26" s="1">
        <v>11.026</v>
      </c>
      <c r="AY26" s="1" t="b">
        <v>1</v>
      </c>
      <c r="AZ26" s="1" t="b">
        <v>1</v>
      </c>
      <c r="BA26" s="1">
        <v>81.25</v>
      </c>
      <c r="BB26" s="1">
        <v>77.78</v>
      </c>
      <c r="BC26" s="1" t="b">
        <v>1</v>
      </c>
      <c r="BD26" s="1" t="b">
        <v>1</v>
      </c>
      <c r="BE26" s="1">
        <v>11.34</v>
      </c>
      <c r="BF26" s="1">
        <v>13.285</v>
      </c>
      <c r="BG26" s="1" t="b">
        <v>1</v>
      </c>
      <c r="BH26" s="1" t="b">
        <v>1</v>
      </c>
      <c r="BI26" s="1">
        <v>77.78</v>
      </c>
      <c r="BJ26" s="1">
        <v>75.0</v>
      </c>
      <c r="BK26" s="1" t="b">
        <v>1</v>
      </c>
      <c r="BL26" s="1" t="b">
        <v>1</v>
      </c>
      <c r="BM26" s="1">
        <v>13.121</v>
      </c>
      <c r="BN26" s="1">
        <v>14.568</v>
      </c>
      <c r="BO26" s="1" t="b">
        <v>1</v>
      </c>
      <c r="BP26" s="1" t="b">
        <v>1</v>
      </c>
      <c r="BQ26" s="1">
        <v>75.0</v>
      </c>
      <c r="BR26" s="1">
        <v>72.027</v>
      </c>
      <c r="BS26" s="1" t="b">
        <v>1</v>
      </c>
      <c r="BT26" s="1" t="b">
        <v>1</v>
      </c>
      <c r="BU26" s="1" t="s">
        <v>104</v>
      </c>
      <c r="BV26" s="1" t="s">
        <v>91</v>
      </c>
      <c r="BW26" s="1" t="s">
        <v>104</v>
      </c>
      <c r="BX26" s="1" t="s">
        <v>104</v>
      </c>
      <c r="BY26" s="1" t="s">
        <v>104</v>
      </c>
      <c r="BZ26" s="1" t="s">
        <v>104</v>
      </c>
      <c r="CA26" s="1" t="s">
        <v>104</v>
      </c>
      <c r="CB26" s="1" t="s">
        <v>104</v>
      </c>
      <c r="CC26" s="1" t="s">
        <v>104</v>
      </c>
      <c r="CD26" s="1" t="s">
        <v>104</v>
      </c>
      <c r="CE26" s="4"/>
      <c r="CF26" s="4"/>
    </row>
    <row r="27">
      <c r="A27" s="1" t="s">
        <v>82</v>
      </c>
      <c r="B27" s="1" t="s">
        <v>123</v>
      </c>
      <c r="C27" s="1">
        <v>17.0</v>
      </c>
      <c r="D27" s="5" t="s">
        <v>225</v>
      </c>
      <c r="E27" s="1" t="s">
        <v>226</v>
      </c>
      <c r="F27" s="1">
        <v>11.0</v>
      </c>
      <c r="G27" s="1">
        <v>0.0</v>
      </c>
      <c r="H27" s="1" t="s">
        <v>227</v>
      </c>
      <c r="I27" s="4" t="b">
        <f>IFERROR(__xludf.DUMMYFUNCTION("IF(H27="""",,REGEXMATCH(H27,""[א-ת]""))"),FALSE)</f>
        <v>0</v>
      </c>
      <c r="J27" s="4"/>
      <c r="K27" s="4"/>
      <c r="L27" s="1">
        <v>0.2481</v>
      </c>
      <c r="M27" s="1">
        <v>3.72</v>
      </c>
      <c r="N27" s="1">
        <v>100.0</v>
      </c>
      <c r="O27" s="1">
        <v>9.090909091</v>
      </c>
      <c r="P27" s="4"/>
      <c r="Q27" s="4"/>
      <c r="R27" s="1" t="s">
        <v>127</v>
      </c>
      <c r="S27" s="1" t="s">
        <v>226</v>
      </c>
      <c r="T27" s="1" t="s">
        <v>123</v>
      </c>
      <c r="U27" s="1">
        <v>18.0</v>
      </c>
      <c r="V27" s="5" t="s">
        <v>225</v>
      </c>
      <c r="W27" s="1" t="s">
        <v>226</v>
      </c>
      <c r="X27" s="1" t="s">
        <v>228</v>
      </c>
      <c r="Y27" s="1" t="s">
        <v>229</v>
      </c>
      <c r="Z27" s="1" t="s">
        <v>230</v>
      </c>
      <c r="AA27" s="4" t="b">
        <f>IFERROR(__xludf.DUMMYFUNCTION("IF(X27="""",,REGEXMATCH(X27,""[א-ת]""))"),FALSE)</f>
        <v>0</v>
      </c>
      <c r="AB27" s="1">
        <v>3.72</v>
      </c>
      <c r="AC27" s="1">
        <v>90.91</v>
      </c>
      <c r="AD27" s="1">
        <v>0.374541889643412</v>
      </c>
      <c r="AE27" s="1">
        <v>0.0</v>
      </c>
      <c r="AF27" s="1">
        <v>0.0</v>
      </c>
      <c r="AG27" s="1">
        <v>6.337</v>
      </c>
      <c r="AH27" s="1">
        <v>6.781</v>
      </c>
      <c r="AI27" s="1" t="b">
        <v>1</v>
      </c>
      <c r="AJ27" s="1" t="b">
        <v>1</v>
      </c>
      <c r="AK27" s="1">
        <v>94.182</v>
      </c>
      <c r="AL27" s="1">
        <v>96.508</v>
      </c>
      <c r="AM27" s="1" t="b">
        <v>1</v>
      </c>
      <c r="AN27" s="1" t="b">
        <v>0</v>
      </c>
      <c r="AO27" s="1">
        <v>8.05</v>
      </c>
      <c r="AP27" s="1">
        <v>8.53399999999999</v>
      </c>
      <c r="AQ27" s="1" t="b">
        <v>1</v>
      </c>
      <c r="AR27" s="1" t="b">
        <v>1</v>
      </c>
      <c r="AS27" s="1">
        <v>86.9179999999999</v>
      </c>
      <c r="AT27" s="1">
        <v>87.152</v>
      </c>
      <c r="AU27" s="1" t="b">
        <v>1</v>
      </c>
      <c r="AV27" s="1" t="b">
        <v>1</v>
      </c>
      <c r="AW27" s="1">
        <v>9.61399999999999</v>
      </c>
      <c r="AX27" s="1">
        <v>11.026</v>
      </c>
      <c r="AY27" s="1" t="b">
        <v>1</v>
      </c>
      <c r="AZ27" s="1" t="b">
        <v>1</v>
      </c>
      <c r="BA27" s="1">
        <v>81.25</v>
      </c>
      <c r="BB27" s="1">
        <v>77.78</v>
      </c>
      <c r="BC27" s="1" t="b">
        <v>1</v>
      </c>
      <c r="BD27" s="1" t="b">
        <v>1</v>
      </c>
      <c r="BE27" s="1">
        <v>11.34</v>
      </c>
      <c r="BF27" s="1">
        <v>13.285</v>
      </c>
      <c r="BG27" s="1" t="b">
        <v>1</v>
      </c>
      <c r="BH27" s="1" t="b">
        <v>1</v>
      </c>
      <c r="BI27" s="1">
        <v>77.78</v>
      </c>
      <c r="BJ27" s="1">
        <v>75.0</v>
      </c>
      <c r="BK27" s="1" t="b">
        <v>1</v>
      </c>
      <c r="BL27" s="1" t="b">
        <v>1</v>
      </c>
      <c r="BM27" s="1">
        <v>13.121</v>
      </c>
      <c r="BN27" s="1">
        <v>14.568</v>
      </c>
      <c r="BO27" s="1" t="b">
        <v>1</v>
      </c>
      <c r="BP27" s="1" t="b">
        <v>1</v>
      </c>
      <c r="BQ27" s="1">
        <v>75.0</v>
      </c>
      <c r="BR27" s="1">
        <v>72.027</v>
      </c>
      <c r="BS27" s="1" t="b">
        <v>1</v>
      </c>
      <c r="BT27" s="1" t="b">
        <v>1</v>
      </c>
      <c r="BU27" s="1" t="s">
        <v>104</v>
      </c>
      <c r="BV27" s="1" t="s">
        <v>91</v>
      </c>
      <c r="BW27" s="1" t="s">
        <v>104</v>
      </c>
      <c r="BX27" s="1" t="s">
        <v>104</v>
      </c>
      <c r="BY27" s="1" t="s">
        <v>104</v>
      </c>
      <c r="BZ27" s="1" t="s">
        <v>104</v>
      </c>
      <c r="CA27" s="1" t="s">
        <v>104</v>
      </c>
      <c r="CB27" s="1" t="s">
        <v>104</v>
      </c>
      <c r="CC27" s="1" t="s">
        <v>104</v>
      </c>
      <c r="CD27" s="1" t="s">
        <v>104</v>
      </c>
      <c r="CE27" s="4"/>
      <c r="CF27" s="4"/>
    </row>
    <row r="28" hidden="1">
      <c r="A28" s="1" t="s">
        <v>82</v>
      </c>
      <c r="B28" s="1" t="s">
        <v>123</v>
      </c>
      <c r="C28" s="1">
        <v>27.0</v>
      </c>
      <c r="D28" s="5" t="s">
        <v>231</v>
      </c>
      <c r="E28" s="1" t="s">
        <v>232</v>
      </c>
      <c r="F28" s="1">
        <v>9.0</v>
      </c>
      <c r="G28" s="1">
        <v>-0.34</v>
      </c>
      <c r="H28" s="1" t="s">
        <v>233</v>
      </c>
      <c r="I28" s="4" t="b">
        <f>IFERROR(__xludf.DUMMYFUNCTION("IF(H28="""",,REGEXMATCH(H28,""[א-ת]""))"),FALSE)</f>
        <v>0</v>
      </c>
      <c r="J28" s="4"/>
      <c r="K28" s="4"/>
      <c r="L28" s="1">
        <v>0.0</v>
      </c>
      <c r="M28" s="1">
        <v>3.75</v>
      </c>
      <c r="N28" s="1">
        <v>100.0</v>
      </c>
      <c r="O28" s="1">
        <v>11.11111111</v>
      </c>
      <c r="P28" s="4"/>
      <c r="Q28" s="4"/>
      <c r="R28" s="1" t="s">
        <v>127</v>
      </c>
      <c r="S28" s="1" t="s">
        <v>232</v>
      </c>
      <c r="T28" s="1" t="s">
        <v>123</v>
      </c>
      <c r="U28" s="1">
        <v>28.0</v>
      </c>
      <c r="V28" s="5" t="s">
        <v>231</v>
      </c>
      <c r="W28" s="1" t="s">
        <v>232</v>
      </c>
      <c r="X28" s="1" t="s">
        <v>234</v>
      </c>
      <c r="Y28" s="4"/>
      <c r="Z28" s="4"/>
      <c r="AA28" s="4" t="b">
        <f>IFERROR(__xludf.DUMMYFUNCTION("IF(X28="""",,REGEXMATCH(X28,""[א-ת]""))"),FALSE)</f>
        <v>0</v>
      </c>
      <c r="AB28" s="1">
        <v>8.81</v>
      </c>
      <c r="AC28" s="1">
        <v>133.33</v>
      </c>
      <c r="AD28" s="1">
        <v>0.50603715837825</v>
      </c>
      <c r="AE28" s="1">
        <v>0.0</v>
      </c>
      <c r="AF28" s="1">
        <v>-0.34</v>
      </c>
      <c r="AG28" s="1">
        <v>6.337</v>
      </c>
      <c r="AH28" s="1">
        <v>6.781</v>
      </c>
      <c r="AI28" s="1" t="b">
        <v>1</v>
      </c>
      <c r="AJ28" s="1" t="b">
        <v>0</v>
      </c>
      <c r="AK28" s="1">
        <v>94.182</v>
      </c>
      <c r="AL28" s="1">
        <v>96.508</v>
      </c>
      <c r="AM28" s="1" t="b">
        <v>1</v>
      </c>
      <c r="AN28" s="1" t="b">
        <v>1</v>
      </c>
      <c r="AO28" s="1">
        <v>8.05</v>
      </c>
      <c r="AP28" s="1">
        <v>8.53399999999999</v>
      </c>
      <c r="AQ28" s="1" t="b">
        <v>1</v>
      </c>
      <c r="AR28" s="1" t="b">
        <v>0</v>
      </c>
      <c r="AS28" s="1">
        <v>86.9179999999999</v>
      </c>
      <c r="AT28" s="1">
        <v>87.152</v>
      </c>
      <c r="AU28" s="1" t="b">
        <v>1</v>
      </c>
      <c r="AV28" s="1" t="b">
        <v>1</v>
      </c>
      <c r="AW28" s="1">
        <v>9.61399999999999</v>
      </c>
      <c r="AX28" s="1">
        <v>11.026</v>
      </c>
      <c r="AY28" s="1" t="b">
        <v>1</v>
      </c>
      <c r="AZ28" s="1" t="b">
        <v>1</v>
      </c>
      <c r="BA28" s="1">
        <v>81.25</v>
      </c>
      <c r="BB28" s="1">
        <v>77.78</v>
      </c>
      <c r="BC28" s="1" t="b">
        <v>1</v>
      </c>
      <c r="BD28" s="1" t="b">
        <v>1</v>
      </c>
      <c r="BE28" s="1">
        <v>11.34</v>
      </c>
      <c r="BF28" s="1">
        <v>13.285</v>
      </c>
      <c r="BG28" s="1" t="b">
        <v>1</v>
      </c>
      <c r="BH28" s="1" t="b">
        <v>1</v>
      </c>
      <c r="BI28" s="1">
        <v>77.78</v>
      </c>
      <c r="BJ28" s="1">
        <v>75.0</v>
      </c>
      <c r="BK28" s="1" t="b">
        <v>1</v>
      </c>
      <c r="BL28" s="1" t="b">
        <v>1</v>
      </c>
      <c r="BM28" s="1">
        <v>13.121</v>
      </c>
      <c r="BN28" s="1">
        <v>14.568</v>
      </c>
      <c r="BO28" s="1" t="b">
        <v>1</v>
      </c>
      <c r="BP28" s="1" t="b">
        <v>1</v>
      </c>
      <c r="BQ28" s="1">
        <v>75.0</v>
      </c>
      <c r="BR28" s="1">
        <v>72.027</v>
      </c>
      <c r="BS28" s="1" t="b">
        <v>1</v>
      </c>
      <c r="BT28" s="1" t="b">
        <v>1</v>
      </c>
      <c r="BU28" s="1" t="s">
        <v>91</v>
      </c>
      <c r="BV28" s="1" t="s">
        <v>104</v>
      </c>
      <c r="BW28" s="1" t="s">
        <v>91</v>
      </c>
      <c r="BX28" s="1" t="s">
        <v>104</v>
      </c>
      <c r="BY28" s="1" t="s">
        <v>104</v>
      </c>
      <c r="BZ28" s="1" t="s">
        <v>104</v>
      </c>
      <c r="CA28" s="1" t="s">
        <v>104</v>
      </c>
      <c r="CB28" s="1" t="s">
        <v>104</v>
      </c>
      <c r="CC28" s="1" t="s">
        <v>104</v>
      </c>
      <c r="CD28" s="1" t="s">
        <v>104</v>
      </c>
      <c r="CE28" s="4"/>
      <c r="CF28" s="4"/>
    </row>
    <row r="29" hidden="1">
      <c r="A29" s="1" t="s">
        <v>82</v>
      </c>
      <c r="B29" s="1" t="s">
        <v>152</v>
      </c>
      <c r="C29" s="1">
        <v>15.0</v>
      </c>
      <c r="D29" s="5" t="s">
        <v>235</v>
      </c>
      <c r="E29" s="1" t="s">
        <v>236</v>
      </c>
      <c r="F29" s="1">
        <v>23.0</v>
      </c>
      <c r="G29" s="1">
        <v>0.3612</v>
      </c>
      <c r="H29" s="1" t="s">
        <v>237</v>
      </c>
      <c r="I29" s="4" t="b">
        <f>IFERROR(__xludf.DUMMYFUNCTION("IF(H29="""",,REGEXMATCH(H29,""[א-ת]""))"),FALSE)</f>
        <v>0</v>
      </c>
      <c r="J29" s="4"/>
      <c r="K29" s="4"/>
      <c r="L29" s="1">
        <v>0.1779</v>
      </c>
      <c r="M29" s="1">
        <v>3.75</v>
      </c>
      <c r="N29" s="1">
        <v>95.65</v>
      </c>
      <c r="O29" s="1">
        <v>4.158695652</v>
      </c>
      <c r="P29" s="4"/>
      <c r="Q29" s="4"/>
      <c r="R29" s="1" t="s">
        <v>89</v>
      </c>
      <c r="S29" s="1" t="s">
        <v>236</v>
      </c>
      <c r="T29" s="1" t="s">
        <v>152</v>
      </c>
      <c r="U29" s="1">
        <v>16.0</v>
      </c>
      <c r="V29" s="5" t="s">
        <v>235</v>
      </c>
      <c r="W29" s="1" t="s">
        <v>236</v>
      </c>
      <c r="X29" s="1" t="s">
        <v>238</v>
      </c>
      <c r="Y29" s="4"/>
      <c r="Z29" s="4"/>
      <c r="AA29" s="4" t="b">
        <f>IFERROR(__xludf.DUMMYFUNCTION("IF(X29="""",,REGEXMATCH(X29,""[א-ת]""))"),FALSE)</f>
        <v>0</v>
      </c>
      <c r="AB29" s="1">
        <v>17.64</v>
      </c>
      <c r="AC29" s="1">
        <v>65.22</v>
      </c>
      <c r="AD29" s="1">
        <v>0.601669393173739</v>
      </c>
      <c r="AE29" s="1">
        <v>0.4939</v>
      </c>
      <c r="AF29" s="1">
        <v>0.3612</v>
      </c>
      <c r="AG29" s="1">
        <v>6.337</v>
      </c>
      <c r="AH29" s="1">
        <v>6.781</v>
      </c>
      <c r="AI29" s="1" t="b">
        <v>1</v>
      </c>
      <c r="AJ29" s="1" t="b">
        <v>0</v>
      </c>
      <c r="AK29" s="1">
        <v>94.182</v>
      </c>
      <c r="AL29" s="1">
        <v>96.508</v>
      </c>
      <c r="AM29" s="1" t="b">
        <v>1</v>
      </c>
      <c r="AN29" s="1" t="b">
        <v>0</v>
      </c>
      <c r="AO29" s="1">
        <v>8.05</v>
      </c>
      <c r="AP29" s="1">
        <v>8.53399999999999</v>
      </c>
      <c r="AQ29" s="1" t="b">
        <v>1</v>
      </c>
      <c r="AR29" s="1" t="b">
        <v>0</v>
      </c>
      <c r="AS29" s="1">
        <v>86.9179999999999</v>
      </c>
      <c r="AT29" s="1">
        <v>87.152</v>
      </c>
      <c r="AU29" s="1" t="b">
        <v>1</v>
      </c>
      <c r="AV29" s="1" t="b">
        <v>0</v>
      </c>
      <c r="AW29" s="1">
        <v>9.61399999999999</v>
      </c>
      <c r="AX29" s="1">
        <v>11.026</v>
      </c>
      <c r="AY29" s="1" t="b">
        <v>1</v>
      </c>
      <c r="AZ29" s="1" t="b">
        <v>0</v>
      </c>
      <c r="BA29" s="1">
        <v>81.25</v>
      </c>
      <c r="BB29" s="1">
        <v>77.78</v>
      </c>
      <c r="BC29" s="1" t="b">
        <v>1</v>
      </c>
      <c r="BD29" s="1" t="b">
        <v>0</v>
      </c>
      <c r="BE29" s="1">
        <v>11.34</v>
      </c>
      <c r="BF29" s="1">
        <v>13.285</v>
      </c>
      <c r="BG29" s="1" t="b">
        <v>1</v>
      </c>
      <c r="BH29" s="1" t="b">
        <v>0</v>
      </c>
      <c r="BI29" s="1">
        <v>77.78</v>
      </c>
      <c r="BJ29" s="1">
        <v>75.0</v>
      </c>
      <c r="BK29" s="1" t="b">
        <v>1</v>
      </c>
      <c r="BL29" s="1" t="b">
        <v>0</v>
      </c>
      <c r="BM29" s="1">
        <v>13.121</v>
      </c>
      <c r="BN29" s="1">
        <v>14.568</v>
      </c>
      <c r="BO29" s="1" t="b">
        <v>1</v>
      </c>
      <c r="BP29" s="1" t="b">
        <v>0</v>
      </c>
      <c r="BQ29" s="1">
        <v>75.0</v>
      </c>
      <c r="BR29" s="1">
        <v>72.027</v>
      </c>
      <c r="BS29" s="1" t="b">
        <v>1</v>
      </c>
      <c r="BT29" s="1" t="b">
        <v>0</v>
      </c>
      <c r="BU29" s="1" t="s">
        <v>91</v>
      </c>
      <c r="BV29" s="1" t="s">
        <v>91</v>
      </c>
      <c r="BW29" s="1" t="s">
        <v>91</v>
      </c>
      <c r="BX29" s="1" t="s">
        <v>91</v>
      </c>
      <c r="BY29" s="1" t="s">
        <v>91</v>
      </c>
      <c r="BZ29" s="1" t="s">
        <v>91</v>
      </c>
      <c r="CA29" s="1" t="s">
        <v>91</v>
      </c>
      <c r="CB29" s="1" t="s">
        <v>91</v>
      </c>
      <c r="CC29" s="1" t="s">
        <v>91</v>
      </c>
      <c r="CD29" s="1" t="s">
        <v>91</v>
      </c>
      <c r="CE29" s="4"/>
      <c r="CF29" s="4"/>
    </row>
    <row r="30" hidden="1">
      <c r="A30" s="1" t="s">
        <v>82</v>
      </c>
      <c r="B30" s="1" t="s">
        <v>139</v>
      </c>
      <c r="C30" s="1">
        <v>3.0</v>
      </c>
      <c r="D30" s="5" t="s">
        <v>239</v>
      </c>
      <c r="E30" s="1" t="s">
        <v>240</v>
      </c>
      <c r="F30" s="1">
        <v>15.0</v>
      </c>
      <c r="G30" s="1">
        <v>0.2924</v>
      </c>
      <c r="H30" s="1" t="s">
        <v>241</v>
      </c>
      <c r="I30" s="4" t="b">
        <f>IFERROR(__xludf.DUMMYFUNCTION("IF(H30="""",,REGEXMATCH(H30,""[א-ת]""))"),FALSE)</f>
        <v>0</v>
      </c>
      <c r="J30" s="4"/>
      <c r="K30" s="4"/>
      <c r="L30" s="1">
        <v>-0.2755</v>
      </c>
      <c r="M30" s="1">
        <v>3.8</v>
      </c>
      <c r="N30" s="1">
        <v>133.33</v>
      </c>
      <c r="O30" s="1">
        <v>8.888666667</v>
      </c>
      <c r="P30" s="4"/>
      <c r="Q30" s="4"/>
      <c r="R30" s="1" t="s">
        <v>96</v>
      </c>
      <c r="S30" s="1" t="s">
        <v>240</v>
      </c>
      <c r="T30" s="1" t="s">
        <v>139</v>
      </c>
      <c r="U30" s="1">
        <v>4.0</v>
      </c>
      <c r="V30" s="5" t="s">
        <v>239</v>
      </c>
      <c r="W30" s="1" t="s">
        <v>240</v>
      </c>
      <c r="X30" s="1" t="s">
        <v>242</v>
      </c>
      <c r="Y30" s="4"/>
      <c r="Z30" s="4"/>
      <c r="AA30" s="4" t="b">
        <f>IFERROR(__xludf.DUMMYFUNCTION("IF(X30="""",,REGEXMATCH(X30,""[א-ת]""))"),FALSE)</f>
        <v>0</v>
      </c>
      <c r="AB30" s="1">
        <v>17.03</v>
      </c>
      <c r="AC30" s="1">
        <v>126.67</v>
      </c>
      <c r="AD30" s="1">
        <v>0.19810755767503</v>
      </c>
      <c r="AE30" s="1">
        <v>-0.4019</v>
      </c>
      <c r="AF30" s="1">
        <v>0.2924</v>
      </c>
      <c r="AG30" s="1">
        <v>6.337</v>
      </c>
      <c r="AH30" s="1">
        <v>6.781</v>
      </c>
      <c r="AI30" s="1" t="b">
        <v>1</v>
      </c>
      <c r="AJ30" s="1" t="b">
        <v>0</v>
      </c>
      <c r="AK30" s="1">
        <v>94.182</v>
      </c>
      <c r="AL30" s="1">
        <v>96.508</v>
      </c>
      <c r="AM30" s="1" t="b">
        <v>1</v>
      </c>
      <c r="AN30" s="1" t="b">
        <v>1</v>
      </c>
      <c r="AO30" s="1">
        <v>8.05</v>
      </c>
      <c r="AP30" s="1">
        <v>8.53399999999999</v>
      </c>
      <c r="AQ30" s="1" t="b">
        <v>1</v>
      </c>
      <c r="AR30" s="1" t="b">
        <v>0</v>
      </c>
      <c r="AS30" s="1">
        <v>86.9179999999999</v>
      </c>
      <c r="AT30" s="1">
        <v>87.152</v>
      </c>
      <c r="AU30" s="1" t="b">
        <v>1</v>
      </c>
      <c r="AV30" s="1" t="b">
        <v>1</v>
      </c>
      <c r="AW30" s="1">
        <v>9.61399999999999</v>
      </c>
      <c r="AX30" s="1">
        <v>11.026</v>
      </c>
      <c r="AY30" s="1" t="b">
        <v>1</v>
      </c>
      <c r="AZ30" s="1" t="b">
        <v>0</v>
      </c>
      <c r="BA30" s="1">
        <v>81.25</v>
      </c>
      <c r="BB30" s="1">
        <v>77.78</v>
      </c>
      <c r="BC30" s="1" t="b">
        <v>1</v>
      </c>
      <c r="BD30" s="1" t="b">
        <v>1</v>
      </c>
      <c r="BE30" s="1">
        <v>11.34</v>
      </c>
      <c r="BF30" s="1">
        <v>13.285</v>
      </c>
      <c r="BG30" s="1" t="b">
        <v>1</v>
      </c>
      <c r="BH30" s="1" t="b">
        <v>0</v>
      </c>
      <c r="BI30" s="1">
        <v>77.78</v>
      </c>
      <c r="BJ30" s="1">
        <v>75.0</v>
      </c>
      <c r="BK30" s="1" t="b">
        <v>1</v>
      </c>
      <c r="BL30" s="1" t="b">
        <v>1</v>
      </c>
      <c r="BM30" s="1">
        <v>13.121</v>
      </c>
      <c r="BN30" s="1">
        <v>14.568</v>
      </c>
      <c r="BO30" s="1" t="b">
        <v>1</v>
      </c>
      <c r="BP30" s="1" t="b">
        <v>0</v>
      </c>
      <c r="BQ30" s="1">
        <v>75.0</v>
      </c>
      <c r="BR30" s="1">
        <v>72.027</v>
      </c>
      <c r="BS30" s="1" t="b">
        <v>1</v>
      </c>
      <c r="BT30" s="1" t="b">
        <v>1</v>
      </c>
      <c r="BU30" s="1" t="s">
        <v>91</v>
      </c>
      <c r="BV30" s="1" t="s">
        <v>104</v>
      </c>
      <c r="BW30" s="1" t="s">
        <v>91</v>
      </c>
      <c r="BX30" s="1" t="s">
        <v>104</v>
      </c>
      <c r="BY30" s="1" t="s">
        <v>91</v>
      </c>
      <c r="BZ30" s="1" t="s">
        <v>104</v>
      </c>
      <c r="CA30" s="1" t="s">
        <v>91</v>
      </c>
      <c r="CB30" s="1" t="s">
        <v>104</v>
      </c>
      <c r="CC30" s="1" t="s">
        <v>91</v>
      </c>
      <c r="CD30" s="1" t="s">
        <v>104</v>
      </c>
      <c r="CE30" s="4"/>
      <c r="CF30" s="4"/>
    </row>
    <row r="31" hidden="1">
      <c r="A31" s="1" t="s">
        <v>82</v>
      </c>
      <c r="B31" s="1" t="s">
        <v>152</v>
      </c>
      <c r="C31" s="1">
        <v>25.0</v>
      </c>
      <c r="D31" s="5" t="s">
        <v>243</v>
      </c>
      <c r="E31" s="1" t="s">
        <v>244</v>
      </c>
      <c r="F31" s="1">
        <v>32.0</v>
      </c>
      <c r="G31" s="1">
        <v>0.1611</v>
      </c>
      <c r="H31" s="1" t="s">
        <v>245</v>
      </c>
      <c r="I31" s="4" t="b">
        <f>IFERROR(__xludf.DUMMYFUNCTION("IF(H31="""",,REGEXMATCH(H31,""[א-ת]""))"),FALSE)</f>
        <v>0</v>
      </c>
      <c r="J31" s="4"/>
      <c r="K31" s="4"/>
      <c r="L31" s="1">
        <v>0.504</v>
      </c>
      <c r="M31" s="1">
        <v>3.83</v>
      </c>
      <c r="N31" s="1">
        <v>90.62</v>
      </c>
      <c r="O31" s="1">
        <v>2.831875</v>
      </c>
      <c r="P31" s="4"/>
      <c r="Q31" s="4"/>
      <c r="R31" s="1" t="s">
        <v>89</v>
      </c>
      <c r="S31" s="1" t="s">
        <v>244</v>
      </c>
      <c r="T31" s="1" t="s">
        <v>152</v>
      </c>
      <c r="U31" s="1">
        <v>26.0</v>
      </c>
      <c r="V31" s="5" t="s">
        <v>243</v>
      </c>
      <c r="W31" s="1" t="s">
        <v>244</v>
      </c>
      <c r="X31" s="1" t="s">
        <v>246</v>
      </c>
      <c r="Y31" s="4"/>
      <c r="Z31" s="4"/>
      <c r="AA31" s="4" t="b">
        <f>IFERROR(__xludf.DUMMYFUNCTION("IF(X31="""",,REGEXMATCH(X31,""[א-ת]""))"),FALSE)</f>
        <v>0</v>
      </c>
      <c r="AB31" s="1">
        <v>21.54</v>
      </c>
      <c r="AC31" s="1">
        <v>75.0</v>
      </c>
      <c r="AD31" s="1">
        <v>0.579766022798665</v>
      </c>
      <c r="AE31" s="1">
        <v>0.4003</v>
      </c>
      <c r="AF31" s="1">
        <v>0.1611</v>
      </c>
      <c r="AG31" s="1">
        <v>6.337</v>
      </c>
      <c r="AH31" s="1">
        <v>6.781</v>
      </c>
      <c r="AI31" s="1" t="b">
        <v>1</v>
      </c>
      <c r="AJ31" s="1" t="b">
        <v>0</v>
      </c>
      <c r="AK31" s="1">
        <v>94.182</v>
      </c>
      <c r="AL31" s="1">
        <v>96.508</v>
      </c>
      <c r="AM31" s="1" t="b">
        <v>0</v>
      </c>
      <c r="AN31" s="1" t="b">
        <v>0</v>
      </c>
      <c r="AO31" s="1">
        <v>8.05</v>
      </c>
      <c r="AP31" s="1">
        <v>8.53399999999999</v>
      </c>
      <c r="AQ31" s="1" t="b">
        <v>1</v>
      </c>
      <c r="AR31" s="1" t="b">
        <v>0</v>
      </c>
      <c r="AS31" s="1">
        <v>86.9179999999999</v>
      </c>
      <c r="AT31" s="1">
        <v>87.152</v>
      </c>
      <c r="AU31" s="1" t="b">
        <v>1</v>
      </c>
      <c r="AV31" s="1" t="b">
        <v>0</v>
      </c>
      <c r="AW31" s="1">
        <v>9.61399999999999</v>
      </c>
      <c r="AX31" s="1">
        <v>11.026</v>
      </c>
      <c r="AY31" s="1" t="b">
        <v>1</v>
      </c>
      <c r="AZ31" s="1" t="b">
        <v>0</v>
      </c>
      <c r="BA31" s="1">
        <v>81.25</v>
      </c>
      <c r="BB31" s="1">
        <v>77.78</v>
      </c>
      <c r="BC31" s="1" t="b">
        <v>1</v>
      </c>
      <c r="BD31" s="1" t="b">
        <v>0</v>
      </c>
      <c r="BE31" s="1">
        <v>11.34</v>
      </c>
      <c r="BF31" s="1">
        <v>13.285</v>
      </c>
      <c r="BG31" s="1" t="b">
        <v>1</v>
      </c>
      <c r="BH31" s="1" t="b">
        <v>0</v>
      </c>
      <c r="BI31" s="1">
        <v>77.78</v>
      </c>
      <c r="BJ31" s="1">
        <v>75.0</v>
      </c>
      <c r="BK31" s="1" t="b">
        <v>1</v>
      </c>
      <c r="BL31" s="1" t="b">
        <v>1</v>
      </c>
      <c r="BM31" s="1">
        <v>13.121</v>
      </c>
      <c r="BN31" s="1">
        <v>14.568</v>
      </c>
      <c r="BO31" s="1" t="b">
        <v>1</v>
      </c>
      <c r="BP31" s="1" t="b">
        <v>0</v>
      </c>
      <c r="BQ31" s="1">
        <v>75.0</v>
      </c>
      <c r="BR31" s="1">
        <v>72.027</v>
      </c>
      <c r="BS31" s="1" t="b">
        <v>1</v>
      </c>
      <c r="BT31" s="1" t="b">
        <v>1</v>
      </c>
      <c r="BU31" s="1" t="s">
        <v>91</v>
      </c>
      <c r="BV31" s="1" t="s">
        <v>105</v>
      </c>
      <c r="BW31" s="1" t="s">
        <v>91</v>
      </c>
      <c r="BX31" s="1" t="s">
        <v>91</v>
      </c>
      <c r="BY31" s="1" t="s">
        <v>91</v>
      </c>
      <c r="BZ31" s="1" t="s">
        <v>91</v>
      </c>
      <c r="CA31" s="1" t="s">
        <v>91</v>
      </c>
      <c r="CB31" s="1" t="s">
        <v>104</v>
      </c>
      <c r="CC31" s="1" t="s">
        <v>91</v>
      </c>
      <c r="CD31" s="1" t="s">
        <v>104</v>
      </c>
      <c r="CE31" s="4"/>
      <c r="CF31" s="4"/>
    </row>
    <row r="32" hidden="1">
      <c r="A32" s="1" t="s">
        <v>82</v>
      </c>
      <c r="B32" s="1" t="s">
        <v>145</v>
      </c>
      <c r="C32" s="1">
        <v>10.0</v>
      </c>
      <c r="D32" s="5" t="s">
        <v>247</v>
      </c>
      <c r="E32" s="1" t="s">
        <v>248</v>
      </c>
      <c r="F32" s="1">
        <v>15.0</v>
      </c>
      <c r="G32" s="1">
        <v>0.0</v>
      </c>
      <c r="H32" s="1" t="s">
        <v>249</v>
      </c>
      <c r="I32" s="4" t="b">
        <f>IFERROR(__xludf.DUMMYFUNCTION("IF(H32="""",,REGEXMATCH(H32,""[א-ת]""))"),FALSE)</f>
        <v>0</v>
      </c>
      <c r="J32" s="4"/>
      <c r="K32" s="4"/>
      <c r="L32" s="1">
        <v>0.0</v>
      </c>
      <c r="M32" s="1">
        <v>3.9</v>
      </c>
      <c r="N32" s="1">
        <v>160.0</v>
      </c>
      <c r="O32" s="1">
        <v>10.66666667</v>
      </c>
      <c r="P32" s="4"/>
      <c r="Q32" s="4"/>
      <c r="R32" s="1" t="s">
        <v>89</v>
      </c>
      <c r="S32" s="1" t="s">
        <v>248</v>
      </c>
      <c r="T32" s="1" t="s">
        <v>145</v>
      </c>
      <c r="U32" s="1">
        <v>11.0</v>
      </c>
      <c r="V32" s="5" t="s">
        <v>247</v>
      </c>
      <c r="W32" s="1" t="s">
        <v>248</v>
      </c>
      <c r="X32" s="5" t="s">
        <v>250</v>
      </c>
      <c r="Y32" s="4"/>
      <c r="Z32" s="4"/>
      <c r="AA32" s="4" t="b">
        <f>IFERROR(__xludf.DUMMYFUNCTION("IF(X32="""",,REGEXMATCH(X32,""[א-ת]""))"),TRUE)</f>
        <v>1</v>
      </c>
      <c r="AB32" s="1">
        <v>8.82</v>
      </c>
      <c r="AC32" s="1">
        <v>200.0</v>
      </c>
      <c r="AD32" s="1">
        <v>0.212855175957885</v>
      </c>
      <c r="AE32" s="1">
        <v>0.0</v>
      </c>
      <c r="AF32" s="1">
        <v>0.0</v>
      </c>
      <c r="AG32" s="1">
        <v>6.337</v>
      </c>
      <c r="AH32" s="1">
        <v>6.781</v>
      </c>
      <c r="AI32" s="1" t="b">
        <v>1</v>
      </c>
      <c r="AJ32" s="1" t="b">
        <v>0</v>
      </c>
      <c r="AK32" s="1">
        <v>94.182</v>
      </c>
      <c r="AL32" s="1">
        <v>96.508</v>
      </c>
      <c r="AM32" s="1" t="b">
        <v>1</v>
      </c>
      <c r="AN32" s="1" t="b">
        <v>1</v>
      </c>
      <c r="AO32" s="1">
        <v>8.05</v>
      </c>
      <c r="AP32" s="1">
        <v>8.53399999999999</v>
      </c>
      <c r="AQ32" s="1" t="b">
        <v>1</v>
      </c>
      <c r="AR32" s="1" t="b">
        <v>0</v>
      </c>
      <c r="AS32" s="1">
        <v>86.9179999999999</v>
      </c>
      <c r="AT32" s="1">
        <v>87.152</v>
      </c>
      <c r="AU32" s="1" t="b">
        <v>1</v>
      </c>
      <c r="AV32" s="1" t="b">
        <v>1</v>
      </c>
      <c r="AW32" s="1">
        <v>9.61399999999999</v>
      </c>
      <c r="AX32" s="1">
        <v>11.026</v>
      </c>
      <c r="AY32" s="1" t="b">
        <v>1</v>
      </c>
      <c r="AZ32" s="1" t="b">
        <v>1</v>
      </c>
      <c r="BA32" s="1">
        <v>81.25</v>
      </c>
      <c r="BB32" s="1">
        <v>77.78</v>
      </c>
      <c r="BC32" s="1" t="b">
        <v>1</v>
      </c>
      <c r="BD32" s="1" t="b">
        <v>1</v>
      </c>
      <c r="BE32" s="1">
        <v>11.34</v>
      </c>
      <c r="BF32" s="1">
        <v>13.285</v>
      </c>
      <c r="BG32" s="1" t="b">
        <v>1</v>
      </c>
      <c r="BH32" s="1" t="b">
        <v>1</v>
      </c>
      <c r="BI32" s="1">
        <v>77.78</v>
      </c>
      <c r="BJ32" s="1">
        <v>75.0</v>
      </c>
      <c r="BK32" s="1" t="b">
        <v>1</v>
      </c>
      <c r="BL32" s="1" t="b">
        <v>1</v>
      </c>
      <c r="BM32" s="1">
        <v>13.121</v>
      </c>
      <c r="BN32" s="1">
        <v>14.568</v>
      </c>
      <c r="BO32" s="1" t="b">
        <v>1</v>
      </c>
      <c r="BP32" s="1" t="b">
        <v>1</v>
      </c>
      <c r="BQ32" s="1">
        <v>75.0</v>
      </c>
      <c r="BR32" s="1">
        <v>72.027</v>
      </c>
      <c r="BS32" s="1" t="b">
        <v>1</v>
      </c>
      <c r="BT32" s="1" t="b">
        <v>1</v>
      </c>
      <c r="BU32" s="1" t="s">
        <v>91</v>
      </c>
      <c r="BV32" s="1" t="s">
        <v>104</v>
      </c>
      <c r="BW32" s="1" t="s">
        <v>91</v>
      </c>
      <c r="BX32" s="1" t="s">
        <v>104</v>
      </c>
      <c r="BY32" s="1" t="s">
        <v>104</v>
      </c>
      <c r="BZ32" s="1" t="s">
        <v>104</v>
      </c>
      <c r="CA32" s="1" t="s">
        <v>104</v>
      </c>
      <c r="CB32" s="1" t="s">
        <v>104</v>
      </c>
      <c r="CC32" s="1" t="s">
        <v>104</v>
      </c>
      <c r="CD32" s="1" t="s">
        <v>104</v>
      </c>
      <c r="CE32" s="4"/>
      <c r="CF32" s="4"/>
    </row>
    <row r="33">
      <c r="A33" s="1" t="s">
        <v>82</v>
      </c>
      <c r="B33" s="1" t="s">
        <v>251</v>
      </c>
      <c r="C33" s="1">
        <v>20.0</v>
      </c>
      <c r="D33" s="5" t="s">
        <v>252</v>
      </c>
      <c r="E33" s="1" t="s">
        <v>253</v>
      </c>
      <c r="F33" s="1">
        <v>25.0</v>
      </c>
      <c r="G33" s="1">
        <v>0.0</v>
      </c>
      <c r="H33" s="1" t="s">
        <v>254</v>
      </c>
      <c r="I33" s="4" t="b">
        <f>IFERROR(__xludf.DUMMYFUNCTION("IF(H33="""",,REGEXMATCH(H33,""[א-ת]""))"),FALSE)</f>
        <v>0</v>
      </c>
      <c r="J33" s="4"/>
      <c r="K33" s="4"/>
      <c r="L33" s="1">
        <v>0.4199</v>
      </c>
      <c r="M33" s="1">
        <v>4.15</v>
      </c>
      <c r="N33" s="1">
        <v>80.0</v>
      </c>
      <c r="O33" s="1">
        <v>3.2</v>
      </c>
      <c r="P33" s="4"/>
      <c r="Q33" s="4"/>
      <c r="R33" s="1" t="s">
        <v>89</v>
      </c>
      <c r="S33" s="1" t="s">
        <v>253</v>
      </c>
      <c r="T33" s="1" t="s">
        <v>251</v>
      </c>
      <c r="U33" s="1">
        <v>21.0</v>
      </c>
      <c r="V33" s="5" t="s">
        <v>252</v>
      </c>
      <c r="W33" s="1" t="s">
        <v>253</v>
      </c>
      <c r="X33" s="1" t="s">
        <v>255</v>
      </c>
      <c r="Y33" s="1" t="s">
        <v>256</v>
      </c>
      <c r="Z33" s="1" t="s">
        <v>257</v>
      </c>
      <c r="AA33" s="4" t="b">
        <f>IFERROR(__xludf.DUMMYFUNCTION("IF(X33="""",,REGEXMATCH(X33,""[א-ת]""))"),FALSE)</f>
        <v>0</v>
      </c>
      <c r="AB33" s="1">
        <v>5.76</v>
      </c>
      <c r="AC33" s="1">
        <v>80.0</v>
      </c>
      <c r="AD33" s="1">
        <v>0.379129532699735</v>
      </c>
      <c r="AE33" s="1">
        <v>0.4199</v>
      </c>
      <c r="AF33" s="1">
        <v>0.0</v>
      </c>
      <c r="AG33" s="1">
        <v>6.337</v>
      </c>
      <c r="AH33" s="1">
        <v>6.781</v>
      </c>
      <c r="AI33" s="1" t="b">
        <v>1</v>
      </c>
      <c r="AJ33" s="1" t="b">
        <v>1</v>
      </c>
      <c r="AK33" s="1">
        <v>94.182</v>
      </c>
      <c r="AL33" s="1">
        <v>96.508</v>
      </c>
      <c r="AM33" s="1" t="b">
        <v>0</v>
      </c>
      <c r="AN33" s="1" t="b">
        <v>0</v>
      </c>
      <c r="AO33" s="1">
        <v>8.05</v>
      </c>
      <c r="AP33" s="1">
        <v>8.53399999999999</v>
      </c>
      <c r="AQ33" s="1" t="b">
        <v>1</v>
      </c>
      <c r="AR33" s="1" t="b">
        <v>1</v>
      </c>
      <c r="AS33" s="1">
        <v>86.9179999999999</v>
      </c>
      <c r="AT33" s="1">
        <v>87.152</v>
      </c>
      <c r="AU33" s="1" t="b">
        <v>0</v>
      </c>
      <c r="AV33" s="1" t="b">
        <v>0</v>
      </c>
      <c r="AW33" s="1">
        <v>9.61399999999999</v>
      </c>
      <c r="AX33" s="1">
        <v>11.026</v>
      </c>
      <c r="AY33" s="1" t="b">
        <v>1</v>
      </c>
      <c r="AZ33" s="1" t="b">
        <v>1</v>
      </c>
      <c r="BA33" s="1">
        <v>81.25</v>
      </c>
      <c r="BB33" s="1">
        <v>77.78</v>
      </c>
      <c r="BC33" s="1" t="b">
        <v>0</v>
      </c>
      <c r="BD33" s="1" t="b">
        <v>1</v>
      </c>
      <c r="BE33" s="1">
        <v>11.34</v>
      </c>
      <c r="BF33" s="1">
        <v>13.285</v>
      </c>
      <c r="BG33" s="1" t="b">
        <v>1</v>
      </c>
      <c r="BH33" s="1" t="b">
        <v>1</v>
      </c>
      <c r="BI33" s="1">
        <v>77.78</v>
      </c>
      <c r="BJ33" s="1">
        <v>75.0</v>
      </c>
      <c r="BK33" s="1" t="b">
        <v>1</v>
      </c>
      <c r="BL33" s="1" t="b">
        <v>1</v>
      </c>
      <c r="BM33" s="1">
        <v>13.121</v>
      </c>
      <c r="BN33" s="1">
        <v>14.568</v>
      </c>
      <c r="BO33" s="1" t="b">
        <v>1</v>
      </c>
      <c r="BP33" s="1" t="b">
        <v>1</v>
      </c>
      <c r="BQ33" s="1">
        <v>75.0</v>
      </c>
      <c r="BR33" s="1">
        <v>72.027</v>
      </c>
      <c r="BS33" s="1" t="b">
        <v>1</v>
      </c>
      <c r="BT33" s="1" t="b">
        <v>1</v>
      </c>
      <c r="BU33" s="1" t="s">
        <v>104</v>
      </c>
      <c r="BV33" s="1" t="s">
        <v>105</v>
      </c>
      <c r="BW33" s="1" t="s">
        <v>104</v>
      </c>
      <c r="BX33" s="1" t="s">
        <v>105</v>
      </c>
      <c r="BY33" s="1" t="s">
        <v>104</v>
      </c>
      <c r="BZ33" s="1" t="s">
        <v>157</v>
      </c>
      <c r="CA33" s="1" t="s">
        <v>104</v>
      </c>
      <c r="CB33" s="1" t="s">
        <v>104</v>
      </c>
      <c r="CC33" s="1" t="s">
        <v>104</v>
      </c>
      <c r="CD33" s="1" t="s">
        <v>104</v>
      </c>
      <c r="CE33" s="4"/>
      <c r="CF33" s="4"/>
    </row>
    <row r="34" hidden="1">
      <c r="A34" s="1" t="s">
        <v>82</v>
      </c>
      <c r="B34" s="1" t="s">
        <v>167</v>
      </c>
      <c r="C34" s="1">
        <v>22.0</v>
      </c>
      <c r="D34" s="5" t="s">
        <v>258</v>
      </c>
      <c r="E34" s="1" t="s">
        <v>259</v>
      </c>
      <c r="F34" s="1">
        <v>20.0</v>
      </c>
      <c r="G34" s="1">
        <v>0.0772</v>
      </c>
      <c r="H34" s="1" t="s">
        <v>260</v>
      </c>
      <c r="I34" s="4" t="b">
        <f>IFERROR(__xludf.DUMMYFUNCTION("IF(H34="""",,REGEXMATCH(H34,""[א-ת]""))"),FALSE)</f>
        <v>0</v>
      </c>
      <c r="J34" s="4"/>
      <c r="K34" s="4"/>
      <c r="L34" s="1">
        <v>0.0</v>
      </c>
      <c r="M34" s="1">
        <v>4.28</v>
      </c>
      <c r="N34" s="1">
        <v>115.0</v>
      </c>
      <c r="O34" s="1">
        <v>5.75</v>
      </c>
      <c r="P34" s="4"/>
      <c r="Q34" s="4"/>
      <c r="R34" s="1" t="s">
        <v>127</v>
      </c>
      <c r="S34" s="1" t="s">
        <v>259</v>
      </c>
      <c r="T34" s="1" t="s">
        <v>167</v>
      </c>
      <c r="U34" s="1">
        <v>23.0</v>
      </c>
      <c r="V34" s="5" t="s">
        <v>258</v>
      </c>
      <c r="W34" s="1" t="s">
        <v>259</v>
      </c>
      <c r="X34" s="1" t="s">
        <v>261</v>
      </c>
      <c r="Y34" s="4"/>
      <c r="Z34" s="4"/>
      <c r="AA34" s="4" t="b">
        <f>IFERROR(__xludf.DUMMYFUNCTION("IF(X34="""",,REGEXMATCH(X34,""[א-ת]""))"),FALSE)</f>
        <v>0</v>
      </c>
      <c r="AB34" s="1">
        <v>8.86</v>
      </c>
      <c r="AC34" s="1">
        <v>65.0</v>
      </c>
      <c r="AD34" s="1">
        <v>0.665247199368777</v>
      </c>
      <c r="AE34" s="1">
        <v>0.0</v>
      </c>
      <c r="AF34" s="1">
        <v>0.0772</v>
      </c>
      <c r="AG34" s="1">
        <v>6.337</v>
      </c>
      <c r="AH34" s="1">
        <v>6.781</v>
      </c>
      <c r="AI34" s="1" t="b">
        <v>1</v>
      </c>
      <c r="AJ34" s="1" t="b">
        <v>0</v>
      </c>
      <c r="AK34" s="1">
        <v>94.182</v>
      </c>
      <c r="AL34" s="1">
        <v>96.508</v>
      </c>
      <c r="AM34" s="1" t="b">
        <v>1</v>
      </c>
      <c r="AN34" s="1" t="b">
        <v>0</v>
      </c>
      <c r="AO34" s="1">
        <v>8.05</v>
      </c>
      <c r="AP34" s="1">
        <v>8.53399999999999</v>
      </c>
      <c r="AQ34" s="1" t="b">
        <v>1</v>
      </c>
      <c r="AR34" s="1" t="b">
        <v>0</v>
      </c>
      <c r="AS34" s="1">
        <v>86.9179999999999</v>
      </c>
      <c r="AT34" s="1">
        <v>87.152</v>
      </c>
      <c r="AU34" s="1" t="b">
        <v>1</v>
      </c>
      <c r="AV34" s="1" t="b">
        <v>0</v>
      </c>
      <c r="AW34" s="1">
        <v>9.61399999999999</v>
      </c>
      <c r="AX34" s="1">
        <v>11.026</v>
      </c>
      <c r="AY34" s="1" t="b">
        <v>1</v>
      </c>
      <c r="AZ34" s="1" t="b">
        <v>1</v>
      </c>
      <c r="BA34" s="1">
        <v>81.25</v>
      </c>
      <c r="BB34" s="1">
        <v>77.78</v>
      </c>
      <c r="BC34" s="1" t="b">
        <v>1</v>
      </c>
      <c r="BD34" s="1" t="b">
        <v>0</v>
      </c>
      <c r="BE34" s="1">
        <v>11.34</v>
      </c>
      <c r="BF34" s="1">
        <v>13.285</v>
      </c>
      <c r="BG34" s="1" t="b">
        <v>1</v>
      </c>
      <c r="BH34" s="1" t="b">
        <v>1</v>
      </c>
      <c r="BI34" s="1">
        <v>77.78</v>
      </c>
      <c r="BJ34" s="1">
        <v>75.0</v>
      </c>
      <c r="BK34" s="1" t="b">
        <v>1</v>
      </c>
      <c r="BL34" s="1" t="b">
        <v>0</v>
      </c>
      <c r="BM34" s="1">
        <v>13.121</v>
      </c>
      <c r="BN34" s="1">
        <v>14.568</v>
      </c>
      <c r="BO34" s="1" t="b">
        <v>1</v>
      </c>
      <c r="BP34" s="1" t="b">
        <v>1</v>
      </c>
      <c r="BQ34" s="1">
        <v>75.0</v>
      </c>
      <c r="BR34" s="1">
        <v>72.027</v>
      </c>
      <c r="BS34" s="1" t="b">
        <v>1</v>
      </c>
      <c r="BT34" s="1" t="b">
        <v>0</v>
      </c>
      <c r="BU34" s="1" t="s">
        <v>91</v>
      </c>
      <c r="BV34" s="1" t="s">
        <v>91</v>
      </c>
      <c r="BW34" s="1" t="s">
        <v>91</v>
      </c>
      <c r="BX34" s="1" t="s">
        <v>91</v>
      </c>
      <c r="BY34" s="1" t="s">
        <v>104</v>
      </c>
      <c r="BZ34" s="1" t="s">
        <v>91</v>
      </c>
      <c r="CA34" s="1" t="s">
        <v>104</v>
      </c>
      <c r="CB34" s="1" t="s">
        <v>91</v>
      </c>
      <c r="CC34" s="1" t="s">
        <v>104</v>
      </c>
      <c r="CD34" s="1" t="s">
        <v>91</v>
      </c>
      <c r="CE34" s="4"/>
      <c r="CF34" s="4"/>
    </row>
    <row r="35" hidden="1">
      <c r="A35" s="1" t="s">
        <v>82</v>
      </c>
      <c r="B35" s="1" t="s">
        <v>262</v>
      </c>
      <c r="C35" s="1">
        <v>10.0</v>
      </c>
      <c r="D35" s="5" t="s">
        <v>263</v>
      </c>
      <c r="E35" s="1" t="s">
        <v>264</v>
      </c>
      <c r="F35" s="1">
        <v>18.0</v>
      </c>
      <c r="G35" s="1">
        <v>-0.4215</v>
      </c>
      <c r="H35" s="1" t="s">
        <v>265</v>
      </c>
      <c r="I35" s="4" t="b">
        <f>IFERROR(__xludf.DUMMYFUNCTION("IF(H35="""",,REGEXMATCH(H35,""[א-ת]""))"),FALSE)</f>
        <v>0</v>
      </c>
      <c r="J35" s="4"/>
      <c r="K35" s="4"/>
      <c r="L35" s="1">
        <v>0.0</v>
      </c>
      <c r="M35" s="1">
        <v>4.33</v>
      </c>
      <c r="N35" s="1">
        <v>111.11</v>
      </c>
      <c r="O35" s="1">
        <v>6.172777778</v>
      </c>
      <c r="P35" s="4"/>
      <c r="Q35" s="4"/>
      <c r="R35" s="1" t="s">
        <v>96</v>
      </c>
      <c r="S35" s="1" t="s">
        <v>264</v>
      </c>
      <c r="T35" s="1" t="s">
        <v>262</v>
      </c>
      <c r="U35" s="1">
        <v>11.0</v>
      </c>
      <c r="V35" s="5" t="s">
        <v>263</v>
      </c>
      <c r="W35" s="1" t="s">
        <v>264</v>
      </c>
      <c r="X35" s="1" t="s">
        <v>266</v>
      </c>
      <c r="Y35" s="4"/>
      <c r="Z35" s="4"/>
      <c r="AA35" s="4" t="b">
        <f>IFERROR(__xludf.DUMMYFUNCTION("IF(X35="""",,REGEXMATCH(X35,""[א-ת]""))"),FALSE)</f>
        <v>0</v>
      </c>
      <c r="AB35" s="1">
        <v>14.44</v>
      </c>
      <c r="AC35" s="1">
        <v>77.78</v>
      </c>
      <c r="AD35" s="1">
        <v>0.621629383620196</v>
      </c>
      <c r="AE35" s="1">
        <v>-0.296</v>
      </c>
      <c r="AF35" s="1">
        <v>-0.4215</v>
      </c>
      <c r="AG35" s="1">
        <v>6.337</v>
      </c>
      <c r="AH35" s="1">
        <v>6.781</v>
      </c>
      <c r="AI35" s="1" t="b">
        <v>1</v>
      </c>
      <c r="AJ35" s="1" t="b">
        <v>0</v>
      </c>
      <c r="AK35" s="1">
        <v>94.182</v>
      </c>
      <c r="AL35" s="1">
        <v>96.508</v>
      </c>
      <c r="AM35" s="1" t="b">
        <v>1</v>
      </c>
      <c r="AN35" s="1" t="b">
        <v>0</v>
      </c>
      <c r="AO35" s="1">
        <v>8.05</v>
      </c>
      <c r="AP35" s="1">
        <v>8.53399999999999</v>
      </c>
      <c r="AQ35" s="1" t="b">
        <v>1</v>
      </c>
      <c r="AR35" s="1" t="b">
        <v>0</v>
      </c>
      <c r="AS35" s="1">
        <v>86.9179999999999</v>
      </c>
      <c r="AT35" s="1">
        <v>87.152</v>
      </c>
      <c r="AU35" s="1" t="b">
        <v>1</v>
      </c>
      <c r="AV35" s="1" t="b">
        <v>0</v>
      </c>
      <c r="AW35" s="1">
        <v>9.61399999999999</v>
      </c>
      <c r="AX35" s="1">
        <v>11.026</v>
      </c>
      <c r="AY35" s="1" t="b">
        <v>1</v>
      </c>
      <c r="AZ35" s="1" t="b">
        <v>0</v>
      </c>
      <c r="BA35" s="1">
        <v>81.25</v>
      </c>
      <c r="BB35" s="1">
        <v>77.78</v>
      </c>
      <c r="BC35" s="1" t="b">
        <v>1</v>
      </c>
      <c r="BD35" s="1" t="b">
        <v>1</v>
      </c>
      <c r="BE35" s="1">
        <v>11.34</v>
      </c>
      <c r="BF35" s="1">
        <v>13.285</v>
      </c>
      <c r="BG35" s="1" t="b">
        <v>1</v>
      </c>
      <c r="BH35" s="1" t="b">
        <v>0</v>
      </c>
      <c r="BI35" s="1">
        <v>77.78</v>
      </c>
      <c r="BJ35" s="1">
        <v>75.0</v>
      </c>
      <c r="BK35" s="1" t="b">
        <v>1</v>
      </c>
      <c r="BL35" s="1" t="b">
        <v>1</v>
      </c>
      <c r="BM35" s="1">
        <v>13.121</v>
      </c>
      <c r="BN35" s="1">
        <v>14.568</v>
      </c>
      <c r="BO35" s="1" t="b">
        <v>1</v>
      </c>
      <c r="BP35" s="1" t="b">
        <v>1</v>
      </c>
      <c r="BQ35" s="1">
        <v>75.0</v>
      </c>
      <c r="BR35" s="1">
        <v>72.027</v>
      </c>
      <c r="BS35" s="1" t="b">
        <v>1</v>
      </c>
      <c r="BT35" s="1" t="b">
        <v>1</v>
      </c>
      <c r="BU35" s="1" t="s">
        <v>91</v>
      </c>
      <c r="BV35" s="1" t="s">
        <v>91</v>
      </c>
      <c r="BW35" s="1" t="s">
        <v>91</v>
      </c>
      <c r="BX35" s="1" t="s">
        <v>91</v>
      </c>
      <c r="BY35" s="1" t="s">
        <v>91</v>
      </c>
      <c r="BZ35" s="1" t="s">
        <v>104</v>
      </c>
      <c r="CA35" s="1" t="s">
        <v>91</v>
      </c>
      <c r="CB35" s="1" t="s">
        <v>104</v>
      </c>
      <c r="CC35" s="1" t="s">
        <v>104</v>
      </c>
      <c r="CD35" s="1" t="s">
        <v>104</v>
      </c>
      <c r="CE35" s="4"/>
      <c r="CF35" s="4"/>
    </row>
    <row r="36" hidden="1">
      <c r="A36" s="1" t="s">
        <v>82</v>
      </c>
      <c r="B36" s="1" t="s">
        <v>152</v>
      </c>
      <c r="C36" s="1">
        <v>22.0</v>
      </c>
      <c r="D36" s="5" t="s">
        <v>267</v>
      </c>
      <c r="E36" s="1" t="s">
        <v>268</v>
      </c>
      <c r="F36" s="1">
        <v>23.0</v>
      </c>
      <c r="G36" s="1">
        <v>-0.1779</v>
      </c>
      <c r="H36" s="1" t="s">
        <v>269</v>
      </c>
      <c r="I36" s="4" t="b">
        <f>IFERROR(__xludf.DUMMYFUNCTION("IF(H36="""",,REGEXMATCH(H36,""[א-ת]""))"),FALSE)</f>
        <v>0</v>
      </c>
      <c r="J36" s="4"/>
      <c r="K36" s="4"/>
      <c r="L36" s="1">
        <v>0.0</v>
      </c>
      <c r="M36" s="1">
        <v>4.43</v>
      </c>
      <c r="N36" s="1">
        <v>73.91</v>
      </c>
      <c r="O36" s="1">
        <v>3.213478261</v>
      </c>
      <c r="P36" s="4"/>
      <c r="Q36" s="4"/>
      <c r="R36" s="1" t="s">
        <v>89</v>
      </c>
      <c r="S36" s="1" t="s">
        <v>268</v>
      </c>
      <c r="T36" s="1" t="s">
        <v>152</v>
      </c>
      <c r="U36" s="1">
        <v>23.0</v>
      </c>
      <c r="V36" s="5" t="s">
        <v>267</v>
      </c>
      <c r="W36" s="1" t="s">
        <v>268</v>
      </c>
      <c r="X36" s="1" t="s">
        <v>270</v>
      </c>
      <c r="Y36" s="4"/>
      <c r="Z36" s="4"/>
      <c r="AA36" s="4" t="b">
        <f>IFERROR(__xludf.DUMMYFUNCTION("IF(X36="""",,REGEXMATCH(X36,""[א-ת]""))"),FALSE)</f>
        <v>0</v>
      </c>
      <c r="AB36" s="1">
        <v>34.83</v>
      </c>
      <c r="AC36" s="1">
        <v>52.17</v>
      </c>
      <c r="AD36" s="1">
        <v>0.851966963013581</v>
      </c>
      <c r="AE36" s="1">
        <v>0.0</v>
      </c>
      <c r="AF36" s="1">
        <v>-0.1779</v>
      </c>
      <c r="AG36" s="1">
        <v>6.337</v>
      </c>
      <c r="AH36" s="1">
        <v>6.781</v>
      </c>
      <c r="AI36" s="1" t="b">
        <v>1</v>
      </c>
      <c r="AJ36" s="1" t="b">
        <v>0</v>
      </c>
      <c r="AK36" s="1">
        <v>94.182</v>
      </c>
      <c r="AL36" s="1">
        <v>96.508</v>
      </c>
      <c r="AM36" s="1" t="b">
        <v>0</v>
      </c>
      <c r="AN36" s="1" t="b">
        <v>0</v>
      </c>
      <c r="AO36" s="1">
        <v>8.05</v>
      </c>
      <c r="AP36" s="1">
        <v>8.53399999999999</v>
      </c>
      <c r="AQ36" s="1" t="b">
        <v>1</v>
      </c>
      <c r="AR36" s="1" t="b">
        <v>0</v>
      </c>
      <c r="AS36" s="1">
        <v>86.9179999999999</v>
      </c>
      <c r="AT36" s="1">
        <v>87.152</v>
      </c>
      <c r="AU36" s="1" t="b">
        <v>0</v>
      </c>
      <c r="AV36" s="1" t="b">
        <v>0</v>
      </c>
      <c r="AW36" s="1">
        <v>9.61399999999999</v>
      </c>
      <c r="AX36" s="1">
        <v>11.026</v>
      </c>
      <c r="AY36" s="1" t="b">
        <v>1</v>
      </c>
      <c r="AZ36" s="1" t="b">
        <v>0</v>
      </c>
      <c r="BA36" s="1">
        <v>81.25</v>
      </c>
      <c r="BB36" s="1">
        <v>77.78</v>
      </c>
      <c r="BC36" s="1" t="b">
        <v>0</v>
      </c>
      <c r="BD36" s="1" t="b">
        <v>0</v>
      </c>
      <c r="BE36" s="1">
        <v>11.34</v>
      </c>
      <c r="BF36" s="1">
        <v>13.285</v>
      </c>
      <c r="BG36" s="1" t="b">
        <v>1</v>
      </c>
      <c r="BH36" s="1" t="b">
        <v>0</v>
      </c>
      <c r="BI36" s="1">
        <v>77.78</v>
      </c>
      <c r="BJ36" s="1">
        <v>75.0</v>
      </c>
      <c r="BK36" s="1" t="b">
        <v>0</v>
      </c>
      <c r="BL36" s="1" t="b">
        <v>0</v>
      </c>
      <c r="BM36" s="1">
        <v>13.121</v>
      </c>
      <c r="BN36" s="1">
        <v>14.568</v>
      </c>
      <c r="BO36" s="1" t="b">
        <v>1</v>
      </c>
      <c r="BP36" s="1" t="b">
        <v>0</v>
      </c>
      <c r="BQ36" s="1">
        <v>75.0</v>
      </c>
      <c r="BR36" s="1">
        <v>72.027</v>
      </c>
      <c r="BS36" s="1" t="b">
        <v>0</v>
      </c>
      <c r="BT36" s="1" t="b">
        <v>0</v>
      </c>
      <c r="BU36" s="1" t="s">
        <v>91</v>
      </c>
      <c r="BV36" s="1" t="s">
        <v>105</v>
      </c>
      <c r="BW36" s="1" t="s">
        <v>91</v>
      </c>
      <c r="BX36" s="1" t="s">
        <v>105</v>
      </c>
      <c r="BY36" s="1" t="s">
        <v>91</v>
      </c>
      <c r="BZ36" s="1" t="s">
        <v>105</v>
      </c>
      <c r="CA36" s="1" t="s">
        <v>91</v>
      </c>
      <c r="CB36" s="1" t="s">
        <v>105</v>
      </c>
      <c r="CC36" s="1" t="s">
        <v>91</v>
      </c>
      <c r="CD36" s="1" t="s">
        <v>105</v>
      </c>
      <c r="CE36" s="4"/>
      <c r="CF36" s="4"/>
    </row>
    <row r="37">
      <c r="A37" s="1" t="s">
        <v>82</v>
      </c>
      <c r="B37" s="1" t="s">
        <v>123</v>
      </c>
      <c r="C37" s="1">
        <v>16.0</v>
      </c>
      <c r="D37" s="5" t="s">
        <v>271</v>
      </c>
      <c r="E37" s="1" t="s">
        <v>272</v>
      </c>
      <c r="F37" s="1">
        <v>21.0</v>
      </c>
      <c r="G37" s="1">
        <v>-0.296</v>
      </c>
      <c r="H37" s="1" t="s">
        <v>273</v>
      </c>
      <c r="I37" s="4" t="b">
        <f>IFERROR(__xludf.DUMMYFUNCTION("IF(H37="""",,REGEXMATCH(H37,""[א-ת]""))"),FALSE)</f>
        <v>0</v>
      </c>
      <c r="J37" s="4"/>
      <c r="K37" s="4"/>
      <c r="L37" s="1">
        <v>0.0</v>
      </c>
      <c r="M37" s="1">
        <v>4.46</v>
      </c>
      <c r="N37" s="1">
        <v>90.48</v>
      </c>
      <c r="O37" s="1">
        <v>4.308571429</v>
      </c>
      <c r="P37" s="4"/>
      <c r="Q37" s="4"/>
      <c r="R37" s="1" t="s">
        <v>127</v>
      </c>
      <c r="S37" s="1" t="s">
        <v>272</v>
      </c>
      <c r="T37" s="1" t="s">
        <v>123</v>
      </c>
      <c r="U37" s="1">
        <v>17.0</v>
      </c>
      <c r="V37" s="5" t="s">
        <v>271</v>
      </c>
      <c r="W37" s="1" t="s">
        <v>272</v>
      </c>
      <c r="X37" s="1" t="s">
        <v>274</v>
      </c>
      <c r="Y37" s="1" t="s">
        <v>275</v>
      </c>
      <c r="Z37" s="6" t="s">
        <v>276</v>
      </c>
      <c r="AA37" s="4" t="b">
        <f>IFERROR(__xludf.DUMMYFUNCTION("IF(X37="""",,REGEXMATCH(X37,""[א-ת]""))"),TRUE)</f>
        <v>1</v>
      </c>
      <c r="AB37" s="1">
        <v>5.26</v>
      </c>
      <c r="AC37" s="1">
        <v>95.24</v>
      </c>
      <c r="AD37" s="1">
        <v>0.479970926663216</v>
      </c>
      <c r="AE37" s="1">
        <v>0.0</v>
      </c>
      <c r="AF37" s="1">
        <v>-0.296</v>
      </c>
      <c r="AG37" s="1">
        <v>6.337</v>
      </c>
      <c r="AH37" s="1">
        <v>6.781</v>
      </c>
      <c r="AI37" s="1" t="b">
        <v>1</v>
      </c>
      <c r="AJ37" s="1" t="b">
        <v>1</v>
      </c>
      <c r="AK37" s="1">
        <v>94.182</v>
      </c>
      <c r="AL37" s="1">
        <v>96.508</v>
      </c>
      <c r="AM37" s="1" t="b">
        <v>0</v>
      </c>
      <c r="AN37" s="1" t="b">
        <v>0</v>
      </c>
      <c r="AO37" s="1">
        <v>8.05</v>
      </c>
      <c r="AP37" s="1">
        <v>8.53399999999999</v>
      </c>
      <c r="AQ37" s="1" t="b">
        <v>1</v>
      </c>
      <c r="AR37" s="1" t="b">
        <v>1</v>
      </c>
      <c r="AS37" s="1">
        <v>86.9179999999999</v>
      </c>
      <c r="AT37" s="1">
        <v>87.152</v>
      </c>
      <c r="AU37" s="1" t="b">
        <v>1</v>
      </c>
      <c r="AV37" s="1" t="b">
        <v>1</v>
      </c>
      <c r="AW37" s="1">
        <v>9.61399999999999</v>
      </c>
      <c r="AX37" s="1">
        <v>11.026</v>
      </c>
      <c r="AY37" s="1" t="b">
        <v>1</v>
      </c>
      <c r="AZ37" s="1" t="b">
        <v>1</v>
      </c>
      <c r="BA37" s="1">
        <v>81.25</v>
      </c>
      <c r="BB37" s="1">
        <v>77.78</v>
      </c>
      <c r="BC37" s="1" t="b">
        <v>1</v>
      </c>
      <c r="BD37" s="1" t="b">
        <v>1</v>
      </c>
      <c r="BE37" s="1">
        <v>11.34</v>
      </c>
      <c r="BF37" s="1">
        <v>13.285</v>
      </c>
      <c r="BG37" s="1" t="b">
        <v>1</v>
      </c>
      <c r="BH37" s="1" t="b">
        <v>1</v>
      </c>
      <c r="BI37" s="1">
        <v>77.78</v>
      </c>
      <c r="BJ37" s="1">
        <v>75.0</v>
      </c>
      <c r="BK37" s="1" t="b">
        <v>1</v>
      </c>
      <c r="BL37" s="1" t="b">
        <v>1</v>
      </c>
      <c r="BM37" s="1">
        <v>13.121</v>
      </c>
      <c r="BN37" s="1">
        <v>14.568</v>
      </c>
      <c r="BO37" s="1" t="b">
        <v>1</v>
      </c>
      <c r="BP37" s="1" t="b">
        <v>1</v>
      </c>
      <c r="BQ37" s="1">
        <v>75.0</v>
      </c>
      <c r="BR37" s="1">
        <v>72.027</v>
      </c>
      <c r="BS37" s="1" t="b">
        <v>1</v>
      </c>
      <c r="BT37" s="1" t="b">
        <v>1</v>
      </c>
      <c r="BU37" s="1" t="s">
        <v>104</v>
      </c>
      <c r="BV37" s="1" t="s">
        <v>105</v>
      </c>
      <c r="BW37" s="1" t="s">
        <v>104</v>
      </c>
      <c r="BX37" s="1" t="s">
        <v>104</v>
      </c>
      <c r="BY37" s="1" t="s">
        <v>104</v>
      </c>
      <c r="BZ37" s="1" t="s">
        <v>104</v>
      </c>
      <c r="CA37" s="1" t="s">
        <v>104</v>
      </c>
      <c r="CB37" s="1" t="s">
        <v>104</v>
      </c>
      <c r="CC37" s="1" t="s">
        <v>104</v>
      </c>
      <c r="CD37" s="1" t="s">
        <v>104</v>
      </c>
      <c r="CE37" s="4"/>
      <c r="CF37" s="4"/>
    </row>
    <row r="38">
      <c r="A38" s="1" t="s">
        <v>82</v>
      </c>
      <c r="B38" s="1" t="s">
        <v>152</v>
      </c>
      <c r="C38" s="1">
        <v>30.0</v>
      </c>
      <c r="D38" s="5" t="s">
        <v>277</v>
      </c>
      <c r="E38" s="1" t="s">
        <v>278</v>
      </c>
      <c r="F38" s="1">
        <v>22.0</v>
      </c>
      <c r="G38" s="1">
        <v>0.6486</v>
      </c>
      <c r="H38" s="1" t="s">
        <v>279</v>
      </c>
      <c r="I38" s="4" t="b">
        <f>IFERROR(__xludf.DUMMYFUNCTION("IF(H38="""",,REGEXMATCH(H38,""[א-ת]""))"),FALSE)</f>
        <v>0</v>
      </c>
      <c r="J38" s="4"/>
      <c r="K38" s="4"/>
      <c r="L38" s="1">
        <v>0.0</v>
      </c>
      <c r="M38" s="1">
        <v>4.52</v>
      </c>
      <c r="N38" s="1">
        <v>81.82</v>
      </c>
      <c r="O38" s="1">
        <v>3.719090909</v>
      </c>
      <c r="P38" s="4"/>
      <c r="Q38" s="4"/>
      <c r="R38" s="1" t="s">
        <v>89</v>
      </c>
      <c r="S38" s="1" t="s">
        <v>278</v>
      </c>
      <c r="T38" s="1" t="s">
        <v>152</v>
      </c>
      <c r="U38" s="1">
        <v>31.0</v>
      </c>
      <c r="V38" s="5" t="s">
        <v>277</v>
      </c>
      <c r="W38" s="1" t="s">
        <v>278</v>
      </c>
      <c r="X38" s="1" t="s">
        <v>280</v>
      </c>
      <c r="Y38" s="1" t="s">
        <v>281</v>
      </c>
      <c r="Z38" s="4"/>
      <c r="AA38" s="4" t="b">
        <f>IFERROR(__xludf.DUMMYFUNCTION("IF(X38="""",,REGEXMATCH(X38,""[א-ת]""))"),FALSE)</f>
        <v>0</v>
      </c>
      <c r="AB38" s="1">
        <v>4.04</v>
      </c>
      <c r="AC38" s="1">
        <v>72.73</v>
      </c>
      <c r="AD38" s="1">
        <v>0.155702777489935</v>
      </c>
      <c r="AE38" s="1">
        <v>0.0</v>
      </c>
      <c r="AF38" s="1">
        <v>0.6486</v>
      </c>
      <c r="AG38" s="1">
        <v>6.337</v>
      </c>
      <c r="AH38" s="1">
        <v>6.781</v>
      </c>
      <c r="AI38" s="1" t="b">
        <v>1</v>
      </c>
      <c r="AJ38" s="1" t="b">
        <v>1</v>
      </c>
      <c r="AK38" s="1">
        <v>94.182</v>
      </c>
      <c r="AL38" s="1">
        <v>96.508</v>
      </c>
      <c r="AM38" s="1" t="b">
        <v>0</v>
      </c>
      <c r="AN38" s="1" t="b">
        <v>0</v>
      </c>
      <c r="AO38" s="1">
        <v>8.05</v>
      </c>
      <c r="AP38" s="1">
        <v>8.53399999999999</v>
      </c>
      <c r="AQ38" s="1" t="b">
        <v>1</v>
      </c>
      <c r="AR38" s="1" t="b">
        <v>1</v>
      </c>
      <c r="AS38" s="1">
        <v>86.9179999999999</v>
      </c>
      <c r="AT38" s="1">
        <v>87.152</v>
      </c>
      <c r="AU38" s="1" t="b">
        <v>0</v>
      </c>
      <c r="AV38" s="1" t="b">
        <v>0</v>
      </c>
      <c r="AW38" s="1">
        <v>9.61399999999999</v>
      </c>
      <c r="AX38" s="1">
        <v>11.026</v>
      </c>
      <c r="AY38" s="1" t="b">
        <v>1</v>
      </c>
      <c r="AZ38" s="1" t="b">
        <v>1</v>
      </c>
      <c r="BA38" s="1">
        <v>81.25</v>
      </c>
      <c r="BB38" s="1">
        <v>77.78</v>
      </c>
      <c r="BC38" s="1" t="b">
        <v>1</v>
      </c>
      <c r="BD38" s="1" t="b">
        <v>0</v>
      </c>
      <c r="BE38" s="1">
        <v>11.34</v>
      </c>
      <c r="BF38" s="1">
        <v>13.285</v>
      </c>
      <c r="BG38" s="1" t="b">
        <v>1</v>
      </c>
      <c r="BH38" s="1" t="b">
        <v>1</v>
      </c>
      <c r="BI38" s="1">
        <v>77.78</v>
      </c>
      <c r="BJ38" s="1">
        <v>75.0</v>
      </c>
      <c r="BK38" s="1" t="b">
        <v>1</v>
      </c>
      <c r="BL38" s="1" t="b">
        <v>0</v>
      </c>
      <c r="BM38" s="1">
        <v>13.121</v>
      </c>
      <c r="BN38" s="1">
        <v>14.568</v>
      </c>
      <c r="BO38" s="1" t="b">
        <v>1</v>
      </c>
      <c r="BP38" s="1" t="b">
        <v>1</v>
      </c>
      <c r="BQ38" s="1">
        <v>75.0</v>
      </c>
      <c r="BR38" s="1">
        <v>72.027</v>
      </c>
      <c r="BS38" s="1" t="b">
        <v>1</v>
      </c>
      <c r="BT38" s="1" t="b">
        <v>1</v>
      </c>
      <c r="BU38" s="1" t="s">
        <v>104</v>
      </c>
      <c r="BV38" s="1" t="s">
        <v>105</v>
      </c>
      <c r="BW38" s="1" t="s">
        <v>104</v>
      </c>
      <c r="BX38" s="1" t="s">
        <v>105</v>
      </c>
      <c r="BY38" s="1" t="s">
        <v>104</v>
      </c>
      <c r="BZ38" s="1" t="s">
        <v>91</v>
      </c>
      <c r="CA38" s="1" t="s">
        <v>104</v>
      </c>
      <c r="CB38" s="1" t="s">
        <v>91</v>
      </c>
      <c r="CC38" s="1" t="s">
        <v>104</v>
      </c>
      <c r="CD38" s="1" t="s">
        <v>104</v>
      </c>
      <c r="CE38" s="4"/>
      <c r="CF38" s="4"/>
    </row>
    <row r="39" hidden="1">
      <c r="A39" s="1" t="s">
        <v>82</v>
      </c>
      <c r="B39" s="1" t="s">
        <v>92</v>
      </c>
      <c r="C39" s="1">
        <v>41.0</v>
      </c>
      <c r="D39" s="5" t="s">
        <v>282</v>
      </c>
      <c r="E39" s="1" t="s">
        <v>283</v>
      </c>
      <c r="F39" s="1">
        <v>34.0</v>
      </c>
      <c r="G39" s="1">
        <v>-0.296</v>
      </c>
      <c r="H39" s="1" t="s">
        <v>284</v>
      </c>
      <c r="I39" s="4" t="b">
        <f>IFERROR(__xludf.DUMMYFUNCTION("IF(H39="""",,REGEXMATCH(H39,""[א-ת]""))"),FALSE)</f>
        <v>0</v>
      </c>
      <c r="J39" s="4"/>
      <c r="K39" s="4"/>
      <c r="L39" s="1">
        <v>0.3612</v>
      </c>
      <c r="M39" s="1">
        <v>4.52</v>
      </c>
      <c r="N39" s="1">
        <v>73.53</v>
      </c>
      <c r="O39" s="1">
        <v>2.162647059</v>
      </c>
      <c r="P39" s="4"/>
      <c r="Q39" s="4"/>
      <c r="R39" s="1" t="s">
        <v>96</v>
      </c>
      <c r="S39" s="1" t="s">
        <v>283</v>
      </c>
      <c r="T39" s="1" t="s">
        <v>92</v>
      </c>
      <c r="U39" s="1">
        <v>42.0</v>
      </c>
      <c r="V39" s="5" t="s">
        <v>282</v>
      </c>
      <c r="W39" s="1" t="s">
        <v>283</v>
      </c>
      <c r="X39" s="1" t="s">
        <v>285</v>
      </c>
      <c r="Y39" s="4"/>
      <c r="Z39" s="4"/>
      <c r="AA39" s="4" t="b">
        <f>IFERROR(__xludf.DUMMYFUNCTION("IF(X39="""",,REGEXMATCH(X39,""[א-ת]""))"),FALSE)</f>
        <v>0</v>
      </c>
      <c r="AB39" s="1">
        <v>22.48</v>
      </c>
      <c r="AC39" s="1">
        <v>67.65</v>
      </c>
      <c r="AD39" s="1">
        <v>0.573389736612827</v>
      </c>
      <c r="AE39" s="1">
        <v>0.0</v>
      </c>
      <c r="AF39" s="1">
        <v>-0.296</v>
      </c>
      <c r="AG39" s="1">
        <v>6.337</v>
      </c>
      <c r="AH39" s="1">
        <v>6.781</v>
      </c>
      <c r="AI39" s="1" t="b">
        <v>1</v>
      </c>
      <c r="AJ39" s="1" t="b">
        <v>0</v>
      </c>
      <c r="AK39" s="1">
        <v>94.182</v>
      </c>
      <c r="AL39" s="1">
        <v>96.508</v>
      </c>
      <c r="AM39" s="1" t="b">
        <v>0</v>
      </c>
      <c r="AN39" s="1" t="b">
        <v>0</v>
      </c>
      <c r="AO39" s="1">
        <v>8.05</v>
      </c>
      <c r="AP39" s="1">
        <v>8.53399999999999</v>
      </c>
      <c r="AQ39" s="1" t="b">
        <v>1</v>
      </c>
      <c r="AR39" s="1" t="b">
        <v>0</v>
      </c>
      <c r="AS39" s="1">
        <v>86.9179999999999</v>
      </c>
      <c r="AT39" s="1">
        <v>87.152</v>
      </c>
      <c r="AU39" s="1" t="b">
        <v>0</v>
      </c>
      <c r="AV39" s="1" t="b">
        <v>0</v>
      </c>
      <c r="AW39" s="1">
        <v>9.61399999999999</v>
      </c>
      <c r="AX39" s="1">
        <v>11.026</v>
      </c>
      <c r="AY39" s="1" t="b">
        <v>1</v>
      </c>
      <c r="AZ39" s="1" t="b">
        <v>0</v>
      </c>
      <c r="BA39" s="1">
        <v>81.25</v>
      </c>
      <c r="BB39" s="1">
        <v>77.78</v>
      </c>
      <c r="BC39" s="1" t="b">
        <v>0</v>
      </c>
      <c r="BD39" s="1" t="b">
        <v>0</v>
      </c>
      <c r="BE39" s="1">
        <v>11.34</v>
      </c>
      <c r="BF39" s="1">
        <v>13.285</v>
      </c>
      <c r="BG39" s="1" t="b">
        <v>1</v>
      </c>
      <c r="BH39" s="1" t="b">
        <v>0</v>
      </c>
      <c r="BI39" s="1">
        <v>77.78</v>
      </c>
      <c r="BJ39" s="1">
        <v>75.0</v>
      </c>
      <c r="BK39" s="1" t="b">
        <v>0</v>
      </c>
      <c r="BL39" s="1" t="b">
        <v>0</v>
      </c>
      <c r="BM39" s="1">
        <v>13.121</v>
      </c>
      <c r="BN39" s="1">
        <v>14.568</v>
      </c>
      <c r="BO39" s="1" t="b">
        <v>1</v>
      </c>
      <c r="BP39" s="1" t="b">
        <v>0</v>
      </c>
      <c r="BQ39" s="1">
        <v>75.0</v>
      </c>
      <c r="BR39" s="1">
        <v>72.027</v>
      </c>
      <c r="BS39" s="1" t="b">
        <v>0</v>
      </c>
      <c r="BT39" s="1" t="b">
        <v>0</v>
      </c>
      <c r="BU39" s="1" t="s">
        <v>91</v>
      </c>
      <c r="BV39" s="1" t="s">
        <v>105</v>
      </c>
      <c r="BW39" s="1" t="s">
        <v>91</v>
      </c>
      <c r="BX39" s="1" t="s">
        <v>105</v>
      </c>
      <c r="BY39" s="1" t="s">
        <v>91</v>
      </c>
      <c r="BZ39" s="1" t="s">
        <v>105</v>
      </c>
      <c r="CA39" s="1" t="s">
        <v>91</v>
      </c>
      <c r="CB39" s="1" t="s">
        <v>105</v>
      </c>
      <c r="CC39" s="1" t="s">
        <v>91</v>
      </c>
      <c r="CD39" s="1" t="s">
        <v>105</v>
      </c>
      <c r="CE39" s="4"/>
      <c r="CF39" s="4"/>
    </row>
    <row r="40">
      <c r="A40" s="1" t="s">
        <v>82</v>
      </c>
      <c r="B40" s="1" t="s">
        <v>111</v>
      </c>
      <c r="C40" s="1">
        <v>41.0</v>
      </c>
      <c r="D40" s="5" t="s">
        <v>286</v>
      </c>
      <c r="E40" s="1" t="s">
        <v>287</v>
      </c>
      <c r="F40" s="1">
        <v>11.0</v>
      </c>
      <c r="G40" s="1">
        <v>-0.6124</v>
      </c>
      <c r="H40" s="1" t="s">
        <v>288</v>
      </c>
      <c r="I40" s="4" t="b">
        <f>IFERROR(__xludf.DUMMYFUNCTION("IF(H40="""",,REGEXMATCH(H40,""[א-ת]""))"),FALSE)</f>
        <v>0</v>
      </c>
      <c r="J40" s="4"/>
      <c r="K40" s="4"/>
      <c r="L40" s="1">
        <v>-0.6239</v>
      </c>
      <c r="M40" s="1">
        <v>4.66</v>
      </c>
      <c r="N40" s="1">
        <v>127.27</v>
      </c>
      <c r="O40" s="1">
        <v>11.57</v>
      </c>
      <c r="P40" s="4"/>
      <c r="Q40" s="4"/>
      <c r="R40" s="1" t="s">
        <v>89</v>
      </c>
      <c r="S40" s="1" t="s">
        <v>287</v>
      </c>
      <c r="T40" s="1" t="s">
        <v>111</v>
      </c>
      <c r="U40" s="1">
        <v>42.0</v>
      </c>
      <c r="V40" s="5" t="s">
        <v>286</v>
      </c>
      <c r="W40" s="1" t="s">
        <v>287</v>
      </c>
      <c r="X40" s="1" t="s">
        <v>289</v>
      </c>
      <c r="Y40" s="1" t="s">
        <v>290</v>
      </c>
      <c r="Z40" s="1" t="s">
        <v>291</v>
      </c>
      <c r="AA40" s="4" t="b">
        <f>IFERROR(__xludf.DUMMYFUNCTION("IF(X40="""",,REGEXMATCH(X40,""[א-ת]""))"),FALSE)</f>
        <v>0</v>
      </c>
      <c r="AB40" s="1">
        <v>2.15</v>
      </c>
      <c r="AC40" s="1">
        <v>100.0</v>
      </c>
      <c r="AD40" s="1">
        <v>0.181503285569466</v>
      </c>
      <c r="AE40" s="1">
        <v>-0.6476</v>
      </c>
      <c r="AF40" s="1">
        <v>-0.6124</v>
      </c>
      <c r="AG40" s="1">
        <v>6.337</v>
      </c>
      <c r="AH40" s="1">
        <v>6.781</v>
      </c>
      <c r="AI40" s="1" t="b">
        <v>1</v>
      </c>
      <c r="AJ40" s="1" t="b">
        <v>1</v>
      </c>
      <c r="AK40" s="1">
        <v>94.182</v>
      </c>
      <c r="AL40" s="1">
        <v>96.508</v>
      </c>
      <c r="AM40" s="1" t="b">
        <v>1</v>
      </c>
      <c r="AN40" s="1" t="b">
        <v>1</v>
      </c>
      <c r="AO40" s="1">
        <v>8.05</v>
      </c>
      <c r="AP40" s="1">
        <v>8.53399999999999</v>
      </c>
      <c r="AQ40" s="1" t="b">
        <v>1</v>
      </c>
      <c r="AR40" s="1" t="b">
        <v>1</v>
      </c>
      <c r="AS40" s="1">
        <v>86.9179999999999</v>
      </c>
      <c r="AT40" s="1">
        <v>87.152</v>
      </c>
      <c r="AU40" s="1" t="b">
        <v>1</v>
      </c>
      <c r="AV40" s="1" t="b">
        <v>1</v>
      </c>
      <c r="AW40" s="1">
        <v>9.61399999999999</v>
      </c>
      <c r="AX40" s="1">
        <v>11.026</v>
      </c>
      <c r="AY40" s="1" t="b">
        <v>1</v>
      </c>
      <c r="AZ40" s="1" t="b">
        <v>1</v>
      </c>
      <c r="BA40" s="1">
        <v>81.25</v>
      </c>
      <c r="BB40" s="1">
        <v>77.78</v>
      </c>
      <c r="BC40" s="1" t="b">
        <v>1</v>
      </c>
      <c r="BD40" s="1" t="b">
        <v>1</v>
      </c>
      <c r="BE40" s="1">
        <v>11.34</v>
      </c>
      <c r="BF40" s="1">
        <v>13.285</v>
      </c>
      <c r="BG40" s="1" t="b">
        <v>1</v>
      </c>
      <c r="BH40" s="1" t="b">
        <v>1</v>
      </c>
      <c r="BI40" s="1">
        <v>77.78</v>
      </c>
      <c r="BJ40" s="1">
        <v>75.0</v>
      </c>
      <c r="BK40" s="1" t="b">
        <v>1</v>
      </c>
      <c r="BL40" s="1" t="b">
        <v>1</v>
      </c>
      <c r="BM40" s="1">
        <v>13.121</v>
      </c>
      <c r="BN40" s="1">
        <v>14.568</v>
      </c>
      <c r="BO40" s="1" t="b">
        <v>1</v>
      </c>
      <c r="BP40" s="1" t="b">
        <v>1</v>
      </c>
      <c r="BQ40" s="1">
        <v>75.0</v>
      </c>
      <c r="BR40" s="1">
        <v>72.027</v>
      </c>
      <c r="BS40" s="1" t="b">
        <v>1</v>
      </c>
      <c r="BT40" s="1" t="b">
        <v>1</v>
      </c>
      <c r="BU40" s="1" t="s">
        <v>104</v>
      </c>
      <c r="BV40" s="1" t="s">
        <v>104</v>
      </c>
      <c r="BW40" s="1" t="s">
        <v>104</v>
      </c>
      <c r="BX40" s="1" t="s">
        <v>104</v>
      </c>
      <c r="BY40" s="1" t="s">
        <v>104</v>
      </c>
      <c r="BZ40" s="1" t="s">
        <v>104</v>
      </c>
      <c r="CA40" s="1" t="s">
        <v>104</v>
      </c>
      <c r="CB40" s="1" t="s">
        <v>104</v>
      </c>
      <c r="CC40" s="1" t="s">
        <v>104</v>
      </c>
      <c r="CD40" s="1" t="s">
        <v>104</v>
      </c>
      <c r="CE40" s="4"/>
      <c r="CF40" s="4"/>
    </row>
    <row r="41" hidden="1">
      <c r="A41" s="1" t="s">
        <v>82</v>
      </c>
      <c r="B41" s="1" t="s">
        <v>197</v>
      </c>
      <c r="C41" s="1">
        <v>13.0</v>
      </c>
      <c r="D41" s="5" t="s">
        <v>292</v>
      </c>
      <c r="E41" s="1" t="s">
        <v>293</v>
      </c>
      <c r="F41" s="1">
        <v>15.0</v>
      </c>
      <c r="G41" s="1">
        <v>0.0</v>
      </c>
      <c r="H41" s="1" t="s">
        <v>294</v>
      </c>
      <c r="I41" s="4" t="b">
        <f>IFERROR(__xludf.DUMMYFUNCTION("IF(H41="""",,REGEXMATCH(H41,""[א-ת]""))"),FALSE)</f>
        <v>0</v>
      </c>
      <c r="J41" s="4"/>
      <c r="K41" s="4"/>
      <c r="L41" s="1">
        <v>0.0</v>
      </c>
      <c r="M41" s="1">
        <v>4.81</v>
      </c>
      <c r="N41" s="1">
        <v>80.0</v>
      </c>
      <c r="O41" s="1">
        <v>5.333333333</v>
      </c>
      <c r="P41" s="4"/>
      <c r="Q41" s="4"/>
      <c r="R41" s="1" t="s">
        <v>89</v>
      </c>
      <c r="S41" s="1" t="s">
        <v>293</v>
      </c>
      <c r="T41" s="1" t="s">
        <v>197</v>
      </c>
      <c r="U41" s="1">
        <v>14.0</v>
      </c>
      <c r="V41" s="5" t="s">
        <v>292</v>
      </c>
      <c r="W41" s="1" t="s">
        <v>293</v>
      </c>
      <c r="X41" s="1" t="s">
        <v>295</v>
      </c>
      <c r="Y41" s="4"/>
      <c r="Z41" s="4"/>
      <c r="AA41" s="4" t="b">
        <f>IFERROR(__xludf.DUMMYFUNCTION("IF(X41="""",,REGEXMATCH(X41,""[א-ת]""))"),FALSE)</f>
        <v>0</v>
      </c>
      <c r="AB41" s="1">
        <v>24.62</v>
      </c>
      <c r="AC41" s="1">
        <v>73.33</v>
      </c>
      <c r="AD41" s="1">
        <v>0.572297262351379</v>
      </c>
      <c r="AE41" s="1">
        <v>0.0258</v>
      </c>
      <c r="AF41" s="1">
        <v>0.0</v>
      </c>
      <c r="AG41" s="1">
        <v>6.337</v>
      </c>
      <c r="AH41" s="1">
        <v>6.781</v>
      </c>
      <c r="AI41" s="1" t="b">
        <v>1</v>
      </c>
      <c r="AJ41" s="1" t="b">
        <v>0</v>
      </c>
      <c r="AK41" s="1">
        <v>94.182</v>
      </c>
      <c r="AL41" s="1">
        <v>96.508</v>
      </c>
      <c r="AM41" s="1" t="b">
        <v>0</v>
      </c>
      <c r="AN41" s="1" t="b">
        <v>0</v>
      </c>
      <c r="AO41" s="1">
        <v>8.05</v>
      </c>
      <c r="AP41" s="1">
        <v>8.53399999999999</v>
      </c>
      <c r="AQ41" s="1" t="b">
        <v>1</v>
      </c>
      <c r="AR41" s="1" t="b">
        <v>0</v>
      </c>
      <c r="AS41" s="1">
        <v>86.9179999999999</v>
      </c>
      <c r="AT41" s="1">
        <v>87.152</v>
      </c>
      <c r="AU41" s="1" t="b">
        <v>0</v>
      </c>
      <c r="AV41" s="1" t="b">
        <v>0</v>
      </c>
      <c r="AW41" s="1">
        <v>9.61399999999999</v>
      </c>
      <c r="AX41" s="1">
        <v>11.026</v>
      </c>
      <c r="AY41" s="1" t="b">
        <v>1</v>
      </c>
      <c r="AZ41" s="1" t="b">
        <v>0</v>
      </c>
      <c r="BA41" s="1">
        <v>81.25</v>
      </c>
      <c r="BB41" s="1">
        <v>77.78</v>
      </c>
      <c r="BC41" s="1" t="b">
        <v>0</v>
      </c>
      <c r="BD41" s="1" t="b">
        <v>0</v>
      </c>
      <c r="BE41" s="1">
        <v>11.34</v>
      </c>
      <c r="BF41" s="1">
        <v>13.285</v>
      </c>
      <c r="BG41" s="1" t="b">
        <v>1</v>
      </c>
      <c r="BH41" s="1" t="b">
        <v>0</v>
      </c>
      <c r="BI41" s="1">
        <v>77.78</v>
      </c>
      <c r="BJ41" s="1">
        <v>75.0</v>
      </c>
      <c r="BK41" s="1" t="b">
        <v>1</v>
      </c>
      <c r="BL41" s="1" t="b">
        <v>0</v>
      </c>
      <c r="BM41" s="1">
        <v>13.121</v>
      </c>
      <c r="BN41" s="1">
        <v>14.568</v>
      </c>
      <c r="BO41" s="1" t="b">
        <v>1</v>
      </c>
      <c r="BP41" s="1" t="b">
        <v>0</v>
      </c>
      <c r="BQ41" s="1">
        <v>75.0</v>
      </c>
      <c r="BR41" s="1">
        <v>72.027</v>
      </c>
      <c r="BS41" s="1" t="b">
        <v>1</v>
      </c>
      <c r="BT41" s="1" t="b">
        <v>1</v>
      </c>
      <c r="BU41" s="1" t="s">
        <v>91</v>
      </c>
      <c r="BV41" s="1" t="s">
        <v>105</v>
      </c>
      <c r="BW41" s="1" t="s">
        <v>91</v>
      </c>
      <c r="BX41" s="1" t="s">
        <v>105</v>
      </c>
      <c r="BY41" s="1" t="s">
        <v>91</v>
      </c>
      <c r="BZ41" s="1" t="s">
        <v>105</v>
      </c>
      <c r="CA41" s="1" t="s">
        <v>91</v>
      </c>
      <c r="CB41" s="1" t="s">
        <v>91</v>
      </c>
      <c r="CC41" s="1" t="s">
        <v>91</v>
      </c>
      <c r="CD41" s="1" t="s">
        <v>104</v>
      </c>
      <c r="CE41" s="4"/>
      <c r="CF41" s="4"/>
    </row>
    <row r="42" hidden="1">
      <c r="A42" s="1" t="s">
        <v>82</v>
      </c>
      <c r="B42" s="1" t="s">
        <v>111</v>
      </c>
      <c r="C42" s="1">
        <v>26.0</v>
      </c>
      <c r="D42" s="5" t="s">
        <v>296</v>
      </c>
      <c r="E42" s="1" t="s">
        <v>297</v>
      </c>
      <c r="F42" s="1">
        <v>19.0</v>
      </c>
      <c r="G42" s="1">
        <v>-0.2709</v>
      </c>
      <c r="H42" s="1" t="s">
        <v>298</v>
      </c>
      <c r="I42" s="4" t="b">
        <f>IFERROR(__xludf.DUMMYFUNCTION("IF(H42="""",,REGEXMATCH(H42,""[א-ת]""))"),FALSE)</f>
        <v>0</v>
      </c>
      <c r="J42" s="4"/>
      <c r="K42" s="4"/>
      <c r="L42" s="1">
        <v>0.2755</v>
      </c>
      <c r="M42" s="1">
        <v>4.86</v>
      </c>
      <c r="N42" s="1">
        <v>89.47</v>
      </c>
      <c r="O42" s="1">
        <v>4.708947368</v>
      </c>
      <c r="P42" s="4"/>
      <c r="Q42" s="4"/>
      <c r="R42" s="1" t="s">
        <v>89</v>
      </c>
      <c r="S42" s="1" t="s">
        <v>297</v>
      </c>
      <c r="T42" s="1" t="s">
        <v>111</v>
      </c>
      <c r="U42" s="1">
        <v>27.0</v>
      </c>
      <c r="V42" s="5" t="s">
        <v>296</v>
      </c>
      <c r="W42" s="1" t="s">
        <v>297</v>
      </c>
      <c r="X42" s="1" t="s">
        <v>299</v>
      </c>
      <c r="Y42" s="4"/>
      <c r="Z42" s="4"/>
      <c r="AA42" s="4" t="b">
        <f>IFERROR(__xludf.DUMMYFUNCTION("IF(X42="""",,REGEXMATCH(X42,""[א-ת]""))"),FALSE)</f>
        <v>0</v>
      </c>
      <c r="AB42" s="1">
        <v>7.03</v>
      </c>
      <c r="AC42" s="1">
        <v>100.0</v>
      </c>
      <c r="AD42" s="1">
        <v>0.267179117020764</v>
      </c>
      <c r="AE42" s="1">
        <v>-0.1002</v>
      </c>
      <c r="AF42" s="1">
        <v>-0.2709</v>
      </c>
      <c r="AG42" s="1">
        <v>6.337</v>
      </c>
      <c r="AH42" s="1">
        <v>6.781</v>
      </c>
      <c r="AI42" s="1" t="b">
        <v>1</v>
      </c>
      <c r="AJ42" s="1" t="b">
        <v>0</v>
      </c>
      <c r="AK42" s="1">
        <v>94.182</v>
      </c>
      <c r="AL42" s="1">
        <v>96.508</v>
      </c>
      <c r="AM42" s="1" t="b">
        <v>0</v>
      </c>
      <c r="AN42" s="1" t="b">
        <v>1</v>
      </c>
      <c r="AO42" s="1">
        <v>8.05</v>
      </c>
      <c r="AP42" s="1">
        <v>8.53399999999999</v>
      </c>
      <c r="AQ42" s="1" t="b">
        <v>1</v>
      </c>
      <c r="AR42" s="1" t="b">
        <v>1</v>
      </c>
      <c r="AS42" s="1">
        <v>86.9179999999999</v>
      </c>
      <c r="AT42" s="1">
        <v>87.152</v>
      </c>
      <c r="AU42" s="1" t="b">
        <v>1</v>
      </c>
      <c r="AV42" s="1" t="b">
        <v>1</v>
      </c>
      <c r="AW42" s="1">
        <v>9.61399999999999</v>
      </c>
      <c r="AX42" s="1">
        <v>11.026</v>
      </c>
      <c r="AY42" s="1" t="b">
        <v>1</v>
      </c>
      <c r="AZ42" s="1" t="b">
        <v>1</v>
      </c>
      <c r="BA42" s="1">
        <v>81.25</v>
      </c>
      <c r="BB42" s="1">
        <v>77.78</v>
      </c>
      <c r="BC42" s="1" t="b">
        <v>1</v>
      </c>
      <c r="BD42" s="1" t="b">
        <v>1</v>
      </c>
      <c r="BE42" s="1">
        <v>11.34</v>
      </c>
      <c r="BF42" s="1">
        <v>13.285</v>
      </c>
      <c r="BG42" s="1" t="b">
        <v>1</v>
      </c>
      <c r="BH42" s="1" t="b">
        <v>1</v>
      </c>
      <c r="BI42" s="1">
        <v>77.78</v>
      </c>
      <c r="BJ42" s="1">
        <v>75.0</v>
      </c>
      <c r="BK42" s="1" t="b">
        <v>1</v>
      </c>
      <c r="BL42" s="1" t="b">
        <v>1</v>
      </c>
      <c r="BM42" s="1">
        <v>13.121</v>
      </c>
      <c r="BN42" s="1">
        <v>14.568</v>
      </c>
      <c r="BO42" s="1" t="b">
        <v>1</v>
      </c>
      <c r="BP42" s="1" t="b">
        <v>1</v>
      </c>
      <c r="BQ42" s="1">
        <v>75.0</v>
      </c>
      <c r="BR42" s="1">
        <v>72.027</v>
      </c>
      <c r="BS42" s="1" t="b">
        <v>1</v>
      </c>
      <c r="BT42" s="1" t="b">
        <v>1</v>
      </c>
      <c r="BU42" s="1" t="s">
        <v>91</v>
      </c>
      <c r="BV42" s="1" t="s">
        <v>157</v>
      </c>
      <c r="BW42" s="1" t="s">
        <v>104</v>
      </c>
      <c r="BX42" s="1" t="s">
        <v>104</v>
      </c>
      <c r="BY42" s="1" t="s">
        <v>104</v>
      </c>
      <c r="BZ42" s="1" t="s">
        <v>104</v>
      </c>
      <c r="CA42" s="1" t="s">
        <v>104</v>
      </c>
      <c r="CB42" s="1" t="s">
        <v>104</v>
      </c>
      <c r="CC42" s="1" t="s">
        <v>104</v>
      </c>
      <c r="CD42" s="1" t="s">
        <v>104</v>
      </c>
      <c r="CE42" s="4"/>
      <c r="CF42" s="4"/>
    </row>
    <row r="43" hidden="1">
      <c r="A43" s="1" t="s">
        <v>82</v>
      </c>
      <c r="B43" s="1" t="s">
        <v>116</v>
      </c>
      <c r="C43" s="1">
        <v>24.0</v>
      </c>
      <c r="D43" s="5" t="s">
        <v>300</v>
      </c>
      <c r="E43" s="1" t="s">
        <v>301</v>
      </c>
      <c r="F43" s="1">
        <v>12.0</v>
      </c>
      <c r="G43" s="1">
        <v>0.0</v>
      </c>
      <c r="H43" s="1" t="s">
        <v>302</v>
      </c>
      <c r="I43" s="4" t="b">
        <f>IFERROR(__xludf.DUMMYFUNCTION("IF(H43="""",,REGEXMATCH(H43,""[א-ת]""))"),FALSE)</f>
        <v>0</v>
      </c>
      <c r="J43" s="4"/>
      <c r="K43" s="4"/>
      <c r="L43" s="1">
        <v>0.0</v>
      </c>
      <c r="M43" s="1">
        <v>4.92</v>
      </c>
      <c r="N43" s="1">
        <v>125.0</v>
      </c>
      <c r="O43" s="1">
        <v>10.41666667</v>
      </c>
      <c r="P43" s="4"/>
      <c r="Q43" s="4"/>
      <c r="R43" s="1" t="s">
        <v>89</v>
      </c>
      <c r="S43" s="1" t="s">
        <v>301</v>
      </c>
      <c r="T43" s="1" t="s">
        <v>116</v>
      </c>
      <c r="U43" s="1">
        <v>25.0</v>
      </c>
      <c r="V43" s="5" t="s">
        <v>300</v>
      </c>
      <c r="W43" s="1" t="s">
        <v>301</v>
      </c>
      <c r="X43" s="1" t="s">
        <v>303</v>
      </c>
      <c r="Y43" s="4"/>
      <c r="Z43" s="4"/>
      <c r="AA43" s="4" t="b">
        <f>IFERROR(__xludf.DUMMYFUNCTION("IF(X43="""",,REGEXMATCH(X43,""[א-ת]""))"),FALSE)</f>
        <v>0</v>
      </c>
      <c r="AB43" s="1">
        <v>7.71</v>
      </c>
      <c r="AC43" s="1">
        <v>108.33</v>
      </c>
      <c r="AD43" s="1">
        <v>0.415000734326594</v>
      </c>
      <c r="AE43" s="1">
        <v>0.0</v>
      </c>
      <c r="AF43" s="1">
        <v>0.0</v>
      </c>
      <c r="AG43" s="1">
        <v>6.337</v>
      </c>
      <c r="AH43" s="1">
        <v>6.781</v>
      </c>
      <c r="AI43" s="1" t="b">
        <v>1</v>
      </c>
      <c r="AJ43" s="1" t="b">
        <v>0</v>
      </c>
      <c r="AK43" s="1">
        <v>94.182</v>
      </c>
      <c r="AL43" s="1">
        <v>96.508</v>
      </c>
      <c r="AM43" s="1" t="b">
        <v>1</v>
      </c>
      <c r="AN43" s="1" t="b">
        <v>1</v>
      </c>
      <c r="AO43" s="1">
        <v>8.05</v>
      </c>
      <c r="AP43" s="1">
        <v>8.53399999999999</v>
      </c>
      <c r="AQ43" s="1" t="b">
        <v>1</v>
      </c>
      <c r="AR43" s="1" t="b">
        <v>1</v>
      </c>
      <c r="AS43" s="1">
        <v>86.9179999999999</v>
      </c>
      <c r="AT43" s="1">
        <v>87.152</v>
      </c>
      <c r="AU43" s="1" t="b">
        <v>1</v>
      </c>
      <c r="AV43" s="1" t="b">
        <v>1</v>
      </c>
      <c r="AW43" s="1">
        <v>9.61399999999999</v>
      </c>
      <c r="AX43" s="1">
        <v>11.026</v>
      </c>
      <c r="AY43" s="1" t="b">
        <v>1</v>
      </c>
      <c r="AZ43" s="1" t="b">
        <v>1</v>
      </c>
      <c r="BA43" s="1">
        <v>81.25</v>
      </c>
      <c r="BB43" s="1">
        <v>77.78</v>
      </c>
      <c r="BC43" s="1" t="b">
        <v>1</v>
      </c>
      <c r="BD43" s="1" t="b">
        <v>1</v>
      </c>
      <c r="BE43" s="1">
        <v>11.34</v>
      </c>
      <c r="BF43" s="1">
        <v>13.285</v>
      </c>
      <c r="BG43" s="1" t="b">
        <v>1</v>
      </c>
      <c r="BH43" s="1" t="b">
        <v>1</v>
      </c>
      <c r="BI43" s="1">
        <v>77.78</v>
      </c>
      <c r="BJ43" s="1">
        <v>75.0</v>
      </c>
      <c r="BK43" s="1" t="b">
        <v>1</v>
      </c>
      <c r="BL43" s="1" t="b">
        <v>1</v>
      </c>
      <c r="BM43" s="1">
        <v>13.121</v>
      </c>
      <c r="BN43" s="1">
        <v>14.568</v>
      </c>
      <c r="BO43" s="1" t="b">
        <v>1</v>
      </c>
      <c r="BP43" s="1" t="b">
        <v>1</v>
      </c>
      <c r="BQ43" s="1">
        <v>75.0</v>
      </c>
      <c r="BR43" s="1">
        <v>72.027</v>
      </c>
      <c r="BS43" s="1" t="b">
        <v>1</v>
      </c>
      <c r="BT43" s="1" t="b">
        <v>1</v>
      </c>
      <c r="BU43" s="1" t="s">
        <v>91</v>
      </c>
      <c r="BV43" s="1" t="s">
        <v>104</v>
      </c>
      <c r="BW43" s="1" t="s">
        <v>104</v>
      </c>
      <c r="BX43" s="1" t="s">
        <v>104</v>
      </c>
      <c r="BY43" s="1" t="s">
        <v>104</v>
      </c>
      <c r="BZ43" s="1" t="s">
        <v>104</v>
      </c>
      <c r="CA43" s="1" t="s">
        <v>104</v>
      </c>
      <c r="CB43" s="1" t="s">
        <v>104</v>
      </c>
      <c r="CC43" s="1" t="s">
        <v>104</v>
      </c>
      <c r="CD43" s="1" t="s">
        <v>104</v>
      </c>
      <c r="CE43" s="4"/>
      <c r="CF43" s="4"/>
    </row>
    <row r="44" hidden="1">
      <c r="A44" s="1" t="s">
        <v>82</v>
      </c>
      <c r="B44" s="1" t="s">
        <v>304</v>
      </c>
      <c r="C44" s="1">
        <v>0.0</v>
      </c>
      <c r="D44" s="5" t="s">
        <v>305</v>
      </c>
      <c r="E44" s="1" t="s">
        <v>306</v>
      </c>
      <c r="F44" s="1">
        <v>9.0</v>
      </c>
      <c r="G44" s="1">
        <v>0.0</v>
      </c>
      <c r="H44" s="1" t="s">
        <v>307</v>
      </c>
      <c r="I44" s="4" t="b">
        <f>IFERROR(__xludf.DUMMYFUNCTION("IF(H44="""",,REGEXMATCH(H44,""[א-ת]""))"),FALSE)</f>
        <v>0</v>
      </c>
      <c r="J44" s="4"/>
      <c r="K44" s="4"/>
      <c r="L44" s="1">
        <v>0.0</v>
      </c>
      <c r="M44" s="1">
        <v>4.99</v>
      </c>
      <c r="N44" s="1">
        <v>77.78</v>
      </c>
      <c r="O44" s="1">
        <v>8.642222222</v>
      </c>
      <c r="P44" s="4"/>
      <c r="Q44" s="4"/>
      <c r="R44" s="1" t="s">
        <v>89</v>
      </c>
      <c r="S44" s="1" t="s">
        <v>306</v>
      </c>
      <c r="T44" s="1" t="s">
        <v>304</v>
      </c>
      <c r="U44" s="1">
        <v>1.0</v>
      </c>
      <c r="V44" s="5" t="s">
        <v>305</v>
      </c>
      <c r="W44" s="1" t="s">
        <v>306</v>
      </c>
      <c r="X44" s="1" t="s">
        <v>308</v>
      </c>
      <c r="Y44" s="4"/>
      <c r="Z44" s="4"/>
      <c r="AA44" s="4" t="b">
        <f>IFERROR(__xludf.DUMMYFUNCTION("IF(X44="""",,REGEXMATCH(X44,""[א-ת]""))"),FALSE)</f>
        <v>0</v>
      </c>
      <c r="AB44" s="1">
        <v>8.52</v>
      </c>
      <c r="AC44" s="1">
        <v>66.67</v>
      </c>
      <c r="AD44" s="1">
        <v>0.373075772044758</v>
      </c>
      <c r="AE44" s="1">
        <v>0.0</v>
      </c>
      <c r="AF44" s="1">
        <v>0.0</v>
      </c>
      <c r="AG44" s="1">
        <v>6.337</v>
      </c>
      <c r="AH44" s="1">
        <v>6.781</v>
      </c>
      <c r="AI44" s="1" t="b">
        <v>1</v>
      </c>
      <c r="AJ44" s="1" t="b">
        <v>0</v>
      </c>
      <c r="AK44" s="1">
        <v>94.182</v>
      </c>
      <c r="AL44" s="1">
        <v>96.508</v>
      </c>
      <c r="AM44" s="1" t="b">
        <v>0</v>
      </c>
      <c r="AN44" s="1" t="b">
        <v>0</v>
      </c>
      <c r="AO44" s="1">
        <v>8.05</v>
      </c>
      <c r="AP44" s="1">
        <v>8.53399999999999</v>
      </c>
      <c r="AQ44" s="1" t="b">
        <v>1</v>
      </c>
      <c r="AR44" s="1" t="b">
        <v>1</v>
      </c>
      <c r="AS44" s="1">
        <v>86.9179999999999</v>
      </c>
      <c r="AT44" s="1">
        <v>87.152</v>
      </c>
      <c r="AU44" s="1" t="b">
        <v>0</v>
      </c>
      <c r="AV44" s="1" t="b">
        <v>0</v>
      </c>
      <c r="AW44" s="1">
        <v>9.61399999999999</v>
      </c>
      <c r="AX44" s="1">
        <v>11.026</v>
      </c>
      <c r="AY44" s="1" t="b">
        <v>1</v>
      </c>
      <c r="AZ44" s="1" t="b">
        <v>1</v>
      </c>
      <c r="BA44" s="1">
        <v>81.25</v>
      </c>
      <c r="BB44" s="1">
        <v>77.78</v>
      </c>
      <c r="BC44" s="1" t="b">
        <v>0</v>
      </c>
      <c r="BD44" s="1" t="b">
        <v>0</v>
      </c>
      <c r="BE44" s="1">
        <v>11.34</v>
      </c>
      <c r="BF44" s="1">
        <v>13.285</v>
      </c>
      <c r="BG44" s="1" t="b">
        <v>1</v>
      </c>
      <c r="BH44" s="1" t="b">
        <v>1</v>
      </c>
      <c r="BI44" s="1">
        <v>77.78</v>
      </c>
      <c r="BJ44" s="1">
        <v>75.0</v>
      </c>
      <c r="BK44" s="1" t="b">
        <v>1</v>
      </c>
      <c r="BL44" s="1" t="b">
        <v>0</v>
      </c>
      <c r="BM44" s="1">
        <v>13.121</v>
      </c>
      <c r="BN44" s="1">
        <v>14.568</v>
      </c>
      <c r="BO44" s="1" t="b">
        <v>1</v>
      </c>
      <c r="BP44" s="1" t="b">
        <v>1</v>
      </c>
      <c r="BQ44" s="1">
        <v>75.0</v>
      </c>
      <c r="BR44" s="1">
        <v>72.027</v>
      </c>
      <c r="BS44" s="1" t="b">
        <v>1</v>
      </c>
      <c r="BT44" s="1" t="b">
        <v>0</v>
      </c>
      <c r="BU44" s="1" t="s">
        <v>91</v>
      </c>
      <c r="BV44" s="1" t="s">
        <v>105</v>
      </c>
      <c r="BW44" s="1" t="s">
        <v>104</v>
      </c>
      <c r="BX44" s="1" t="s">
        <v>105</v>
      </c>
      <c r="BY44" s="1" t="s">
        <v>104</v>
      </c>
      <c r="BZ44" s="1" t="s">
        <v>105</v>
      </c>
      <c r="CA44" s="1" t="s">
        <v>104</v>
      </c>
      <c r="CB44" s="1" t="s">
        <v>91</v>
      </c>
      <c r="CC44" s="1" t="s">
        <v>104</v>
      </c>
      <c r="CD44" s="1" t="s">
        <v>91</v>
      </c>
      <c r="CE44" s="4"/>
      <c r="CF44" s="4"/>
    </row>
    <row r="45" hidden="1">
      <c r="A45" s="1" t="s">
        <v>82</v>
      </c>
      <c r="B45" s="1" t="s">
        <v>158</v>
      </c>
      <c r="C45" s="1">
        <v>13.0</v>
      </c>
      <c r="D45" s="5" t="s">
        <v>309</v>
      </c>
      <c r="E45" s="1" t="s">
        <v>310</v>
      </c>
      <c r="F45" s="1">
        <v>21.0</v>
      </c>
      <c r="G45" s="1">
        <v>0.0</v>
      </c>
      <c r="H45" s="1" t="s">
        <v>311</v>
      </c>
      <c r="I45" s="4" t="b">
        <f>IFERROR(__xludf.DUMMYFUNCTION("IF(H45="""",,REGEXMATCH(H45,""[א-ת]""))"),FALSE)</f>
        <v>0</v>
      </c>
      <c r="J45" s="4"/>
      <c r="K45" s="4"/>
      <c r="L45" s="1">
        <v>0.0</v>
      </c>
      <c r="M45" s="1">
        <v>5.04</v>
      </c>
      <c r="N45" s="1">
        <v>95.24</v>
      </c>
      <c r="O45" s="1">
        <v>4.535238095</v>
      </c>
      <c r="P45" s="4"/>
      <c r="Q45" s="4"/>
      <c r="R45" s="1" t="s">
        <v>89</v>
      </c>
      <c r="S45" s="1" t="s">
        <v>310</v>
      </c>
      <c r="T45" s="1" t="s">
        <v>158</v>
      </c>
      <c r="U45" s="1">
        <v>14.0</v>
      </c>
      <c r="V45" s="5" t="s">
        <v>309</v>
      </c>
      <c r="W45" s="1" t="s">
        <v>310</v>
      </c>
      <c r="X45" s="1" t="s">
        <v>312</v>
      </c>
      <c r="Y45" s="4"/>
      <c r="Z45" s="4"/>
      <c r="AA45" s="4" t="b">
        <f>IFERROR(__xludf.DUMMYFUNCTION("IF(X45="""",,REGEXMATCH(X45,""[א-ת]""))"),TRUE)</f>
        <v>1</v>
      </c>
      <c r="AB45" s="1">
        <v>7.21</v>
      </c>
      <c r="AC45" s="1">
        <v>95.24</v>
      </c>
      <c r="AD45" s="1">
        <v>0.362546428614591</v>
      </c>
      <c r="AE45" s="1">
        <v>0.0</v>
      </c>
      <c r="AF45" s="1">
        <v>0.0</v>
      </c>
      <c r="AG45" s="1">
        <v>6.337</v>
      </c>
      <c r="AH45" s="1">
        <v>6.781</v>
      </c>
      <c r="AI45" s="1" t="b">
        <v>1</v>
      </c>
      <c r="AJ45" s="1" t="b">
        <v>0</v>
      </c>
      <c r="AK45" s="1">
        <v>94.182</v>
      </c>
      <c r="AL45" s="1">
        <v>96.508</v>
      </c>
      <c r="AM45" s="1" t="b">
        <v>1</v>
      </c>
      <c r="AN45" s="1" t="b">
        <v>0</v>
      </c>
      <c r="AO45" s="1">
        <v>8.05</v>
      </c>
      <c r="AP45" s="1">
        <v>8.53399999999999</v>
      </c>
      <c r="AQ45" s="1" t="b">
        <v>1</v>
      </c>
      <c r="AR45" s="1" t="b">
        <v>1</v>
      </c>
      <c r="AS45" s="1">
        <v>86.9179999999999</v>
      </c>
      <c r="AT45" s="1">
        <v>87.152</v>
      </c>
      <c r="AU45" s="1" t="b">
        <v>1</v>
      </c>
      <c r="AV45" s="1" t="b">
        <v>1</v>
      </c>
      <c r="AW45" s="1">
        <v>9.61399999999999</v>
      </c>
      <c r="AX45" s="1">
        <v>11.026</v>
      </c>
      <c r="AY45" s="1" t="b">
        <v>1</v>
      </c>
      <c r="AZ45" s="1" t="b">
        <v>1</v>
      </c>
      <c r="BA45" s="1">
        <v>81.25</v>
      </c>
      <c r="BB45" s="1">
        <v>77.78</v>
      </c>
      <c r="BC45" s="1" t="b">
        <v>1</v>
      </c>
      <c r="BD45" s="1" t="b">
        <v>1</v>
      </c>
      <c r="BE45" s="1">
        <v>11.34</v>
      </c>
      <c r="BF45" s="1">
        <v>13.285</v>
      </c>
      <c r="BG45" s="1" t="b">
        <v>1</v>
      </c>
      <c r="BH45" s="1" t="b">
        <v>1</v>
      </c>
      <c r="BI45" s="1">
        <v>77.78</v>
      </c>
      <c r="BJ45" s="1">
        <v>75.0</v>
      </c>
      <c r="BK45" s="1" t="b">
        <v>1</v>
      </c>
      <c r="BL45" s="1" t="b">
        <v>1</v>
      </c>
      <c r="BM45" s="1">
        <v>13.121</v>
      </c>
      <c r="BN45" s="1">
        <v>14.568</v>
      </c>
      <c r="BO45" s="1" t="b">
        <v>1</v>
      </c>
      <c r="BP45" s="1" t="b">
        <v>1</v>
      </c>
      <c r="BQ45" s="1">
        <v>75.0</v>
      </c>
      <c r="BR45" s="1">
        <v>72.027</v>
      </c>
      <c r="BS45" s="1" t="b">
        <v>1</v>
      </c>
      <c r="BT45" s="1" t="b">
        <v>1</v>
      </c>
      <c r="BU45" s="1" t="s">
        <v>91</v>
      </c>
      <c r="BV45" s="1" t="s">
        <v>91</v>
      </c>
      <c r="BW45" s="1" t="s">
        <v>104</v>
      </c>
      <c r="BX45" s="1" t="s">
        <v>104</v>
      </c>
      <c r="BY45" s="1" t="s">
        <v>104</v>
      </c>
      <c r="BZ45" s="1" t="s">
        <v>104</v>
      </c>
      <c r="CA45" s="1" t="s">
        <v>104</v>
      </c>
      <c r="CB45" s="1" t="s">
        <v>104</v>
      </c>
      <c r="CC45" s="1" t="s">
        <v>104</v>
      </c>
      <c r="CD45" s="1" t="s">
        <v>104</v>
      </c>
      <c r="CE45" s="4"/>
      <c r="CF45" s="4"/>
    </row>
    <row r="46" hidden="1">
      <c r="A46" s="1" t="s">
        <v>82</v>
      </c>
      <c r="B46" s="1" t="s">
        <v>152</v>
      </c>
      <c r="C46" s="1">
        <v>3.0</v>
      </c>
      <c r="D46" s="5" t="s">
        <v>313</v>
      </c>
      <c r="E46" s="1" t="s">
        <v>314</v>
      </c>
      <c r="F46" s="1">
        <v>47.0</v>
      </c>
      <c r="G46" s="1">
        <v>0.0</v>
      </c>
      <c r="H46" s="1" t="s">
        <v>315</v>
      </c>
      <c r="I46" s="4" t="b">
        <f>IFERROR(__xludf.DUMMYFUNCTION("IF(H46="""",,REGEXMATCH(H46,""[א-ת]""))"),FALSE)</f>
        <v>0</v>
      </c>
      <c r="J46" s="4"/>
      <c r="K46" s="4"/>
      <c r="L46" s="1">
        <v>0.0</v>
      </c>
      <c r="M46" s="1">
        <v>5.04</v>
      </c>
      <c r="N46" s="1">
        <v>80.85</v>
      </c>
      <c r="O46" s="1">
        <v>1.720212766</v>
      </c>
      <c r="P46" s="4"/>
      <c r="Q46" s="4"/>
      <c r="R46" s="1" t="s">
        <v>89</v>
      </c>
      <c r="S46" s="1" t="s">
        <v>314</v>
      </c>
      <c r="T46" s="1" t="s">
        <v>152</v>
      </c>
      <c r="U46" s="1">
        <v>4.0</v>
      </c>
      <c r="V46" s="5" t="s">
        <v>313</v>
      </c>
      <c r="W46" s="1" t="s">
        <v>314</v>
      </c>
      <c r="X46" s="1" t="s">
        <v>316</v>
      </c>
      <c r="Y46" s="4"/>
      <c r="Z46" s="4"/>
      <c r="AA46" s="4" t="b">
        <f>IFERROR(__xludf.DUMMYFUNCTION("IF(X46="""",,REGEXMATCH(X46,""[א-ת]""))"),FALSE)</f>
        <v>0</v>
      </c>
      <c r="AB46" s="1">
        <v>18.8</v>
      </c>
      <c r="AC46" s="1">
        <v>72.34</v>
      </c>
      <c r="AD46" s="1">
        <v>0.626042003954914</v>
      </c>
      <c r="AE46" s="1">
        <v>0.0</v>
      </c>
      <c r="AF46" s="1">
        <v>0.0</v>
      </c>
      <c r="AG46" s="1">
        <v>6.337</v>
      </c>
      <c r="AH46" s="1">
        <v>6.781</v>
      </c>
      <c r="AI46" s="1" t="b">
        <v>1</v>
      </c>
      <c r="AJ46" s="1" t="b">
        <v>0</v>
      </c>
      <c r="AK46" s="1">
        <v>94.182</v>
      </c>
      <c r="AL46" s="1">
        <v>96.508</v>
      </c>
      <c r="AM46" s="1" t="b">
        <v>0</v>
      </c>
      <c r="AN46" s="1" t="b">
        <v>0</v>
      </c>
      <c r="AO46" s="1">
        <v>8.05</v>
      </c>
      <c r="AP46" s="1">
        <v>8.53399999999999</v>
      </c>
      <c r="AQ46" s="1" t="b">
        <v>1</v>
      </c>
      <c r="AR46" s="1" t="b">
        <v>0</v>
      </c>
      <c r="AS46" s="1">
        <v>86.9179999999999</v>
      </c>
      <c r="AT46" s="1">
        <v>87.152</v>
      </c>
      <c r="AU46" s="1" t="b">
        <v>0</v>
      </c>
      <c r="AV46" s="1" t="b">
        <v>0</v>
      </c>
      <c r="AW46" s="1">
        <v>9.61399999999999</v>
      </c>
      <c r="AX46" s="1">
        <v>11.026</v>
      </c>
      <c r="AY46" s="1" t="b">
        <v>1</v>
      </c>
      <c r="AZ46" s="1" t="b">
        <v>0</v>
      </c>
      <c r="BA46" s="1">
        <v>81.25</v>
      </c>
      <c r="BB46" s="1">
        <v>77.78</v>
      </c>
      <c r="BC46" s="1" t="b">
        <v>0</v>
      </c>
      <c r="BD46" s="1" t="b">
        <v>0</v>
      </c>
      <c r="BE46" s="1">
        <v>11.34</v>
      </c>
      <c r="BF46" s="1">
        <v>13.285</v>
      </c>
      <c r="BG46" s="1" t="b">
        <v>1</v>
      </c>
      <c r="BH46" s="1" t="b">
        <v>0</v>
      </c>
      <c r="BI46" s="1">
        <v>77.78</v>
      </c>
      <c r="BJ46" s="1">
        <v>75.0</v>
      </c>
      <c r="BK46" s="1" t="b">
        <v>1</v>
      </c>
      <c r="BL46" s="1" t="b">
        <v>0</v>
      </c>
      <c r="BM46" s="1">
        <v>13.121</v>
      </c>
      <c r="BN46" s="1">
        <v>14.568</v>
      </c>
      <c r="BO46" s="1" t="b">
        <v>1</v>
      </c>
      <c r="BP46" s="1" t="b">
        <v>0</v>
      </c>
      <c r="BQ46" s="1">
        <v>75.0</v>
      </c>
      <c r="BR46" s="1">
        <v>72.027</v>
      </c>
      <c r="BS46" s="1" t="b">
        <v>1</v>
      </c>
      <c r="BT46" s="1" t="b">
        <v>1</v>
      </c>
      <c r="BU46" s="1" t="s">
        <v>91</v>
      </c>
      <c r="BV46" s="1" t="s">
        <v>105</v>
      </c>
      <c r="BW46" s="1" t="s">
        <v>91</v>
      </c>
      <c r="BX46" s="1" t="s">
        <v>105</v>
      </c>
      <c r="BY46" s="1" t="s">
        <v>91</v>
      </c>
      <c r="BZ46" s="1" t="s">
        <v>105</v>
      </c>
      <c r="CA46" s="1" t="s">
        <v>91</v>
      </c>
      <c r="CB46" s="1" t="s">
        <v>91</v>
      </c>
      <c r="CC46" s="1" t="s">
        <v>91</v>
      </c>
      <c r="CD46" s="1" t="s">
        <v>104</v>
      </c>
      <c r="CE46" s="4"/>
      <c r="CF46" s="4"/>
    </row>
    <row r="47">
      <c r="A47" s="1" t="s">
        <v>82</v>
      </c>
      <c r="B47" s="1" t="s">
        <v>116</v>
      </c>
      <c r="C47" s="1">
        <v>12.0</v>
      </c>
      <c r="D47" s="5" t="s">
        <v>317</v>
      </c>
      <c r="E47" s="1" t="s">
        <v>318</v>
      </c>
      <c r="F47" s="1">
        <v>12.0</v>
      </c>
      <c r="G47" s="1">
        <v>0.8719</v>
      </c>
      <c r="H47" s="1" t="s">
        <v>319</v>
      </c>
      <c r="I47" s="4" t="b">
        <f>IFERROR(__xludf.DUMMYFUNCTION("IF(H47="""",,REGEXMATCH(H47,""[א-ת]""))"),FALSE)</f>
        <v>0</v>
      </c>
      <c r="J47" s="4"/>
      <c r="K47" s="4"/>
      <c r="L47" s="1">
        <v>0.4404</v>
      </c>
      <c r="M47" s="1">
        <v>5.15</v>
      </c>
      <c r="N47" s="1">
        <v>125.0</v>
      </c>
      <c r="O47" s="1">
        <v>10.41666667</v>
      </c>
      <c r="P47" s="4"/>
      <c r="Q47" s="4"/>
      <c r="R47" s="1" t="s">
        <v>89</v>
      </c>
      <c r="S47" s="1" t="s">
        <v>318</v>
      </c>
      <c r="T47" s="1" t="s">
        <v>116</v>
      </c>
      <c r="U47" s="1">
        <v>13.0</v>
      </c>
      <c r="V47" s="5" t="s">
        <v>317</v>
      </c>
      <c r="W47" s="1" t="s">
        <v>318</v>
      </c>
      <c r="X47" s="1" t="s">
        <v>320</v>
      </c>
      <c r="Y47" s="1" t="s">
        <v>321</v>
      </c>
      <c r="Z47" s="1" t="s">
        <v>322</v>
      </c>
      <c r="AA47" s="4" t="b">
        <f>IFERROR(__xludf.DUMMYFUNCTION("IF(X47="""",,REGEXMATCH(X47,""[א-ת]""))"),TRUE)</f>
        <v>1</v>
      </c>
      <c r="AB47" s="1">
        <v>5.42</v>
      </c>
      <c r="AC47" s="1">
        <v>91.67</v>
      </c>
      <c r="AD47" s="1">
        <v>0.254669012078314</v>
      </c>
      <c r="AE47" s="1">
        <v>0.0</v>
      </c>
      <c r="AF47" s="1">
        <v>0.8719</v>
      </c>
      <c r="AG47" s="1">
        <v>6.337</v>
      </c>
      <c r="AH47" s="1">
        <v>6.781</v>
      </c>
      <c r="AI47" s="1" t="b">
        <v>1</v>
      </c>
      <c r="AJ47" s="1" t="b">
        <v>1</v>
      </c>
      <c r="AK47" s="1">
        <v>94.182</v>
      </c>
      <c r="AL47" s="1">
        <v>96.508</v>
      </c>
      <c r="AM47" s="1" t="b">
        <v>1</v>
      </c>
      <c r="AN47" s="1" t="b">
        <v>0</v>
      </c>
      <c r="AO47" s="1">
        <v>8.05</v>
      </c>
      <c r="AP47" s="1">
        <v>8.53399999999999</v>
      </c>
      <c r="AQ47" s="1" t="b">
        <v>1</v>
      </c>
      <c r="AR47" s="1" t="b">
        <v>1</v>
      </c>
      <c r="AS47" s="1">
        <v>86.9179999999999</v>
      </c>
      <c r="AT47" s="1">
        <v>87.152</v>
      </c>
      <c r="AU47" s="1" t="b">
        <v>1</v>
      </c>
      <c r="AV47" s="1" t="b">
        <v>1</v>
      </c>
      <c r="AW47" s="1">
        <v>9.61399999999999</v>
      </c>
      <c r="AX47" s="1">
        <v>11.026</v>
      </c>
      <c r="AY47" s="1" t="b">
        <v>1</v>
      </c>
      <c r="AZ47" s="1" t="b">
        <v>1</v>
      </c>
      <c r="BA47" s="1">
        <v>81.25</v>
      </c>
      <c r="BB47" s="1">
        <v>77.78</v>
      </c>
      <c r="BC47" s="1" t="b">
        <v>1</v>
      </c>
      <c r="BD47" s="1" t="b">
        <v>1</v>
      </c>
      <c r="BE47" s="1">
        <v>11.34</v>
      </c>
      <c r="BF47" s="1">
        <v>13.285</v>
      </c>
      <c r="BG47" s="1" t="b">
        <v>1</v>
      </c>
      <c r="BH47" s="1" t="b">
        <v>1</v>
      </c>
      <c r="BI47" s="1">
        <v>77.78</v>
      </c>
      <c r="BJ47" s="1">
        <v>75.0</v>
      </c>
      <c r="BK47" s="1" t="b">
        <v>1</v>
      </c>
      <c r="BL47" s="1" t="b">
        <v>1</v>
      </c>
      <c r="BM47" s="1">
        <v>13.121</v>
      </c>
      <c r="BN47" s="1">
        <v>14.568</v>
      </c>
      <c r="BO47" s="1" t="b">
        <v>1</v>
      </c>
      <c r="BP47" s="1" t="b">
        <v>1</v>
      </c>
      <c r="BQ47" s="1">
        <v>75.0</v>
      </c>
      <c r="BR47" s="1">
        <v>72.027</v>
      </c>
      <c r="BS47" s="1" t="b">
        <v>1</v>
      </c>
      <c r="BT47" s="1" t="b">
        <v>1</v>
      </c>
      <c r="BU47" s="1" t="s">
        <v>104</v>
      </c>
      <c r="BV47" s="1" t="s">
        <v>91</v>
      </c>
      <c r="BW47" s="1" t="s">
        <v>104</v>
      </c>
      <c r="BX47" s="1" t="s">
        <v>104</v>
      </c>
      <c r="BY47" s="1" t="s">
        <v>104</v>
      </c>
      <c r="BZ47" s="1" t="s">
        <v>104</v>
      </c>
      <c r="CA47" s="1" t="s">
        <v>104</v>
      </c>
      <c r="CB47" s="1" t="s">
        <v>104</v>
      </c>
      <c r="CC47" s="1" t="s">
        <v>104</v>
      </c>
      <c r="CD47" s="1" t="s">
        <v>104</v>
      </c>
      <c r="CE47" s="4"/>
      <c r="CF47" s="4"/>
    </row>
    <row r="48" hidden="1">
      <c r="A48" s="1" t="s">
        <v>82</v>
      </c>
      <c r="B48" s="1" t="s">
        <v>111</v>
      </c>
      <c r="C48" s="1">
        <v>3.0</v>
      </c>
      <c r="D48" s="5" t="s">
        <v>323</v>
      </c>
      <c r="E48" s="1" t="s">
        <v>324</v>
      </c>
      <c r="F48" s="1">
        <v>21.0</v>
      </c>
      <c r="G48" s="1">
        <v>-0.2263</v>
      </c>
      <c r="H48" s="1" t="s">
        <v>325</v>
      </c>
      <c r="I48" s="4" t="b">
        <f>IFERROR(__xludf.DUMMYFUNCTION("IF(H48="""",,REGEXMATCH(H48,""[א-ת]""))"),FALSE)</f>
        <v>0</v>
      </c>
      <c r="J48" s="4"/>
      <c r="K48" s="4"/>
      <c r="L48" s="1">
        <v>-0.2263</v>
      </c>
      <c r="M48" s="1">
        <v>5.3</v>
      </c>
      <c r="N48" s="1">
        <v>76.19</v>
      </c>
      <c r="O48" s="1">
        <v>3.628095238</v>
      </c>
      <c r="P48" s="4"/>
      <c r="Q48" s="4"/>
      <c r="R48" s="1" t="s">
        <v>89</v>
      </c>
      <c r="S48" s="1" t="s">
        <v>324</v>
      </c>
      <c r="T48" s="1" t="s">
        <v>111</v>
      </c>
      <c r="U48" s="1">
        <v>4.0</v>
      </c>
      <c r="V48" s="5" t="s">
        <v>323</v>
      </c>
      <c r="W48" s="1" t="s">
        <v>324</v>
      </c>
      <c r="X48" s="1" t="s">
        <v>326</v>
      </c>
      <c r="Y48" s="4"/>
      <c r="Z48" s="4"/>
      <c r="AA48" s="4" t="b">
        <f>IFERROR(__xludf.DUMMYFUNCTION("IF(X48="""",,REGEXMATCH(X48,""[א-ת]""))"),FALSE)</f>
        <v>0</v>
      </c>
      <c r="AB48" s="1">
        <v>16.11</v>
      </c>
      <c r="AC48" s="1">
        <v>52.38</v>
      </c>
      <c r="AD48" s="1">
        <v>0.655941843438099</v>
      </c>
      <c r="AE48" s="1">
        <v>-0.2263</v>
      </c>
      <c r="AF48" s="1">
        <v>-0.2263</v>
      </c>
      <c r="AG48" s="1">
        <v>6.337</v>
      </c>
      <c r="AH48" s="1">
        <v>6.781</v>
      </c>
      <c r="AI48" s="1" t="b">
        <v>1</v>
      </c>
      <c r="AJ48" s="1" t="b">
        <v>0</v>
      </c>
      <c r="AK48" s="1">
        <v>94.182</v>
      </c>
      <c r="AL48" s="1">
        <v>96.508</v>
      </c>
      <c r="AM48" s="1" t="b">
        <v>0</v>
      </c>
      <c r="AN48" s="1" t="b">
        <v>0</v>
      </c>
      <c r="AO48" s="1">
        <v>8.05</v>
      </c>
      <c r="AP48" s="1">
        <v>8.53399999999999</v>
      </c>
      <c r="AQ48" s="1" t="b">
        <v>1</v>
      </c>
      <c r="AR48" s="1" t="b">
        <v>0</v>
      </c>
      <c r="AS48" s="1">
        <v>86.9179999999999</v>
      </c>
      <c r="AT48" s="1">
        <v>87.152</v>
      </c>
      <c r="AU48" s="1" t="b">
        <v>0</v>
      </c>
      <c r="AV48" s="1" t="b">
        <v>0</v>
      </c>
      <c r="AW48" s="1">
        <v>9.61399999999999</v>
      </c>
      <c r="AX48" s="1">
        <v>11.026</v>
      </c>
      <c r="AY48" s="1" t="b">
        <v>1</v>
      </c>
      <c r="AZ48" s="1" t="b">
        <v>0</v>
      </c>
      <c r="BA48" s="1">
        <v>81.25</v>
      </c>
      <c r="BB48" s="1">
        <v>77.78</v>
      </c>
      <c r="BC48" s="1" t="b">
        <v>0</v>
      </c>
      <c r="BD48" s="1" t="b">
        <v>0</v>
      </c>
      <c r="BE48" s="1">
        <v>11.34</v>
      </c>
      <c r="BF48" s="1">
        <v>13.285</v>
      </c>
      <c r="BG48" s="1" t="b">
        <v>1</v>
      </c>
      <c r="BH48" s="1" t="b">
        <v>0</v>
      </c>
      <c r="BI48" s="1">
        <v>77.78</v>
      </c>
      <c r="BJ48" s="1">
        <v>75.0</v>
      </c>
      <c r="BK48" s="1" t="b">
        <v>0</v>
      </c>
      <c r="BL48" s="1" t="b">
        <v>0</v>
      </c>
      <c r="BM48" s="1">
        <v>13.121</v>
      </c>
      <c r="BN48" s="1">
        <v>14.568</v>
      </c>
      <c r="BO48" s="1" t="b">
        <v>1</v>
      </c>
      <c r="BP48" s="1" t="b">
        <v>0</v>
      </c>
      <c r="BQ48" s="1">
        <v>75.0</v>
      </c>
      <c r="BR48" s="1">
        <v>72.027</v>
      </c>
      <c r="BS48" s="1" t="b">
        <v>1</v>
      </c>
      <c r="BT48" s="1" t="b">
        <v>0</v>
      </c>
      <c r="BU48" s="1" t="s">
        <v>91</v>
      </c>
      <c r="BV48" s="1" t="s">
        <v>105</v>
      </c>
      <c r="BW48" s="1" t="s">
        <v>91</v>
      </c>
      <c r="BX48" s="1" t="s">
        <v>105</v>
      </c>
      <c r="BY48" s="1" t="s">
        <v>91</v>
      </c>
      <c r="BZ48" s="1" t="s">
        <v>105</v>
      </c>
      <c r="CA48" s="1" t="s">
        <v>91</v>
      </c>
      <c r="CB48" s="1" t="s">
        <v>105</v>
      </c>
      <c r="CC48" s="1" t="s">
        <v>91</v>
      </c>
      <c r="CD48" s="1" t="s">
        <v>91</v>
      </c>
      <c r="CE48" s="4"/>
      <c r="CF48" s="4"/>
    </row>
    <row r="49">
      <c r="A49" s="1" t="s">
        <v>82</v>
      </c>
      <c r="B49" s="1" t="s">
        <v>304</v>
      </c>
      <c r="C49" s="1">
        <v>21.0</v>
      </c>
      <c r="D49" s="5" t="s">
        <v>327</v>
      </c>
      <c r="E49" s="1" t="s">
        <v>328</v>
      </c>
      <c r="F49" s="1">
        <v>15.0</v>
      </c>
      <c r="G49" s="1">
        <v>0.2023</v>
      </c>
      <c r="H49" s="1" t="s">
        <v>329</v>
      </c>
      <c r="I49" s="4" t="b">
        <f>IFERROR(__xludf.DUMMYFUNCTION("IF(H49="""",,REGEXMATCH(H49,""[א-ת]""))"),FALSE)</f>
        <v>0</v>
      </c>
      <c r="J49" s="4"/>
      <c r="K49" s="4"/>
      <c r="L49" s="1">
        <v>0.0</v>
      </c>
      <c r="M49" s="1">
        <v>5.33</v>
      </c>
      <c r="N49" s="1">
        <v>73.33</v>
      </c>
      <c r="O49" s="1">
        <v>4.888666667</v>
      </c>
      <c r="P49" s="4"/>
      <c r="Q49" s="4"/>
      <c r="R49" s="1" t="s">
        <v>89</v>
      </c>
      <c r="S49" s="1" t="s">
        <v>328</v>
      </c>
      <c r="T49" s="1" t="s">
        <v>304</v>
      </c>
      <c r="U49" s="1">
        <v>22.0</v>
      </c>
      <c r="V49" s="5" t="s">
        <v>327</v>
      </c>
      <c r="W49" s="1" t="s">
        <v>328</v>
      </c>
      <c r="X49" s="1" t="s">
        <v>330</v>
      </c>
      <c r="Y49" s="1" t="s">
        <v>331</v>
      </c>
      <c r="Z49" s="1" t="s">
        <v>332</v>
      </c>
      <c r="AA49" s="4" t="b">
        <f>IFERROR(__xludf.DUMMYFUNCTION("IF(X49="""",,REGEXMATCH(X49,""[א-ת]""))"),FALSE)</f>
        <v>0</v>
      </c>
      <c r="AB49" s="1">
        <v>4.57</v>
      </c>
      <c r="AC49" s="1">
        <v>93.33</v>
      </c>
      <c r="AD49" s="1">
        <v>0.219540302390356</v>
      </c>
      <c r="AE49" s="1">
        <v>0.0</v>
      </c>
      <c r="AF49" s="1">
        <v>0.2023</v>
      </c>
      <c r="AG49" s="1">
        <v>6.337</v>
      </c>
      <c r="AH49" s="1">
        <v>6.781</v>
      </c>
      <c r="AI49" s="1" t="b">
        <v>1</v>
      </c>
      <c r="AJ49" s="1" t="b">
        <v>1</v>
      </c>
      <c r="AK49" s="1">
        <v>94.182</v>
      </c>
      <c r="AL49" s="1">
        <v>96.508</v>
      </c>
      <c r="AM49" s="1" t="b">
        <v>0</v>
      </c>
      <c r="AN49" s="1" t="b">
        <v>0</v>
      </c>
      <c r="AO49" s="1">
        <v>8.05</v>
      </c>
      <c r="AP49" s="1">
        <v>8.53399999999999</v>
      </c>
      <c r="AQ49" s="1" t="b">
        <v>1</v>
      </c>
      <c r="AR49" s="1" t="b">
        <v>1</v>
      </c>
      <c r="AS49" s="1">
        <v>86.9179999999999</v>
      </c>
      <c r="AT49" s="1">
        <v>87.152</v>
      </c>
      <c r="AU49" s="1" t="b">
        <v>0</v>
      </c>
      <c r="AV49" s="1" t="b">
        <v>1</v>
      </c>
      <c r="AW49" s="1">
        <v>9.61399999999999</v>
      </c>
      <c r="AX49" s="1">
        <v>11.026</v>
      </c>
      <c r="AY49" s="1" t="b">
        <v>1</v>
      </c>
      <c r="AZ49" s="1" t="b">
        <v>1</v>
      </c>
      <c r="BA49" s="1">
        <v>81.25</v>
      </c>
      <c r="BB49" s="1">
        <v>77.78</v>
      </c>
      <c r="BC49" s="1" t="b">
        <v>0</v>
      </c>
      <c r="BD49" s="1" t="b">
        <v>1</v>
      </c>
      <c r="BE49" s="1">
        <v>11.34</v>
      </c>
      <c r="BF49" s="1">
        <v>13.285</v>
      </c>
      <c r="BG49" s="1" t="b">
        <v>1</v>
      </c>
      <c r="BH49" s="1" t="b">
        <v>1</v>
      </c>
      <c r="BI49" s="1">
        <v>77.78</v>
      </c>
      <c r="BJ49" s="1">
        <v>75.0</v>
      </c>
      <c r="BK49" s="1" t="b">
        <v>0</v>
      </c>
      <c r="BL49" s="1" t="b">
        <v>1</v>
      </c>
      <c r="BM49" s="1">
        <v>13.121</v>
      </c>
      <c r="BN49" s="1">
        <v>14.568</v>
      </c>
      <c r="BO49" s="1" t="b">
        <v>1</v>
      </c>
      <c r="BP49" s="1" t="b">
        <v>1</v>
      </c>
      <c r="BQ49" s="1">
        <v>75.0</v>
      </c>
      <c r="BR49" s="1">
        <v>72.027</v>
      </c>
      <c r="BS49" s="1" t="b">
        <v>0</v>
      </c>
      <c r="BT49" s="1" t="b">
        <v>1</v>
      </c>
      <c r="BU49" s="1" t="s">
        <v>104</v>
      </c>
      <c r="BV49" s="1" t="s">
        <v>105</v>
      </c>
      <c r="BW49" s="1" t="s">
        <v>104</v>
      </c>
      <c r="BX49" s="1" t="s">
        <v>157</v>
      </c>
      <c r="BY49" s="1" t="s">
        <v>104</v>
      </c>
      <c r="BZ49" s="1" t="s">
        <v>157</v>
      </c>
      <c r="CA49" s="1" t="s">
        <v>104</v>
      </c>
      <c r="CB49" s="1" t="s">
        <v>157</v>
      </c>
      <c r="CC49" s="1" t="s">
        <v>104</v>
      </c>
      <c r="CD49" s="1" t="s">
        <v>157</v>
      </c>
      <c r="CE49" s="4"/>
      <c r="CF49" s="4"/>
    </row>
    <row r="50">
      <c r="A50" s="1" t="s">
        <v>82</v>
      </c>
      <c r="B50" s="1" t="s">
        <v>333</v>
      </c>
      <c r="C50" s="1">
        <v>25.0</v>
      </c>
      <c r="D50" s="5" t="s">
        <v>334</v>
      </c>
      <c r="E50" s="1" t="s">
        <v>335</v>
      </c>
      <c r="F50" s="1">
        <v>14.0</v>
      </c>
      <c r="G50" s="1">
        <v>0.0</v>
      </c>
      <c r="H50" s="1" t="s">
        <v>336</v>
      </c>
      <c r="I50" s="4" t="b">
        <f>IFERROR(__xludf.DUMMYFUNCTION("IF(H50="""",,REGEXMATCH(H50,""[א-ת]""))"),FALSE)</f>
        <v>0</v>
      </c>
      <c r="J50" s="4"/>
      <c r="K50" s="4"/>
      <c r="L50" s="1">
        <v>0.0</v>
      </c>
      <c r="M50" s="1">
        <v>5.36</v>
      </c>
      <c r="N50" s="1">
        <v>114.29</v>
      </c>
      <c r="O50" s="1">
        <v>8.163571429</v>
      </c>
      <c r="P50" s="4"/>
      <c r="Q50" s="4"/>
      <c r="R50" s="1" t="s">
        <v>89</v>
      </c>
      <c r="S50" s="1" t="s">
        <v>335</v>
      </c>
      <c r="T50" s="1" t="s">
        <v>333</v>
      </c>
      <c r="U50" s="1">
        <v>26.0</v>
      </c>
      <c r="V50" s="5" t="s">
        <v>334</v>
      </c>
      <c r="W50" s="1" t="s">
        <v>335</v>
      </c>
      <c r="X50" s="1" t="s">
        <v>337</v>
      </c>
      <c r="Y50" s="1" t="s">
        <v>338</v>
      </c>
      <c r="Z50" s="1" t="s">
        <v>339</v>
      </c>
      <c r="AA50" s="4" t="b">
        <f>IFERROR(__xludf.DUMMYFUNCTION("IF(X50="""",,REGEXMATCH(X50,""[א-ת]""))"),FALSE)</f>
        <v>0</v>
      </c>
      <c r="AB50" s="1">
        <v>6.11</v>
      </c>
      <c r="AC50" s="1">
        <v>78.57</v>
      </c>
      <c r="AD50" s="1">
        <v>0.321755665862429</v>
      </c>
      <c r="AE50" s="1">
        <v>0.0</v>
      </c>
      <c r="AF50" s="1">
        <v>0.0</v>
      </c>
      <c r="AG50" s="1">
        <v>6.337</v>
      </c>
      <c r="AH50" s="1">
        <v>6.781</v>
      </c>
      <c r="AI50" s="1" t="b">
        <v>1</v>
      </c>
      <c r="AJ50" s="1" t="b">
        <v>1</v>
      </c>
      <c r="AK50" s="1">
        <v>94.182</v>
      </c>
      <c r="AL50" s="1">
        <v>96.508</v>
      </c>
      <c r="AM50" s="1" t="b">
        <v>1</v>
      </c>
      <c r="AN50" s="1" t="b">
        <v>0</v>
      </c>
      <c r="AO50" s="1">
        <v>8.05</v>
      </c>
      <c r="AP50" s="1">
        <v>8.53399999999999</v>
      </c>
      <c r="AQ50" s="1" t="b">
        <v>1</v>
      </c>
      <c r="AR50" s="1" t="b">
        <v>1</v>
      </c>
      <c r="AS50" s="1">
        <v>86.9179999999999</v>
      </c>
      <c r="AT50" s="1">
        <v>87.152</v>
      </c>
      <c r="AU50" s="1" t="b">
        <v>1</v>
      </c>
      <c r="AV50" s="1" t="b">
        <v>0</v>
      </c>
      <c r="AW50" s="1">
        <v>9.61399999999999</v>
      </c>
      <c r="AX50" s="1">
        <v>11.026</v>
      </c>
      <c r="AY50" s="1" t="b">
        <v>1</v>
      </c>
      <c r="AZ50" s="1" t="b">
        <v>1</v>
      </c>
      <c r="BA50" s="1">
        <v>81.25</v>
      </c>
      <c r="BB50" s="1">
        <v>77.78</v>
      </c>
      <c r="BC50" s="1" t="b">
        <v>1</v>
      </c>
      <c r="BD50" s="1" t="b">
        <v>1</v>
      </c>
      <c r="BE50" s="1">
        <v>11.34</v>
      </c>
      <c r="BF50" s="1">
        <v>13.285</v>
      </c>
      <c r="BG50" s="1" t="b">
        <v>1</v>
      </c>
      <c r="BH50" s="1" t="b">
        <v>1</v>
      </c>
      <c r="BI50" s="1">
        <v>77.78</v>
      </c>
      <c r="BJ50" s="1">
        <v>75.0</v>
      </c>
      <c r="BK50" s="1" t="b">
        <v>1</v>
      </c>
      <c r="BL50" s="1" t="b">
        <v>1</v>
      </c>
      <c r="BM50" s="1">
        <v>13.121</v>
      </c>
      <c r="BN50" s="1">
        <v>14.568</v>
      </c>
      <c r="BO50" s="1" t="b">
        <v>1</v>
      </c>
      <c r="BP50" s="1" t="b">
        <v>1</v>
      </c>
      <c r="BQ50" s="1">
        <v>75.0</v>
      </c>
      <c r="BR50" s="1">
        <v>72.027</v>
      </c>
      <c r="BS50" s="1" t="b">
        <v>1</v>
      </c>
      <c r="BT50" s="1" t="b">
        <v>1</v>
      </c>
      <c r="BU50" s="1" t="s">
        <v>104</v>
      </c>
      <c r="BV50" s="1" t="s">
        <v>91</v>
      </c>
      <c r="BW50" s="1" t="s">
        <v>104</v>
      </c>
      <c r="BX50" s="1" t="s">
        <v>91</v>
      </c>
      <c r="BY50" s="1" t="s">
        <v>104</v>
      </c>
      <c r="BZ50" s="1" t="s">
        <v>104</v>
      </c>
      <c r="CA50" s="1" t="s">
        <v>104</v>
      </c>
      <c r="CB50" s="1" t="s">
        <v>104</v>
      </c>
      <c r="CC50" s="1" t="s">
        <v>104</v>
      </c>
      <c r="CD50" s="1" t="s">
        <v>104</v>
      </c>
      <c r="CE50" s="4"/>
      <c r="CF50" s="4"/>
    </row>
    <row r="51" hidden="1">
      <c r="A51" s="1" t="s">
        <v>82</v>
      </c>
      <c r="B51" s="1" t="s">
        <v>92</v>
      </c>
      <c r="C51" s="1">
        <v>15.0</v>
      </c>
      <c r="D51" s="5" t="s">
        <v>340</v>
      </c>
      <c r="E51" s="1" t="s">
        <v>341</v>
      </c>
      <c r="F51" s="1">
        <v>13.0</v>
      </c>
      <c r="G51" s="1">
        <v>0.0258</v>
      </c>
      <c r="H51" s="1" t="s">
        <v>342</v>
      </c>
      <c r="I51" s="4" t="b">
        <f>IFERROR(__xludf.DUMMYFUNCTION("IF(H51="""",,REGEXMATCH(H51,""[א-ת]""))"),FALSE)</f>
        <v>0</v>
      </c>
      <c r="J51" s="4"/>
      <c r="K51" s="4"/>
      <c r="L51" s="1">
        <v>0.0258</v>
      </c>
      <c r="M51" s="1">
        <v>5.41</v>
      </c>
      <c r="N51" s="1">
        <v>76.92</v>
      </c>
      <c r="O51" s="1">
        <v>5.916923077</v>
      </c>
      <c r="P51" s="4"/>
      <c r="Q51" s="4"/>
      <c r="R51" s="1" t="s">
        <v>96</v>
      </c>
      <c r="S51" s="1" t="s">
        <v>341</v>
      </c>
      <c r="T51" s="1" t="s">
        <v>92</v>
      </c>
      <c r="U51" s="1">
        <v>16.0</v>
      </c>
      <c r="V51" s="5" t="s">
        <v>340</v>
      </c>
      <c r="W51" s="1" t="s">
        <v>341</v>
      </c>
      <c r="X51" s="1" t="s">
        <v>343</v>
      </c>
      <c r="Y51" s="4"/>
      <c r="Z51" s="4"/>
      <c r="AA51" s="4" t="b">
        <f>IFERROR(__xludf.DUMMYFUNCTION("IF(X51="""",,REGEXMATCH(X51,""[א-ת]""))"),FALSE)</f>
        <v>0</v>
      </c>
      <c r="AB51" s="1">
        <v>6.97</v>
      </c>
      <c r="AC51" s="1">
        <v>76.92</v>
      </c>
      <c r="AD51" s="1">
        <v>0.602267161165122</v>
      </c>
      <c r="AE51" s="1">
        <v>-0.2732</v>
      </c>
      <c r="AF51" s="1">
        <v>0.0258</v>
      </c>
      <c r="AG51" s="1">
        <v>6.337</v>
      </c>
      <c r="AH51" s="1">
        <v>6.781</v>
      </c>
      <c r="AI51" s="1" t="b">
        <v>1</v>
      </c>
      <c r="AJ51" s="1" t="b">
        <v>0</v>
      </c>
      <c r="AK51" s="1">
        <v>94.182</v>
      </c>
      <c r="AL51" s="1">
        <v>96.508</v>
      </c>
      <c r="AM51" s="1" t="b">
        <v>0</v>
      </c>
      <c r="AN51" s="1" t="b">
        <v>0</v>
      </c>
      <c r="AO51" s="1">
        <v>8.05</v>
      </c>
      <c r="AP51" s="1">
        <v>8.53399999999999</v>
      </c>
      <c r="AQ51" s="1" t="b">
        <v>1</v>
      </c>
      <c r="AR51" s="1" t="b">
        <v>1</v>
      </c>
      <c r="AS51" s="1">
        <v>86.9179999999999</v>
      </c>
      <c r="AT51" s="1">
        <v>87.152</v>
      </c>
      <c r="AU51" s="1" t="b">
        <v>0</v>
      </c>
      <c r="AV51" s="1" t="b">
        <v>0</v>
      </c>
      <c r="AW51" s="1">
        <v>9.61399999999999</v>
      </c>
      <c r="AX51" s="1">
        <v>11.026</v>
      </c>
      <c r="AY51" s="1" t="b">
        <v>1</v>
      </c>
      <c r="AZ51" s="1" t="b">
        <v>1</v>
      </c>
      <c r="BA51" s="1">
        <v>81.25</v>
      </c>
      <c r="BB51" s="1">
        <v>77.78</v>
      </c>
      <c r="BC51" s="1" t="b">
        <v>0</v>
      </c>
      <c r="BD51" s="1" t="b">
        <v>0</v>
      </c>
      <c r="BE51" s="1">
        <v>11.34</v>
      </c>
      <c r="BF51" s="1">
        <v>13.285</v>
      </c>
      <c r="BG51" s="1" t="b">
        <v>1</v>
      </c>
      <c r="BH51" s="1" t="b">
        <v>1</v>
      </c>
      <c r="BI51" s="1">
        <v>77.78</v>
      </c>
      <c r="BJ51" s="1">
        <v>75.0</v>
      </c>
      <c r="BK51" s="1" t="b">
        <v>0</v>
      </c>
      <c r="BL51" s="1" t="b">
        <v>1</v>
      </c>
      <c r="BM51" s="1">
        <v>13.121</v>
      </c>
      <c r="BN51" s="1">
        <v>14.568</v>
      </c>
      <c r="BO51" s="1" t="b">
        <v>1</v>
      </c>
      <c r="BP51" s="1" t="b">
        <v>1</v>
      </c>
      <c r="BQ51" s="1">
        <v>75.0</v>
      </c>
      <c r="BR51" s="1">
        <v>72.027</v>
      </c>
      <c r="BS51" s="1" t="b">
        <v>1</v>
      </c>
      <c r="BT51" s="1" t="b">
        <v>1</v>
      </c>
      <c r="BU51" s="1" t="s">
        <v>91</v>
      </c>
      <c r="BV51" s="1" t="s">
        <v>105</v>
      </c>
      <c r="BW51" s="1" t="s">
        <v>104</v>
      </c>
      <c r="BX51" s="1" t="s">
        <v>105</v>
      </c>
      <c r="BY51" s="1" t="s">
        <v>104</v>
      </c>
      <c r="BZ51" s="1" t="s">
        <v>105</v>
      </c>
      <c r="CA51" s="1" t="s">
        <v>104</v>
      </c>
      <c r="CB51" s="1" t="s">
        <v>157</v>
      </c>
      <c r="CC51" s="1" t="s">
        <v>104</v>
      </c>
      <c r="CD51" s="1" t="s">
        <v>104</v>
      </c>
      <c r="CE51" s="4"/>
      <c r="CF51" s="4"/>
    </row>
    <row r="52" hidden="1">
      <c r="A52" s="1" t="s">
        <v>82</v>
      </c>
      <c r="B52" s="1" t="s">
        <v>145</v>
      </c>
      <c r="C52" s="1">
        <v>11.0</v>
      </c>
      <c r="D52" s="5" t="s">
        <v>344</v>
      </c>
      <c r="E52" s="1" t="s">
        <v>345</v>
      </c>
      <c r="F52" s="1">
        <v>12.0</v>
      </c>
      <c r="G52" s="1">
        <v>0.0</v>
      </c>
      <c r="H52" s="1" t="s">
        <v>346</v>
      </c>
      <c r="I52" s="4" t="b">
        <f>IFERROR(__xludf.DUMMYFUNCTION("IF(H52="""",,REGEXMATCH(H52,""[א-ת]""))"),FALSE)</f>
        <v>0</v>
      </c>
      <c r="J52" s="4"/>
      <c r="K52" s="4"/>
      <c r="L52" s="1">
        <v>0.0</v>
      </c>
      <c r="M52" s="1">
        <v>5.42</v>
      </c>
      <c r="N52" s="1">
        <v>100.0</v>
      </c>
      <c r="O52" s="1">
        <v>8.333333333</v>
      </c>
      <c r="P52" s="4"/>
      <c r="Q52" s="4"/>
      <c r="R52" s="1" t="s">
        <v>89</v>
      </c>
      <c r="S52" s="1" t="s">
        <v>345</v>
      </c>
      <c r="T52" s="1" t="s">
        <v>145</v>
      </c>
      <c r="U52" s="1">
        <v>12.0</v>
      </c>
      <c r="V52" s="5" t="s">
        <v>344</v>
      </c>
      <c r="W52" s="1" t="s">
        <v>345</v>
      </c>
      <c r="X52" s="1" t="s">
        <v>347</v>
      </c>
      <c r="Y52" s="4"/>
      <c r="Z52" s="4"/>
      <c r="AA52" s="4" t="b">
        <f>IFERROR(__xludf.DUMMYFUNCTION("IF(X52="""",,REGEXMATCH(X52,""[א-ת]""))"),FALSE)</f>
        <v>0</v>
      </c>
      <c r="AB52" s="1">
        <v>15.98</v>
      </c>
      <c r="AC52" s="1">
        <v>116.67</v>
      </c>
      <c r="AD52" s="1">
        <v>0.390193385600881</v>
      </c>
      <c r="AE52" s="1">
        <v>0.0</v>
      </c>
      <c r="AF52" s="1">
        <v>0.0</v>
      </c>
      <c r="AG52" s="1">
        <v>6.337</v>
      </c>
      <c r="AH52" s="1">
        <v>6.781</v>
      </c>
      <c r="AI52" s="1" t="b">
        <v>1</v>
      </c>
      <c r="AJ52" s="1" t="b">
        <v>0</v>
      </c>
      <c r="AK52" s="1">
        <v>94.182</v>
      </c>
      <c r="AL52" s="1">
        <v>96.508</v>
      </c>
      <c r="AM52" s="1" t="b">
        <v>1</v>
      </c>
      <c r="AN52" s="1" t="b">
        <v>1</v>
      </c>
      <c r="AO52" s="1">
        <v>8.05</v>
      </c>
      <c r="AP52" s="1">
        <v>8.53399999999999</v>
      </c>
      <c r="AQ52" s="1" t="b">
        <v>1</v>
      </c>
      <c r="AR52" s="1" t="b">
        <v>0</v>
      </c>
      <c r="AS52" s="1">
        <v>86.9179999999999</v>
      </c>
      <c r="AT52" s="1">
        <v>87.152</v>
      </c>
      <c r="AU52" s="1" t="b">
        <v>1</v>
      </c>
      <c r="AV52" s="1" t="b">
        <v>1</v>
      </c>
      <c r="AW52" s="1">
        <v>9.61399999999999</v>
      </c>
      <c r="AX52" s="1">
        <v>11.026</v>
      </c>
      <c r="AY52" s="1" t="b">
        <v>1</v>
      </c>
      <c r="AZ52" s="1" t="b">
        <v>0</v>
      </c>
      <c r="BA52" s="1">
        <v>81.25</v>
      </c>
      <c r="BB52" s="1">
        <v>77.78</v>
      </c>
      <c r="BC52" s="1" t="b">
        <v>1</v>
      </c>
      <c r="BD52" s="1" t="b">
        <v>1</v>
      </c>
      <c r="BE52" s="1">
        <v>11.34</v>
      </c>
      <c r="BF52" s="1">
        <v>13.285</v>
      </c>
      <c r="BG52" s="1" t="b">
        <v>1</v>
      </c>
      <c r="BH52" s="1" t="b">
        <v>0</v>
      </c>
      <c r="BI52" s="1">
        <v>77.78</v>
      </c>
      <c r="BJ52" s="1">
        <v>75.0</v>
      </c>
      <c r="BK52" s="1" t="b">
        <v>1</v>
      </c>
      <c r="BL52" s="1" t="b">
        <v>1</v>
      </c>
      <c r="BM52" s="1">
        <v>13.121</v>
      </c>
      <c r="BN52" s="1">
        <v>14.568</v>
      </c>
      <c r="BO52" s="1" t="b">
        <v>1</v>
      </c>
      <c r="BP52" s="1" t="b">
        <v>0</v>
      </c>
      <c r="BQ52" s="1">
        <v>75.0</v>
      </c>
      <c r="BR52" s="1">
        <v>72.027</v>
      </c>
      <c r="BS52" s="1" t="b">
        <v>1</v>
      </c>
      <c r="BT52" s="1" t="b">
        <v>1</v>
      </c>
      <c r="BU52" s="1" t="s">
        <v>91</v>
      </c>
      <c r="BV52" s="1" t="s">
        <v>104</v>
      </c>
      <c r="BW52" s="1" t="s">
        <v>91</v>
      </c>
      <c r="BX52" s="1" t="s">
        <v>104</v>
      </c>
      <c r="BY52" s="1" t="s">
        <v>91</v>
      </c>
      <c r="BZ52" s="1" t="s">
        <v>104</v>
      </c>
      <c r="CA52" s="1" t="s">
        <v>91</v>
      </c>
      <c r="CB52" s="1" t="s">
        <v>104</v>
      </c>
      <c r="CC52" s="1" t="s">
        <v>91</v>
      </c>
      <c r="CD52" s="1" t="s">
        <v>104</v>
      </c>
      <c r="CE52" s="4"/>
      <c r="CF52" s="4"/>
    </row>
    <row r="53" hidden="1">
      <c r="A53" s="1" t="s">
        <v>82</v>
      </c>
      <c r="B53" s="1" t="s">
        <v>333</v>
      </c>
      <c r="C53" s="1">
        <v>18.0</v>
      </c>
      <c r="D53" s="5" t="s">
        <v>348</v>
      </c>
      <c r="E53" s="1" t="s">
        <v>349</v>
      </c>
      <c r="F53" s="1">
        <v>34.0</v>
      </c>
      <c r="G53" s="1">
        <v>-0.6997</v>
      </c>
      <c r="H53" s="1" t="s">
        <v>350</v>
      </c>
      <c r="I53" s="4" t="b">
        <f>IFERROR(__xludf.DUMMYFUNCTION("IF(H53="""",,REGEXMATCH(H53,""[א-ת]""))"),FALSE)</f>
        <v>0</v>
      </c>
      <c r="J53" s="4"/>
      <c r="K53" s="4"/>
      <c r="L53" s="1">
        <v>0.1179</v>
      </c>
      <c r="M53" s="1">
        <v>5.45</v>
      </c>
      <c r="N53" s="1">
        <v>114.71</v>
      </c>
      <c r="O53" s="1">
        <v>3.373823529</v>
      </c>
      <c r="P53" s="4"/>
      <c r="Q53" s="4"/>
      <c r="R53" s="1" t="s">
        <v>89</v>
      </c>
      <c r="S53" s="1" t="s">
        <v>349</v>
      </c>
      <c r="T53" s="1" t="s">
        <v>333</v>
      </c>
      <c r="U53" s="1">
        <v>19.0</v>
      </c>
      <c r="V53" s="5" t="s">
        <v>348</v>
      </c>
      <c r="W53" s="1" t="s">
        <v>349</v>
      </c>
      <c r="X53" s="1" t="s">
        <v>351</v>
      </c>
      <c r="Y53" s="4"/>
      <c r="Z53" s="4"/>
      <c r="AA53" s="4" t="b">
        <f>IFERROR(__xludf.DUMMYFUNCTION("IF(X53="""",,REGEXMATCH(X53,""[א-ת]""))"),FALSE)</f>
        <v>0</v>
      </c>
      <c r="AB53" s="1">
        <v>9.35</v>
      </c>
      <c r="AC53" s="1">
        <v>94.12</v>
      </c>
      <c r="AD53" s="1">
        <v>0.469745122503531</v>
      </c>
      <c r="AE53" s="1">
        <v>-0.5413</v>
      </c>
      <c r="AF53" s="1">
        <v>-0.6997</v>
      </c>
      <c r="AG53" s="1">
        <v>6.337</v>
      </c>
      <c r="AH53" s="1">
        <v>6.781</v>
      </c>
      <c r="AI53" s="1" t="b">
        <v>1</v>
      </c>
      <c r="AJ53" s="1" t="b">
        <v>0</v>
      </c>
      <c r="AK53" s="1">
        <v>94.182</v>
      </c>
      <c r="AL53" s="1">
        <v>96.508</v>
      </c>
      <c r="AM53" s="1" t="b">
        <v>1</v>
      </c>
      <c r="AN53" s="1" t="b">
        <v>0</v>
      </c>
      <c r="AO53" s="1">
        <v>8.05</v>
      </c>
      <c r="AP53" s="1">
        <v>8.53399999999999</v>
      </c>
      <c r="AQ53" s="1" t="b">
        <v>1</v>
      </c>
      <c r="AR53" s="1" t="b">
        <v>0</v>
      </c>
      <c r="AS53" s="1">
        <v>86.9179999999999</v>
      </c>
      <c r="AT53" s="1">
        <v>87.152</v>
      </c>
      <c r="AU53" s="1" t="b">
        <v>1</v>
      </c>
      <c r="AV53" s="1" t="b">
        <v>1</v>
      </c>
      <c r="AW53" s="1">
        <v>9.61399999999999</v>
      </c>
      <c r="AX53" s="1">
        <v>11.026</v>
      </c>
      <c r="AY53" s="1" t="b">
        <v>1</v>
      </c>
      <c r="AZ53" s="1" t="b">
        <v>1</v>
      </c>
      <c r="BA53" s="1">
        <v>81.25</v>
      </c>
      <c r="BB53" s="1">
        <v>77.78</v>
      </c>
      <c r="BC53" s="1" t="b">
        <v>1</v>
      </c>
      <c r="BD53" s="1" t="b">
        <v>1</v>
      </c>
      <c r="BE53" s="1">
        <v>11.34</v>
      </c>
      <c r="BF53" s="1">
        <v>13.285</v>
      </c>
      <c r="BG53" s="1" t="b">
        <v>1</v>
      </c>
      <c r="BH53" s="1" t="b">
        <v>1</v>
      </c>
      <c r="BI53" s="1">
        <v>77.78</v>
      </c>
      <c r="BJ53" s="1">
        <v>75.0</v>
      </c>
      <c r="BK53" s="1" t="b">
        <v>1</v>
      </c>
      <c r="BL53" s="1" t="b">
        <v>1</v>
      </c>
      <c r="BM53" s="1">
        <v>13.121</v>
      </c>
      <c r="BN53" s="1">
        <v>14.568</v>
      </c>
      <c r="BO53" s="1" t="b">
        <v>1</v>
      </c>
      <c r="BP53" s="1" t="b">
        <v>1</v>
      </c>
      <c r="BQ53" s="1">
        <v>75.0</v>
      </c>
      <c r="BR53" s="1">
        <v>72.027</v>
      </c>
      <c r="BS53" s="1" t="b">
        <v>1</v>
      </c>
      <c r="BT53" s="1" t="b">
        <v>1</v>
      </c>
      <c r="BU53" s="1" t="s">
        <v>91</v>
      </c>
      <c r="BV53" s="1" t="s">
        <v>91</v>
      </c>
      <c r="BW53" s="1" t="s">
        <v>91</v>
      </c>
      <c r="BX53" s="1" t="s">
        <v>104</v>
      </c>
      <c r="BY53" s="1" t="s">
        <v>104</v>
      </c>
      <c r="BZ53" s="1" t="s">
        <v>104</v>
      </c>
      <c r="CA53" s="1" t="s">
        <v>104</v>
      </c>
      <c r="CB53" s="1" t="s">
        <v>104</v>
      </c>
      <c r="CC53" s="1" t="s">
        <v>104</v>
      </c>
      <c r="CD53" s="1" t="s">
        <v>104</v>
      </c>
      <c r="CE53" s="4"/>
      <c r="CF53" s="4"/>
    </row>
    <row r="54" hidden="1">
      <c r="A54" s="1" t="s">
        <v>82</v>
      </c>
      <c r="B54" s="1" t="s">
        <v>116</v>
      </c>
      <c r="C54" s="1">
        <v>13.0</v>
      </c>
      <c r="D54" s="5" t="s">
        <v>352</v>
      </c>
      <c r="E54" s="1" t="s">
        <v>353</v>
      </c>
      <c r="F54" s="1">
        <v>13.0</v>
      </c>
      <c r="G54" s="1">
        <v>0.5106</v>
      </c>
      <c r="H54" s="1" t="s">
        <v>354</v>
      </c>
      <c r="I54" s="4" t="b">
        <f>IFERROR(__xludf.DUMMYFUNCTION("IF(H54="""",,REGEXMATCH(H54,""[א-ת]""))"),FALSE)</f>
        <v>0</v>
      </c>
      <c r="J54" s="4"/>
      <c r="K54" s="4"/>
      <c r="L54" s="1">
        <v>0.0</v>
      </c>
      <c r="M54" s="1">
        <v>5.48</v>
      </c>
      <c r="N54" s="1">
        <v>92.31</v>
      </c>
      <c r="O54" s="1">
        <v>7.100769231</v>
      </c>
      <c r="P54" s="4"/>
      <c r="Q54" s="4"/>
      <c r="R54" s="1" t="s">
        <v>89</v>
      </c>
      <c r="S54" s="1" t="s">
        <v>353</v>
      </c>
      <c r="T54" s="1" t="s">
        <v>116</v>
      </c>
      <c r="U54" s="1">
        <v>14.0</v>
      </c>
      <c r="V54" s="5" t="s">
        <v>352</v>
      </c>
      <c r="W54" s="1" t="s">
        <v>353</v>
      </c>
      <c r="X54" s="1" t="s">
        <v>355</v>
      </c>
      <c r="Y54" s="4"/>
      <c r="Z54" s="4"/>
      <c r="AA54" s="4" t="b">
        <f>IFERROR(__xludf.DUMMYFUNCTION("IF(X54="""",,REGEXMATCH(X54,""[א-ת]""))"),TRUE)</f>
        <v>1</v>
      </c>
      <c r="AB54" s="1">
        <v>7.68</v>
      </c>
      <c r="AC54" s="1">
        <v>84.62</v>
      </c>
      <c r="AD54" s="1">
        <v>0.416624516733804</v>
      </c>
      <c r="AE54" s="1">
        <v>0.0</v>
      </c>
      <c r="AF54" s="1">
        <v>0.5106</v>
      </c>
      <c r="AG54" s="1">
        <v>6.337</v>
      </c>
      <c r="AH54" s="1">
        <v>6.781</v>
      </c>
      <c r="AI54" s="1" t="b">
        <v>1</v>
      </c>
      <c r="AJ54" s="1" t="b">
        <v>0</v>
      </c>
      <c r="AK54" s="1">
        <v>94.182</v>
      </c>
      <c r="AL54" s="1">
        <v>96.508</v>
      </c>
      <c r="AM54" s="1" t="b">
        <v>0</v>
      </c>
      <c r="AN54" s="1" t="b">
        <v>0</v>
      </c>
      <c r="AO54" s="1">
        <v>8.05</v>
      </c>
      <c r="AP54" s="1">
        <v>8.53399999999999</v>
      </c>
      <c r="AQ54" s="1" t="b">
        <v>1</v>
      </c>
      <c r="AR54" s="1" t="b">
        <v>1</v>
      </c>
      <c r="AS54" s="1">
        <v>86.9179999999999</v>
      </c>
      <c r="AT54" s="1">
        <v>87.152</v>
      </c>
      <c r="AU54" s="1" t="b">
        <v>1</v>
      </c>
      <c r="AV54" s="1" t="b">
        <v>0</v>
      </c>
      <c r="AW54" s="1">
        <v>9.61399999999999</v>
      </c>
      <c r="AX54" s="1">
        <v>11.026</v>
      </c>
      <c r="AY54" s="1" t="b">
        <v>1</v>
      </c>
      <c r="AZ54" s="1" t="b">
        <v>1</v>
      </c>
      <c r="BA54" s="1">
        <v>81.25</v>
      </c>
      <c r="BB54" s="1">
        <v>77.78</v>
      </c>
      <c r="BC54" s="1" t="b">
        <v>1</v>
      </c>
      <c r="BD54" s="1" t="b">
        <v>1</v>
      </c>
      <c r="BE54" s="1">
        <v>11.34</v>
      </c>
      <c r="BF54" s="1">
        <v>13.285</v>
      </c>
      <c r="BG54" s="1" t="b">
        <v>1</v>
      </c>
      <c r="BH54" s="1" t="b">
        <v>1</v>
      </c>
      <c r="BI54" s="1">
        <v>77.78</v>
      </c>
      <c r="BJ54" s="1">
        <v>75.0</v>
      </c>
      <c r="BK54" s="1" t="b">
        <v>1</v>
      </c>
      <c r="BL54" s="1" t="b">
        <v>1</v>
      </c>
      <c r="BM54" s="1">
        <v>13.121</v>
      </c>
      <c r="BN54" s="1">
        <v>14.568</v>
      </c>
      <c r="BO54" s="1" t="b">
        <v>1</v>
      </c>
      <c r="BP54" s="1" t="b">
        <v>1</v>
      </c>
      <c r="BQ54" s="1">
        <v>75.0</v>
      </c>
      <c r="BR54" s="1">
        <v>72.027</v>
      </c>
      <c r="BS54" s="1" t="b">
        <v>1</v>
      </c>
      <c r="BT54" s="1" t="b">
        <v>1</v>
      </c>
      <c r="BU54" s="1" t="s">
        <v>91</v>
      </c>
      <c r="BV54" s="1" t="s">
        <v>105</v>
      </c>
      <c r="BW54" s="1" t="s">
        <v>104</v>
      </c>
      <c r="BX54" s="1" t="s">
        <v>91</v>
      </c>
      <c r="BY54" s="1" t="s">
        <v>104</v>
      </c>
      <c r="BZ54" s="1" t="s">
        <v>104</v>
      </c>
      <c r="CA54" s="1" t="s">
        <v>104</v>
      </c>
      <c r="CB54" s="1" t="s">
        <v>104</v>
      </c>
      <c r="CC54" s="1" t="s">
        <v>104</v>
      </c>
      <c r="CD54" s="1" t="s">
        <v>104</v>
      </c>
      <c r="CE54" s="4"/>
      <c r="CF54" s="4"/>
    </row>
    <row r="55" hidden="1">
      <c r="A55" s="1" t="s">
        <v>82</v>
      </c>
      <c r="B55" s="1" t="s">
        <v>98</v>
      </c>
      <c r="C55" s="1">
        <v>10.0</v>
      </c>
      <c r="D55" s="5" t="s">
        <v>356</v>
      </c>
      <c r="E55" s="1" t="s">
        <v>357</v>
      </c>
      <c r="F55" s="1">
        <v>53.0</v>
      </c>
      <c r="G55" s="1">
        <v>0.0387</v>
      </c>
      <c r="H55" s="1" t="s">
        <v>358</v>
      </c>
      <c r="I55" s="4" t="b">
        <f>IFERROR(__xludf.DUMMYFUNCTION("IF(H55="""",,REGEXMATCH(H55,""[א-ת]""))"),FALSE)</f>
        <v>0</v>
      </c>
      <c r="J55" s="4"/>
      <c r="K55" s="4"/>
      <c r="L55" s="1">
        <v>0.296</v>
      </c>
      <c r="M55" s="1">
        <v>5.61</v>
      </c>
      <c r="N55" s="1">
        <v>79.25</v>
      </c>
      <c r="O55" s="1">
        <v>1.495283019</v>
      </c>
      <c r="P55" s="4"/>
      <c r="Q55" s="4"/>
      <c r="R55" s="1" t="s">
        <v>89</v>
      </c>
      <c r="S55" s="1" t="s">
        <v>357</v>
      </c>
      <c r="T55" s="1" t="s">
        <v>98</v>
      </c>
      <c r="U55" s="1">
        <v>11.0</v>
      </c>
      <c r="V55" s="5" t="s">
        <v>356</v>
      </c>
      <c r="W55" s="1" t="s">
        <v>357</v>
      </c>
      <c r="X55" s="1" t="s">
        <v>359</v>
      </c>
      <c r="Y55" s="4"/>
      <c r="Z55" s="4"/>
      <c r="AA55" s="4" t="b">
        <f>IFERROR(__xludf.DUMMYFUNCTION("IF(X55="""",,REGEXMATCH(X55,""[א-ת]""))"),TRUE)</f>
        <v>1</v>
      </c>
      <c r="AB55" s="1">
        <v>15.18</v>
      </c>
      <c r="AC55" s="1">
        <v>71.7</v>
      </c>
      <c r="AD55" s="1">
        <v>0.598551397490841</v>
      </c>
      <c r="AE55" s="1">
        <v>0.3612</v>
      </c>
      <c r="AF55" s="1">
        <v>0.0387</v>
      </c>
      <c r="AG55" s="1">
        <v>6.337</v>
      </c>
      <c r="AH55" s="1">
        <v>6.781</v>
      </c>
      <c r="AI55" s="1" t="b">
        <v>1</v>
      </c>
      <c r="AJ55" s="1" t="b">
        <v>0</v>
      </c>
      <c r="AK55" s="1">
        <v>94.182</v>
      </c>
      <c r="AL55" s="1">
        <v>96.508</v>
      </c>
      <c r="AM55" s="1" t="b">
        <v>0</v>
      </c>
      <c r="AN55" s="1" t="b">
        <v>0</v>
      </c>
      <c r="AO55" s="1">
        <v>8.05</v>
      </c>
      <c r="AP55" s="1">
        <v>8.53399999999999</v>
      </c>
      <c r="AQ55" s="1" t="b">
        <v>1</v>
      </c>
      <c r="AR55" s="1" t="b">
        <v>0</v>
      </c>
      <c r="AS55" s="1">
        <v>86.9179999999999</v>
      </c>
      <c r="AT55" s="1">
        <v>87.152</v>
      </c>
      <c r="AU55" s="1" t="b">
        <v>0</v>
      </c>
      <c r="AV55" s="1" t="b">
        <v>0</v>
      </c>
      <c r="AW55" s="1">
        <v>9.61399999999999</v>
      </c>
      <c r="AX55" s="1">
        <v>11.026</v>
      </c>
      <c r="AY55" s="1" t="b">
        <v>1</v>
      </c>
      <c r="AZ55" s="1" t="b">
        <v>0</v>
      </c>
      <c r="BA55" s="1">
        <v>81.25</v>
      </c>
      <c r="BB55" s="1">
        <v>77.78</v>
      </c>
      <c r="BC55" s="1" t="b">
        <v>0</v>
      </c>
      <c r="BD55" s="1" t="b">
        <v>0</v>
      </c>
      <c r="BE55" s="1">
        <v>11.34</v>
      </c>
      <c r="BF55" s="1">
        <v>13.285</v>
      </c>
      <c r="BG55" s="1" t="b">
        <v>1</v>
      </c>
      <c r="BH55" s="1" t="b">
        <v>0</v>
      </c>
      <c r="BI55" s="1">
        <v>77.78</v>
      </c>
      <c r="BJ55" s="1">
        <v>75.0</v>
      </c>
      <c r="BK55" s="1" t="b">
        <v>1</v>
      </c>
      <c r="BL55" s="1" t="b">
        <v>0</v>
      </c>
      <c r="BM55" s="1">
        <v>13.121</v>
      </c>
      <c r="BN55" s="1">
        <v>14.568</v>
      </c>
      <c r="BO55" s="1" t="b">
        <v>1</v>
      </c>
      <c r="BP55" s="1" t="b">
        <v>0</v>
      </c>
      <c r="BQ55" s="1">
        <v>75.0</v>
      </c>
      <c r="BR55" s="1">
        <v>72.027</v>
      </c>
      <c r="BS55" s="1" t="b">
        <v>1</v>
      </c>
      <c r="BT55" s="1" t="b">
        <v>0</v>
      </c>
      <c r="BU55" s="1" t="s">
        <v>91</v>
      </c>
      <c r="BV55" s="1" t="s">
        <v>105</v>
      </c>
      <c r="BW55" s="1" t="s">
        <v>91</v>
      </c>
      <c r="BX55" s="1" t="s">
        <v>105</v>
      </c>
      <c r="BY55" s="1" t="s">
        <v>91</v>
      </c>
      <c r="BZ55" s="1" t="s">
        <v>105</v>
      </c>
      <c r="CA55" s="1" t="s">
        <v>91</v>
      </c>
      <c r="CB55" s="1" t="s">
        <v>91</v>
      </c>
      <c r="CC55" s="1" t="s">
        <v>91</v>
      </c>
      <c r="CD55" s="1" t="s">
        <v>91</v>
      </c>
      <c r="CE55" s="4"/>
      <c r="CF55" s="4"/>
    </row>
    <row r="56" hidden="1">
      <c r="A56" s="1" t="s">
        <v>82</v>
      </c>
      <c r="B56" s="1" t="s">
        <v>304</v>
      </c>
      <c r="C56" s="1">
        <v>8.0</v>
      </c>
      <c r="D56" s="5" t="s">
        <v>360</v>
      </c>
      <c r="E56" s="1" t="s">
        <v>361</v>
      </c>
      <c r="F56" s="1">
        <v>34.0</v>
      </c>
      <c r="G56" s="1">
        <v>0.7351</v>
      </c>
      <c r="H56" s="1" t="s">
        <v>362</v>
      </c>
      <c r="I56" s="4" t="b">
        <f>IFERROR(__xludf.DUMMYFUNCTION("IF(H56="""",,REGEXMATCH(H56,""[א-ת]""))"),FALSE)</f>
        <v>0</v>
      </c>
      <c r="J56" s="4"/>
      <c r="K56" s="4"/>
      <c r="L56" s="1">
        <v>0.0</v>
      </c>
      <c r="M56" s="1">
        <v>5.77</v>
      </c>
      <c r="N56" s="1">
        <v>94.12</v>
      </c>
      <c r="O56" s="1">
        <v>2.768235294</v>
      </c>
      <c r="P56" s="4"/>
      <c r="Q56" s="4"/>
      <c r="R56" s="1" t="s">
        <v>89</v>
      </c>
      <c r="S56" s="1" t="s">
        <v>361</v>
      </c>
      <c r="T56" s="1" t="s">
        <v>304</v>
      </c>
      <c r="U56" s="1">
        <v>9.0</v>
      </c>
      <c r="V56" s="5" t="s">
        <v>360</v>
      </c>
      <c r="W56" s="1" t="s">
        <v>361</v>
      </c>
      <c r="X56" s="1" t="s">
        <v>363</v>
      </c>
      <c r="Y56" s="4"/>
      <c r="Z56" s="4"/>
      <c r="AA56" s="4" t="b">
        <f>IFERROR(__xludf.DUMMYFUNCTION("IF(X56="""",,REGEXMATCH(X56,""[א-ת]""))"),FALSE)</f>
        <v>0</v>
      </c>
      <c r="AB56" s="1">
        <v>22.56</v>
      </c>
      <c r="AC56" s="1">
        <v>85.29</v>
      </c>
      <c r="AD56" s="1">
        <v>0.413231433491148</v>
      </c>
      <c r="AE56" s="1">
        <v>0.25</v>
      </c>
      <c r="AF56" s="1">
        <v>0.7351</v>
      </c>
      <c r="AG56" s="1">
        <v>6.337</v>
      </c>
      <c r="AH56" s="1">
        <v>6.781</v>
      </c>
      <c r="AI56" s="1" t="b">
        <v>1</v>
      </c>
      <c r="AJ56" s="1" t="b">
        <v>0</v>
      </c>
      <c r="AK56" s="1">
        <v>94.182</v>
      </c>
      <c r="AL56" s="1">
        <v>96.508</v>
      </c>
      <c r="AM56" s="1" t="b">
        <v>0</v>
      </c>
      <c r="AN56" s="1" t="b">
        <v>0</v>
      </c>
      <c r="AO56" s="1">
        <v>8.05</v>
      </c>
      <c r="AP56" s="1">
        <v>8.53399999999999</v>
      </c>
      <c r="AQ56" s="1" t="b">
        <v>1</v>
      </c>
      <c r="AR56" s="1" t="b">
        <v>0</v>
      </c>
      <c r="AS56" s="1">
        <v>86.9179999999999</v>
      </c>
      <c r="AT56" s="1">
        <v>87.152</v>
      </c>
      <c r="AU56" s="1" t="b">
        <v>1</v>
      </c>
      <c r="AV56" s="1" t="b">
        <v>0</v>
      </c>
      <c r="AW56" s="1">
        <v>9.61399999999999</v>
      </c>
      <c r="AX56" s="1">
        <v>11.026</v>
      </c>
      <c r="AY56" s="1" t="b">
        <v>1</v>
      </c>
      <c r="AZ56" s="1" t="b">
        <v>0</v>
      </c>
      <c r="BA56" s="1">
        <v>81.25</v>
      </c>
      <c r="BB56" s="1">
        <v>77.78</v>
      </c>
      <c r="BC56" s="1" t="b">
        <v>1</v>
      </c>
      <c r="BD56" s="1" t="b">
        <v>1</v>
      </c>
      <c r="BE56" s="1">
        <v>11.34</v>
      </c>
      <c r="BF56" s="1">
        <v>13.285</v>
      </c>
      <c r="BG56" s="1" t="b">
        <v>1</v>
      </c>
      <c r="BH56" s="1" t="b">
        <v>0</v>
      </c>
      <c r="BI56" s="1">
        <v>77.78</v>
      </c>
      <c r="BJ56" s="1">
        <v>75.0</v>
      </c>
      <c r="BK56" s="1" t="b">
        <v>1</v>
      </c>
      <c r="BL56" s="1" t="b">
        <v>1</v>
      </c>
      <c r="BM56" s="1">
        <v>13.121</v>
      </c>
      <c r="BN56" s="1">
        <v>14.568</v>
      </c>
      <c r="BO56" s="1" t="b">
        <v>1</v>
      </c>
      <c r="BP56" s="1" t="b">
        <v>0</v>
      </c>
      <c r="BQ56" s="1">
        <v>75.0</v>
      </c>
      <c r="BR56" s="1">
        <v>72.027</v>
      </c>
      <c r="BS56" s="1" t="b">
        <v>1</v>
      </c>
      <c r="BT56" s="1" t="b">
        <v>1</v>
      </c>
      <c r="BU56" s="1" t="s">
        <v>91</v>
      </c>
      <c r="BV56" s="1" t="s">
        <v>105</v>
      </c>
      <c r="BW56" s="1" t="s">
        <v>91</v>
      </c>
      <c r="BX56" s="1" t="s">
        <v>91</v>
      </c>
      <c r="BY56" s="1" t="s">
        <v>91</v>
      </c>
      <c r="BZ56" s="1" t="s">
        <v>104</v>
      </c>
      <c r="CA56" s="1" t="s">
        <v>91</v>
      </c>
      <c r="CB56" s="1" t="s">
        <v>104</v>
      </c>
      <c r="CC56" s="1" t="s">
        <v>91</v>
      </c>
      <c r="CD56" s="1" t="s">
        <v>104</v>
      </c>
      <c r="CE56" s="4"/>
      <c r="CF56" s="4"/>
    </row>
    <row r="57" hidden="1">
      <c r="A57" s="1" t="s">
        <v>82</v>
      </c>
      <c r="B57" s="1" t="s">
        <v>167</v>
      </c>
      <c r="C57" s="1">
        <v>10.0</v>
      </c>
      <c r="D57" s="5" t="s">
        <v>364</v>
      </c>
      <c r="E57" s="1" t="s">
        <v>365</v>
      </c>
      <c r="F57" s="1">
        <v>14.0</v>
      </c>
      <c r="G57" s="1">
        <v>0.34</v>
      </c>
      <c r="H57" s="1" t="s">
        <v>366</v>
      </c>
      <c r="I57" s="4" t="b">
        <f>IFERROR(__xludf.DUMMYFUNCTION("IF(H57="""",,REGEXMATCH(H57,""[א-ת]""))"),FALSE)</f>
        <v>0</v>
      </c>
      <c r="J57" s="4"/>
      <c r="K57" s="4"/>
      <c r="L57" s="1">
        <v>0.34</v>
      </c>
      <c r="M57" s="1">
        <v>5.84</v>
      </c>
      <c r="N57" s="1">
        <v>78.57</v>
      </c>
      <c r="O57" s="1">
        <v>5.612142857</v>
      </c>
      <c r="P57" s="4"/>
      <c r="Q57" s="4"/>
      <c r="R57" s="1" t="s">
        <v>127</v>
      </c>
      <c r="S57" s="1" t="s">
        <v>365</v>
      </c>
      <c r="T57" s="1" t="s">
        <v>167</v>
      </c>
      <c r="U57" s="1">
        <v>11.0</v>
      </c>
      <c r="V57" s="5" t="s">
        <v>364</v>
      </c>
      <c r="W57" s="1" t="s">
        <v>365</v>
      </c>
      <c r="X57" s="1" t="s">
        <v>367</v>
      </c>
      <c r="Y57" s="4"/>
      <c r="Z57" s="4"/>
      <c r="AA57" s="4" t="b">
        <f>IFERROR(__xludf.DUMMYFUNCTION("IF(X57="""",,REGEXMATCH(X57,""[א-ת]""))"),FALSE)</f>
        <v>0</v>
      </c>
      <c r="AB57" s="1">
        <v>16.22</v>
      </c>
      <c r="AC57" s="1">
        <v>42.86</v>
      </c>
      <c r="AD57" s="1">
        <v>0.741408670102408</v>
      </c>
      <c r="AE57" s="1">
        <v>0.34</v>
      </c>
      <c r="AF57" s="1">
        <v>0.34</v>
      </c>
      <c r="AG57" s="1">
        <v>6.337</v>
      </c>
      <c r="AH57" s="1">
        <v>6.781</v>
      </c>
      <c r="AI57" s="1" t="b">
        <v>1</v>
      </c>
      <c r="AJ57" s="1" t="b">
        <v>0</v>
      </c>
      <c r="AK57" s="1">
        <v>94.182</v>
      </c>
      <c r="AL57" s="1">
        <v>96.508</v>
      </c>
      <c r="AM57" s="1" t="b">
        <v>0</v>
      </c>
      <c r="AN57" s="1" t="b">
        <v>0</v>
      </c>
      <c r="AO57" s="1">
        <v>8.05</v>
      </c>
      <c r="AP57" s="1">
        <v>8.53399999999999</v>
      </c>
      <c r="AQ57" s="1" t="b">
        <v>1</v>
      </c>
      <c r="AR57" s="1" t="b">
        <v>0</v>
      </c>
      <c r="AS57" s="1">
        <v>86.9179999999999</v>
      </c>
      <c r="AT57" s="1">
        <v>87.152</v>
      </c>
      <c r="AU57" s="1" t="b">
        <v>0</v>
      </c>
      <c r="AV57" s="1" t="b">
        <v>0</v>
      </c>
      <c r="AW57" s="1">
        <v>9.61399999999999</v>
      </c>
      <c r="AX57" s="1">
        <v>11.026</v>
      </c>
      <c r="AY57" s="1" t="b">
        <v>1</v>
      </c>
      <c r="AZ57" s="1" t="b">
        <v>0</v>
      </c>
      <c r="BA57" s="1">
        <v>81.25</v>
      </c>
      <c r="BB57" s="1">
        <v>77.78</v>
      </c>
      <c r="BC57" s="1" t="b">
        <v>0</v>
      </c>
      <c r="BD57" s="1" t="b">
        <v>0</v>
      </c>
      <c r="BE57" s="1">
        <v>11.34</v>
      </c>
      <c r="BF57" s="1">
        <v>13.285</v>
      </c>
      <c r="BG57" s="1" t="b">
        <v>1</v>
      </c>
      <c r="BH57" s="1" t="b">
        <v>0</v>
      </c>
      <c r="BI57" s="1">
        <v>77.78</v>
      </c>
      <c r="BJ57" s="1">
        <v>75.0</v>
      </c>
      <c r="BK57" s="1" t="b">
        <v>1</v>
      </c>
      <c r="BL57" s="1" t="b">
        <v>0</v>
      </c>
      <c r="BM57" s="1">
        <v>13.121</v>
      </c>
      <c r="BN57" s="1">
        <v>14.568</v>
      </c>
      <c r="BO57" s="1" t="b">
        <v>1</v>
      </c>
      <c r="BP57" s="1" t="b">
        <v>0</v>
      </c>
      <c r="BQ57" s="1">
        <v>75.0</v>
      </c>
      <c r="BR57" s="1">
        <v>72.027</v>
      </c>
      <c r="BS57" s="1" t="b">
        <v>1</v>
      </c>
      <c r="BT57" s="1" t="b">
        <v>0</v>
      </c>
      <c r="BU57" s="1" t="s">
        <v>91</v>
      </c>
      <c r="BV57" s="1" t="s">
        <v>105</v>
      </c>
      <c r="BW57" s="1" t="s">
        <v>91</v>
      </c>
      <c r="BX57" s="1" t="s">
        <v>105</v>
      </c>
      <c r="BY57" s="1" t="s">
        <v>91</v>
      </c>
      <c r="BZ57" s="1" t="s">
        <v>105</v>
      </c>
      <c r="CA57" s="1" t="s">
        <v>91</v>
      </c>
      <c r="CB57" s="1" t="s">
        <v>91</v>
      </c>
      <c r="CC57" s="1" t="s">
        <v>91</v>
      </c>
      <c r="CD57" s="1" t="s">
        <v>91</v>
      </c>
      <c r="CE57" s="4"/>
      <c r="CF57" s="4"/>
    </row>
    <row r="58" hidden="1">
      <c r="A58" s="1" t="s">
        <v>82</v>
      </c>
      <c r="B58" s="1" t="s">
        <v>139</v>
      </c>
      <c r="C58" s="1">
        <v>35.0</v>
      </c>
      <c r="D58" s="5" t="s">
        <v>368</v>
      </c>
      <c r="E58" s="1" t="s">
        <v>369</v>
      </c>
      <c r="F58" s="1">
        <v>16.0</v>
      </c>
      <c r="G58" s="1">
        <v>-0.296</v>
      </c>
      <c r="H58" s="1" t="s">
        <v>370</v>
      </c>
      <c r="I58" s="4" t="b">
        <f>IFERROR(__xludf.DUMMYFUNCTION("IF(H58="""",,REGEXMATCH(H58,""[א-ת]""))"),FALSE)</f>
        <v>0</v>
      </c>
      <c r="J58" s="4"/>
      <c r="K58" s="4"/>
      <c r="L58" s="1">
        <v>-0.296</v>
      </c>
      <c r="M58" s="1">
        <v>5.91</v>
      </c>
      <c r="N58" s="1">
        <v>68.75</v>
      </c>
      <c r="O58" s="1">
        <v>4.296875</v>
      </c>
      <c r="P58" s="4"/>
      <c r="Q58" s="4"/>
      <c r="R58" s="1" t="s">
        <v>96</v>
      </c>
      <c r="S58" s="1" t="s">
        <v>369</v>
      </c>
      <c r="T58" s="1" t="s">
        <v>139</v>
      </c>
      <c r="U58" s="1">
        <v>36.0</v>
      </c>
      <c r="V58" s="5" t="s">
        <v>368</v>
      </c>
      <c r="W58" s="1" t="s">
        <v>369</v>
      </c>
      <c r="X58" s="1" t="s">
        <v>371</v>
      </c>
      <c r="Y58" s="4"/>
      <c r="Z58" s="4"/>
      <c r="AA58" s="4" t="b">
        <f>IFERROR(__xludf.DUMMYFUNCTION("IF(X58="""",,REGEXMATCH(X58,""[א-ת]""))"),FALSE)</f>
        <v>0</v>
      </c>
      <c r="AB58" s="1">
        <v>8.22</v>
      </c>
      <c r="AC58" s="1">
        <v>75.0</v>
      </c>
      <c r="AD58" s="1">
        <v>0.482249052605371</v>
      </c>
      <c r="AE58" s="1">
        <v>0.0</v>
      </c>
      <c r="AF58" s="1">
        <v>-0.296</v>
      </c>
      <c r="AG58" s="1">
        <v>6.337</v>
      </c>
      <c r="AH58" s="1">
        <v>6.781</v>
      </c>
      <c r="AI58" s="1" t="b">
        <v>1</v>
      </c>
      <c r="AJ58" s="1" t="b">
        <v>0</v>
      </c>
      <c r="AK58" s="1">
        <v>94.182</v>
      </c>
      <c r="AL58" s="1">
        <v>96.508</v>
      </c>
      <c r="AM58" s="1" t="b">
        <v>0</v>
      </c>
      <c r="AN58" s="1" t="b">
        <v>0</v>
      </c>
      <c r="AO58" s="1">
        <v>8.05</v>
      </c>
      <c r="AP58" s="1">
        <v>8.53399999999999</v>
      </c>
      <c r="AQ58" s="1" t="b">
        <v>1</v>
      </c>
      <c r="AR58" s="1" t="b">
        <v>1</v>
      </c>
      <c r="AS58" s="1">
        <v>86.9179999999999</v>
      </c>
      <c r="AT58" s="1">
        <v>87.152</v>
      </c>
      <c r="AU58" s="1" t="b">
        <v>0</v>
      </c>
      <c r="AV58" s="1" t="b">
        <v>0</v>
      </c>
      <c r="AW58" s="1">
        <v>9.61399999999999</v>
      </c>
      <c r="AX58" s="1">
        <v>11.026</v>
      </c>
      <c r="AY58" s="1" t="b">
        <v>1</v>
      </c>
      <c r="AZ58" s="1" t="b">
        <v>1</v>
      </c>
      <c r="BA58" s="1">
        <v>81.25</v>
      </c>
      <c r="BB58" s="1">
        <v>77.78</v>
      </c>
      <c r="BC58" s="1" t="b">
        <v>0</v>
      </c>
      <c r="BD58" s="1" t="b">
        <v>0</v>
      </c>
      <c r="BE58" s="1">
        <v>11.34</v>
      </c>
      <c r="BF58" s="1">
        <v>13.285</v>
      </c>
      <c r="BG58" s="1" t="b">
        <v>1</v>
      </c>
      <c r="BH58" s="1" t="b">
        <v>1</v>
      </c>
      <c r="BI58" s="1">
        <v>77.78</v>
      </c>
      <c r="BJ58" s="1">
        <v>75.0</v>
      </c>
      <c r="BK58" s="1" t="b">
        <v>0</v>
      </c>
      <c r="BL58" s="1" t="b">
        <v>1</v>
      </c>
      <c r="BM58" s="1">
        <v>13.121</v>
      </c>
      <c r="BN58" s="1">
        <v>14.568</v>
      </c>
      <c r="BO58" s="1" t="b">
        <v>1</v>
      </c>
      <c r="BP58" s="1" t="b">
        <v>1</v>
      </c>
      <c r="BQ58" s="1">
        <v>75.0</v>
      </c>
      <c r="BR58" s="1">
        <v>72.027</v>
      </c>
      <c r="BS58" s="1" t="b">
        <v>0</v>
      </c>
      <c r="BT58" s="1" t="b">
        <v>1</v>
      </c>
      <c r="BU58" s="1" t="s">
        <v>91</v>
      </c>
      <c r="BV58" s="1" t="s">
        <v>105</v>
      </c>
      <c r="BW58" s="1" t="s">
        <v>104</v>
      </c>
      <c r="BX58" s="1" t="s">
        <v>105</v>
      </c>
      <c r="BY58" s="1" t="s">
        <v>104</v>
      </c>
      <c r="BZ58" s="1" t="s">
        <v>105</v>
      </c>
      <c r="CA58" s="1" t="s">
        <v>104</v>
      </c>
      <c r="CB58" s="1" t="s">
        <v>157</v>
      </c>
      <c r="CC58" s="1" t="s">
        <v>104</v>
      </c>
      <c r="CD58" s="1" t="s">
        <v>157</v>
      </c>
      <c r="CE58" s="4"/>
      <c r="CF58" s="4"/>
    </row>
    <row r="59" hidden="1">
      <c r="A59" s="1" t="s">
        <v>82</v>
      </c>
      <c r="B59" s="1" t="s">
        <v>83</v>
      </c>
      <c r="C59" s="1">
        <v>5.0</v>
      </c>
      <c r="D59" s="5" t="s">
        <v>372</v>
      </c>
      <c r="E59" s="1" t="s">
        <v>373</v>
      </c>
      <c r="F59" s="1">
        <v>27.0</v>
      </c>
      <c r="G59" s="1">
        <v>0.0516</v>
      </c>
      <c r="H59" s="1" t="s">
        <v>374</v>
      </c>
      <c r="I59" s="4" t="b">
        <f>IFERROR(__xludf.DUMMYFUNCTION("IF(H59="""",,REGEXMATCH(H59,""[א-ת]""))"),FALSE)</f>
        <v>0</v>
      </c>
      <c r="J59" s="4"/>
      <c r="K59" s="4"/>
      <c r="L59" s="1">
        <v>0.0516</v>
      </c>
      <c r="M59" s="1">
        <v>5.98</v>
      </c>
      <c r="N59" s="1">
        <v>85.19</v>
      </c>
      <c r="O59" s="1">
        <v>3.155185185</v>
      </c>
      <c r="P59" s="4"/>
      <c r="Q59" s="4"/>
      <c r="R59" s="1" t="s">
        <v>89</v>
      </c>
      <c r="S59" s="1" t="s">
        <v>373</v>
      </c>
      <c r="T59" s="1" t="s">
        <v>83</v>
      </c>
      <c r="U59" s="1">
        <v>6.0</v>
      </c>
      <c r="V59" s="5" t="s">
        <v>372</v>
      </c>
      <c r="W59" s="1" t="s">
        <v>373</v>
      </c>
      <c r="X59" s="1" t="s">
        <v>375</v>
      </c>
      <c r="Y59" s="4"/>
      <c r="Z59" s="4"/>
      <c r="AA59" s="4" t="b">
        <f>IFERROR(__xludf.DUMMYFUNCTION("IF(X59="""",,REGEXMATCH(X59,""[א-ת]""))"),FALSE)</f>
        <v>0</v>
      </c>
      <c r="AB59" s="1">
        <v>9.86</v>
      </c>
      <c r="AC59" s="1">
        <v>74.07</v>
      </c>
      <c r="AD59" s="1">
        <v>0.452847772431825</v>
      </c>
      <c r="AE59" s="1">
        <v>0.0516</v>
      </c>
      <c r="AF59" s="1">
        <v>0.0516</v>
      </c>
      <c r="AG59" s="1">
        <v>6.337</v>
      </c>
      <c r="AH59" s="1">
        <v>6.781</v>
      </c>
      <c r="AI59" s="1" t="b">
        <v>1</v>
      </c>
      <c r="AJ59" s="1" t="b">
        <v>0</v>
      </c>
      <c r="AK59" s="1">
        <v>94.182</v>
      </c>
      <c r="AL59" s="1">
        <v>96.508</v>
      </c>
      <c r="AM59" s="1" t="b">
        <v>0</v>
      </c>
      <c r="AN59" s="1" t="b">
        <v>0</v>
      </c>
      <c r="AO59" s="1">
        <v>8.05</v>
      </c>
      <c r="AP59" s="1">
        <v>8.53399999999999</v>
      </c>
      <c r="AQ59" s="1" t="b">
        <v>1</v>
      </c>
      <c r="AR59" s="1" t="b">
        <v>0</v>
      </c>
      <c r="AS59" s="1">
        <v>86.9179999999999</v>
      </c>
      <c r="AT59" s="1">
        <v>87.152</v>
      </c>
      <c r="AU59" s="1" t="b">
        <v>0</v>
      </c>
      <c r="AV59" s="1" t="b">
        <v>0</v>
      </c>
      <c r="AW59" s="1">
        <v>9.61399999999999</v>
      </c>
      <c r="AX59" s="1">
        <v>11.026</v>
      </c>
      <c r="AY59" s="1" t="b">
        <v>1</v>
      </c>
      <c r="AZ59" s="1" t="b">
        <v>1</v>
      </c>
      <c r="BA59" s="1">
        <v>81.25</v>
      </c>
      <c r="BB59" s="1">
        <v>77.78</v>
      </c>
      <c r="BC59" s="1" t="b">
        <v>1</v>
      </c>
      <c r="BD59" s="1" t="b">
        <v>0</v>
      </c>
      <c r="BE59" s="1">
        <v>11.34</v>
      </c>
      <c r="BF59" s="1">
        <v>13.285</v>
      </c>
      <c r="BG59" s="1" t="b">
        <v>1</v>
      </c>
      <c r="BH59" s="1" t="b">
        <v>1</v>
      </c>
      <c r="BI59" s="1">
        <v>77.78</v>
      </c>
      <c r="BJ59" s="1">
        <v>75.0</v>
      </c>
      <c r="BK59" s="1" t="b">
        <v>1</v>
      </c>
      <c r="BL59" s="1" t="b">
        <v>0</v>
      </c>
      <c r="BM59" s="1">
        <v>13.121</v>
      </c>
      <c r="BN59" s="1">
        <v>14.568</v>
      </c>
      <c r="BO59" s="1" t="b">
        <v>1</v>
      </c>
      <c r="BP59" s="1" t="b">
        <v>1</v>
      </c>
      <c r="BQ59" s="1">
        <v>75.0</v>
      </c>
      <c r="BR59" s="1">
        <v>72.027</v>
      </c>
      <c r="BS59" s="1" t="b">
        <v>1</v>
      </c>
      <c r="BT59" s="1" t="b">
        <v>1</v>
      </c>
      <c r="BU59" s="1" t="s">
        <v>91</v>
      </c>
      <c r="BV59" s="1" t="s">
        <v>105</v>
      </c>
      <c r="BW59" s="1" t="s">
        <v>91</v>
      </c>
      <c r="BX59" s="1" t="s">
        <v>105</v>
      </c>
      <c r="BY59" s="1" t="s">
        <v>104</v>
      </c>
      <c r="BZ59" s="1" t="s">
        <v>91</v>
      </c>
      <c r="CA59" s="1" t="s">
        <v>104</v>
      </c>
      <c r="CB59" s="1" t="s">
        <v>91</v>
      </c>
      <c r="CC59" s="1" t="s">
        <v>104</v>
      </c>
      <c r="CD59" s="1" t="s">
        <v>104</v>
      </c>
      <c r="CE59" s="4"/>
      <c r="CF59" s="4"/>
    </row>
    <row r="60" hidden="1">
      <c r="A60" s="1" t="s">
        <v>82</v>
      </c>
      <c r="B60" s="1" t="s">
        <v>176</v>
      </c>
      <c r="C60" s="1">
        <v>14.0</v>
      </c>
      <c r="D60" s="5" t="s">
        <v>376</v>
      </c>
      <c r="E60" s="1" t="s">
        <v>377</v>
      </c>
      <c r="F60" s="1">
        <v>23.0</v>
      </c>
      <c r="G60" s="1">
        <v>0.6124</v>
      </c>
      <c r="H60" s="1" t="s">
        <v>378</v>
      </c>
      <c r="I60" s="4" t="b">
        <f>IFERROR(__xludf.DUMMYFUNCTION("IF(H60="""",,REGEXMATCH(H60,""[א-ת]""))"),FALSE)</f>
        <v>0</v>
      </c>
      <c r="J60" s="4"/>
      <c r="K60" s="4"/>
      <c r="L60" s="1">
        <v>0.8172</v>
      </c>
      <c r="M60" s="1">
        <v>6.05</v>
      </c>
      <c r="N60" s="1">
        <v>156.52</v>
      </c>
      <c r="O60" s="1">
        <v>6.805217391</v>
      </c>
      <c r="P60" s="4"/>
      <c r="Q60" s="4"/>
      <c r="R60" s="1" t="s">
        <v>89</v>
      </c>
      <c r="S60" s="1" t="s">
        <v>377</v>
      </c>
      <c r="T60" s="1" t="s">
        <v>176</v>
      </c>
      <c r="U60" s="1">
        <v>15.0</v>
      </c>
      <c r="V60" s="5" t="s">
        <v>376</v>
      </c>
      <c r="W60" s="1" t="s">
        <v>377</v>
      </c>
      <c r="X60" s="1" t="s">
        <v>379</v>
      </c>
      <c r="Y60" s="4"/>
      <c r="Z60" s="4"/>
      <c r="AA60" s="4" t="b">
        <f>IFERROR(__xludf.DUMMYFUNCTION("IF(X60="""",,REGEXMATCH(X60,""[א-ת]""))"),FALSE)</f>
        <v>0</v>
      </c>
      <c r="AB60" s="1">
        <v>20.21</v>
      </c>
      <c r="AC60" s="1">
        <v>65.22</v>
      </c>
      <c r="AD60" s="1">
        <v>0.598545313626153</v>
      </c>
      <c r="AE60" s="1">
        <v>0.2481</v>
      </c>
      <c r="AF60" s="1">
        <v>0.6124</v>
      </c>
      <c r="AG60" s="1">
        <v>6.337</v>
      </c>
      <c r="AH60" s="1">
        <v>6.781</v>
      </c>
      <c r="AI60" s="1" t="b">
        <v>1</v>
      </c>
      <c r="AJ60" s="1" t="b">
        <v>0</v>
      </c>
      <c r="AK60" s="1">
        <v>94.182</v>
      </c>
      <c r="AL60" s="1">
        <v>96.508</v>
      </c>
      <c r="AM60" s="1" t="b">
        <v>1</v>
      </c>
      <c r="AN60" s="1" t="b">
        <v>0</v>
      </c>
      <c r="AO60" s="1">
        <v>8.05</v>
      </c>
      <c r="AP60" s="1">
        <v>8.53399999999999</v>
      </c>
      <c r="AQ60" s="1" t="b">
        <v>1</v>
      </c>
      <c r="AR60" s="1" t="b">
        <v>0</v>
      </c>
      <c r="AS60" s="1">
        <v>86.9179999999999</v>
      </c>
      <c r="AT60" s="1">
        <v>87.152</v>
      </c>
      <c r="AU60" s="1" t="b">
        <v>1</v>
      </c>
      <c r="AV60" s="1" t="b">
        <v>0</v>
      </c>
      <c r="AW60" s="1">
        <v>9.61399999999999</v>
      </c>
      <c r="AX60" s="1">
        <v>11.026</v>
      </c>
      <c r="AY60" s="1" t="b">
        <v>1</v>
      </c>
      <c r="AZ60" s="1" t="b">
        <v>0</v>
      </c>
      <c r="BA60" s="1">
        <v>81.25</v>
      </c>
      <c r="BB60" s="1">
        <v>77.78</v>
      </c>
      <c r="BC60" s="1" t="b">
        <v>1</v>
      </c>
      <c r="BD60" s="1" t="b">
        <v>0</v>
      </c>
      <c r="BE60" s="1">
        <v>11.34</v>
      </c>
      <c r="BF60" s="1">
        <v>13.285</v>
      </c>
      <c r="BG60" s="1" t="b">
        <v>1</v>
      </c>
      <c r="BH60" s="1" t="b">
        <v>0</v>
      </c>
      <c r="BI60" s="1">
        <v>77.78</v>
      </c>
      <c r="BJ60" s="1">
        <v>75.0</v>
      </c>
      <c r="BK60" s="1" t="b">
        <v>1</v>
      </c>
      <c r="BL60" s="1" t="b">
        <v>0</v>
      </c>
      <c r="BM60" s="1">
        <v>13.121</v>
      </c>
      <c r="BN60" s="1">
        <v>14.568</v>
      </c>
      <c r="BO60" s="1" t="b">
        <v>1</v>
      </c>
      <c r="BP60" s="1" t="b">
        <v>0</v>
      </c>
      <c r="BQ60" s="1">
        <v>75.0</v>
      </c>
      <c r="BR60" s="1">
        <v>72.027</v>
      </c>
      <c r="BS60" s="1" t="b">
        <v>1</v>
      </c>
      <c r="BT60" s="1" t="b">
        <v>0</v>
      </c>
      <c r="BU60" s="1" t="s">
        <v>91</v>
      </c>
      <c r="BV60" s="1" t="s">
        <v>91</v>
      </c>
      <c r="BW60" s="1" t="s">
        <v>91</v>
      </c>
      <c r="BX60" s="1" t="s">
        <v>91</v>
      </c>
      <c r="BY60" s="1" t="s">
        <v>91</v>
      </c>
      <c r="BZ60" s="1" t="s">
        <v>91</v>
      </c>
      <c r="CA60" s="1" t="s">
        <v>91</v>
      </c>
      <c r="CB60" s="1" t="s">
        <v>91</v>
      </c>
      <c r="CC60" s="1" t="s">
        <v>91</v>
      </c>
      <c r="CD60" s="1" t="s">
        <v>91</v>
      </c>
      <c r="CE60" s="4"/>
      <c r="CF60" s="4"/>
    </row>
    <row r="61" hidden="1">
      <c r="A61" s="1" t="s">
        <v>82</v>
      </c>
      <c r="B61" s="1" t="s">
        <v>158</v>
      </c>
      <c r="C61" s="1">
        <v>5.0</v>
      </c>
      <c r="D61" s="5" t="s">
        <v>380</v>
      </c>
      <c r="E61" s="1" t="s">
        <v>381</v>
      </c>
      <c r="F61" s="1">
        <v>21.0</v>
      </c>
      <c r="G61" s="1">
        <v>0.0</v>
      </c>
      <c r="H61" s="1" t="s">
        <v>382</v>
      </c>
      <c r="I61" s="4" t="b">
        <f>IFERROR(__xludf.DUMMYFUNCTION("IF(H61="""",,REGEXMATCH(H61,""[א-ת]""))"),FALSE)</f>
        <v>0</v>
      </c>
      <c r="J61" s="4"/>
      <c r="K61" s="4"/>
      <c r="L61" s="1">
        <v>0.0</v>
      </c>
      <c r="M61" s="1">
        <v>6.07</v>
      </c>
      <c r="N61" s="1">
        <v>100.0</v>
      </c>
      <c r="O61" s="1">
        <v>4.761904762</v>
      </c>
      <c r="P61" s="4"/>
      <c r="Q61" s="4"/>
      <c r="R61" s="1" t="s">
        <v>89</v>
      </c>
      <c r="S61" s="1" t="s">
        <v>381</v>
      </c>
      <c r="T61" s="1" t="s">
        <v>158</v>
      </c>
      <c r="U61" s="1">
        <v>6.0</v>
      </c>
      <c r="V61" s="5" t="s">
        <v>380</v>
      </c>
      <c r="W61" s="1" t="s">
        <v>381</v>
      </c>
      <c r="X61" s="1" t="s">
        <v>383</v>
      </c>
      <c r="Y61" s="4"/>
      <c r="Z61" s="4"/>
      <c r="AA61" s="4" t="b">
        <f>IFERROR(__xludf.DUMMYFUNCTION("IF(X61="""",,REGEXMATCH(X61,""[א-ת]""))"),FALSE)</f>
        <v>0</v>
      </c>
      <c r="AB61" s="1">
        <v>8.65</v>
      </c>
      <c r="AC61" s="1">
        <v>95.24</v>
      </c>
      <c r="AD61" s="1">
        <v>0.215355618137611</v>
      </c>
      <c r="AE61" s="1">
        <v>0.0</v>
      </c>
      <c r="AF61" s="1">
        <v>0.0</v>
      </c>
      <c r="AG61" s="1">
        <v>6.337</v>
      </c>
      <c r="AH61" s="1">
        <v>6.781</v>
      </c>
      <c r="AI61" s="1" t="b">
        <v>1</v>
      </c>
      <c r="AJ61" s="1" t="b">
        <v>0</v>
      </c>
      <c r="AK61" s="1">
        <v>94.182</v>
      </c>
      <c r="AL61" s="1">
        <v>96.508</v>
      </c>
      <c r="AM61" s="1" t="b">
        <v>1</v>
      </c>
      <c r="AN61" s="1" t="b">
        <v>0</v>
      </c>
      <c r="AO61" s="1">
        <v>8.05</v>
      </c>
      <c r="AP61" s="1">
        <v>8.53399999999999</v>
      </c>
      <c r="AQ61" s="1" t="b">
        <v>1</v>
      </c>
      <c r="AR61" s="1" t="b">
        <v>0</v>
      </c>
      <c r="AS61" s="1">
        <v>86.9179999999999</v>
      </c>
      <c r="AT61" s="1">
        <v>87.152</v>
      </c>
      <c r="AU61" s="1" t="b">
        <v>1</v>
      </c>
      <c r="AV61" s="1" t="b">
        <v>1</v>
      </c>
      <c r="AW61" s="1">
        <v>9.61399999999999</v>
      </c>
      <c r="AX61" s="1">
        <v>11.026</v>
      </c>
      <c r="AY61" s="1" t="b">
        <v>1</v>
      </c>
      <c r="AZ61" s="1" t="b">
        <v>1</v>
      </c>
      <c r="BA61" s="1">
        <v>81.25</v>
      </c>
      <c r="BB61" s="1">
        <v>77.78</v>
      </c>
      <c r="BC61" s="1" t="b">
        <v>1</v>
      </c>
      <c r="BD61" s="1" t="b">
        <v>1</v>
      </c>
      <c r="BE61" s="1">
        <v>11.34</v>
      </c>
      <c r="BF61" s="1">
        <v>13.285</v>
      </c>
      <c r="BG61" s="1" t="b">
        <v>1</v>
      </c>
      <c r="BH61" s="1" t="b">
        <v>1</v>
      </c>
      <c r="BI61" s="1">
        <v>77.78</v>
      </c>
      <c r="BJ61" s="1">
        <v>75.0</v>
      </c>
      <c r="BK61" s="1" t="b">
        <v>1</v>
      </c>
      <c r="BL61" s="1" t="b">
        <v>1</v>
      </c>
      <c r="BM61" s="1">
        <v>13.121</v>
      </c>
      <c r="BN61" s="1">
        <v>14.568</v>
      </c>
      <c r="BO61" s="1" t="b">
        <v>1</v>
      </c>
      <c r="BP61" s="1" t="b">
        <v>1</v>
      </c>
      <c r="BQ61" s="1">
        <v>75.0</v>
      </c>
      <c r="BR61" s="1">
        <v>72.027</v>
      </c>
      <c r="BS61" s="1" t="b">
        <v>1</v>
      </c>
      <c r="BT61" s="1" t="b">
        <v>1</v>
      </c>
      <c r="BU61" s="1" t="s">
        <v>91</v>
      </c>
      <c r="BV61" s="1" t="s">
        <v>91</v>
      </c>
      <c r="BW61" s="1" t="s">
        <v>91</v>
      </c>
      <c r="BX61" s="1" t="s">
        <v>104</v>
      </c>
      <c r="BY61" s="1" t="s">
        <v>104</v>
      </c>
      <c r="BZ61" s="1" t="s">
        <v>104</v>
      </c>
      <c r="CA61" s="1" t="s">
        <v>104</v>
      </c>
      <c r="CB61" s="1" t="s">
        <v>104</v>
      </c>
      <c r="CC61" s="1" t="s">
        <v>104</v>
      </c>
      <c r="CD61" s="1" t="s">
        <v>104</v>
      </c>
      <c r="CE61" s="4"/>
      <c r="CF61" s="4"/>
    </row>
    <row r="62" hidden="1">
      <c r="A62" s="1" t="s">
        <v>82</v>
      </c>
      <c r="B62" s="1" t="s">
        <v>167</v>
      </c>
      <c r="C62" s="1">
        <v>5.0</v>
      </c>
      <c r="D62" s="5" t="s">
        <v>384</v>
      </c>
      <c r="E62" s="1" t="s">
        <v>385</v>
      </c>
      <c r="F62" s="1">
        <v>18.0</v>
      </c>
      <c r="G62" s="1">
        <v>-0.4767</v>
      </c>
      <c r="H62" s="1" t="s">
        <v>386</v>
      </c>
      <c r="I62" s="4" t="b">
        <f>IFERROR(__xludf.DUMMYFUNCTION("IF(H62="""",,REGEXMATCH(H62,""[א-ת]""))"),FALSE)</f>
        <v>0</v>
      </c>
      <c r="J62" s="4"/>
      <c r="K62" s="4"/>
      <c r="L62" s="1">
        <v>-0.4199</v>
      </c>
      <c r="M62" s="1">
        <v>6.13</v>
      </c>
      <c r="N62" s="1">
        <v>72.22</v>
      </c>
      <c r="O62" s="1">
        <v>4.012222222</v>
      </c>
      <c r="P62" s="4"/>
      <c r="Q62" s="4"/>
      <c r="R62" s="1" t="s">
        <v>127</v>
      </c>
      <c r="S62" s="1" t="s">
        <v>385</v>
      </c>
      <c r="T62" s="1" t="s">
        <v>167</v>
      </c>
      <c r="U62" s="1">
        <v>6.0</v>
      </c>
      <c r="V62" s="5" t="s">
        <v>384</v>
      </c>
      <c r="W62" s="1" t="s">
        <v>385</v>
      </c>
      <c r="X62" s="1" t="s">
        <v>387</v>
      </c>
      <c r="Y62" s="4"/>
      <c r="Z62" s="4"/>
      <c r="AA62" s="4" t="b">
        <f>IFERROR(__xludf.DUMMYFUNCTION("IF(X62="""",,REGEXMATCH(X62,""[א-ת]""))"),FALSE)</f>
        <v>0</v>
      </c>
      <c r="AB62" s="1">
        <v>41.58</v>
      </c>
      <c r="AC62" s="1">
        <v>33.33</v>
      </c>
      <c r="AD62" s="1">
        <v>0.564739868280426</v>
      </c>
      <c r="AE62" s="1">
        <v>0.0</v>
      </c>
      <c r="AF62" s="1">
        <v>-0.4767</v>
      </c>
      <c r="AG62" s="1">
        <v>6.337</v>
      </c>
      <c r="AH62" s="1">
        <v>6.781</v>
      </c>
      <c r="AI62" s="1" t="b">
        <v>1</v>
      </c>
      <c r="AJ62" s="1" t="b">
        <v>0</v>
      </c>
      <c r="AK62" s="1">
        <v>94.182</v>
      </c>
      <c r="AL62" s="1">
        <v>96.508</v>
      </c>
      <c r="AM62" s="1" t="b">
        <v>0</v>
      </c>
      <c r="AN62" s="1" t="b">
        <v>0</v>
      </c>
      <c r="AO62" s="1">
        <v>8.05</v>
      </c>
      <c r="AP62" s="1">
        <v>8.53399999999999</v>
      </c>
      <c r="AQ62" s="1" t="b">
        <v>1</v>
      </c>
      <c r="AR62" s="1" t="b">
        <v>0</v>
      </c>
      <c r="AS62" s="1">
        <v>86.9179999999999</v>
      </c>
      <c r="AT62" s="1">
        <v>87.152</v>
      </c>
      <c r="AU62" s="1" t="b">
        <v>0</v>
      </c>
      <c r="AV62" s="1" t="b">
        <v>0</v>
      </c>
      <c r="AW62" s="1">
        <v>9.61399999999999</v>
      </c>
      <c r="AX62" s="1">
        <v>11.026</v>
      </c>
      <c r="AY62" s="1" t="b">
        <v>1</v>
      </c>
      <c r="AZ62" s="1" t="b">
        <v>0</v>
      </c>
      <c r="BA62" s="1">
        <v>81.25</v>
      </c>
      <c r="BB62" s="1">
        <v>77.78</v>
      </c>
      <c r="BC62" s="1" t="b">
        <v>0</v>
      </c>
      <c r="BD62" s="1" t="b">
        <v>0</v>
      </c>
      <c r="BE62" s="1">
        <v>11.34</v>
      </c>
      <c r="BF62" s="1">
        <v>13.285</v>
      </c>
      <c r="BG62" s="1" t="b">
        <v>1</v>
      </c>
      <c r="BH62" s="1" t="b">
        <v>0</v>
      </c>
      <c r="BI62" s="1">
        <v>77.78</v>
      </c>
      <c r="BJ62" s="1">
        <v>75.0</v>
      </c>
      <c r="BK62" s="1" t="b">
        <v>0</v>
      </c>
      <c r="BL62" s="1" t="b">
        <v>0</v>
      </c>
      <c r="BM62" s="1">
        <v>13.121</v>
      </c>
      <c r="BN62" s="1">
        <v>14.568</v>
      </c>
      <c r="BO62" s="1" t="b">
        <v>1</v>
      </c>
      <c r="BP62" s="1" t="b">
        <v>0</v>
      </c>
      <c r="BQ62" s="1">
        <v>75.0</v>
      </c>
      <c r="BR62" s="1">
        <v>72.027</v>
      </c>
      <c r="BS62" s="1" t="b">
        <v>0</v>
      </c>
      <c r="BT62" s="1" t="b">
        <v>0</v>
      </c>
      <c r="BU62" s="1" t="s">
        <v>91</v>
      </c>
      <c r="BV62" s="1" t="s">
        <v>105</v>
      </c>
      <c r="BW62" s="1" t="s">
        <v>91</v>
      </c>
      <c r="BX62" s="1" t="s">
        <v>105</v>
      </c>
      <c r="BY62" s="1" t="s">
        <v>91</v>
      </c>
      <c r="BZ62" s="1" t="s">
        <v>105</v>
      </c>
      <c r="CA62" s="1" t="s">
        <v>91</v>
      </c>
      <c r="CB62" s="1" t="s">
        <v>105</v>
      </c>
      <c r="CC62" s="1" t="s">
        <v>91</v>
      </c>
      <c r="CD62" s="1" t="s">
        <v>105</v>
      </c>
      <c r="CE62" s="4"/>
      <c r="CF62" s="4"/>
    </row>
    <row r="63" hidden="1">
      <c r="A63" s="1" t="s">
        <v>82</v>
      </c>
      <c r="B63" s="1" t="s">
        <v>152</v>
      </c>
      <c r="C63" s="1">
        <v>26.0</v>
      </c>
      <c r="D63" s="5" t="s">
        <v>388</v>
      </c>
      <c r="E63" s="1" t="s">
        <v>389</v>
      </c>
      <c r="F63" s="1">
        <v>53.0</v>
      </c>
      <c r="G63" s="1">
        <v>0.1901</v>
      </c>
      <c r="H63" s="1" t="s">
        <v>390</v>
      </c>
      <c r="I63" s="4" t="b">
        <f>IFERROR(__xludf.DUMMYFUNCTION("IF(H63="""",,REGEXMATCH(H63,""[א-ת]""))"),FALSE)</f>
        <v>0</v>
      </c>
      <c r="J63" s="4"/>
      <c r="K63" s="4"/>
      <c r="L63" s="1">
        <v>-0.7366</v>
      </c>
      <c r="M63" s="1">
        <v>6.14</v>
      </c>
      <c r="N63" s="1">
        <v>84.91</v>
      </c>
      <c r="O63" s="1">
        <v>1.602075472</v>
      </c>
      <c r="P63" s="4"/>
      <c r="Q63" s="4"/>
      <c r="R63" s="1" t="s">
        <v>89</v>
      </c>
      <c r="S63" s="1" t="s">
        <v>389</v>
      </c>
      <c r="T63" s="1" t="s">
        <v>152</v>
      </c>
      <c r="U63" s="1">
        <v>27.0</v>
      </c>
      <c r="V63" s="5" t="s">
        <v>388</v>
      </c>
      <c r="W63" s="1" t="s">
        <v>389</v>
      </c>
      <c r="X63" s="1" t="s">
        <v>391</v>
      </c>
      <c r="Y63" s="4"/>
      <c r="Z63" s="4"/>
      <c r="AA63" s="4" t="b">
        <f>IFERROR(__xludf.DUMMYFUNCTION("IF(X63="""",,REGEXMATCH(X63,""[א-ת]""))"),FALSE)</f>
        <v>0</v>
      </c>
      <c r="AB63" s="1">
        <v>11.31</v>
      </c>
      <c r="AC63" s="1">
        <v>77.36</v>
      </c>
      <c r="AD63" s="1">
        <v>0.453912105580886</v>
      </c>
      <c r="AE63" s="1">
        <v>0.0</v>
      </c>
      <c r="AF63" s="1">
        <v>0.1901</v>
      </c>
      <c r="AG63" s="1">
        <v>6.337</v>
      </c>
      <c r="AH63" s="1">
        <v>6.781</v>
      </c>
      <c r="AI63" s="1" t="b">
        <v>1</v>
      </c>
      <c r="AJ63" s="1" t="b">
        <v>0</v>
      </c>
      <c r="AK63" s="1">
        <v>94.182</v>
      </c>
      <c r="AL63" s="1">
        <v>96.508</v>
      </c>
      <c r="AM63" s="1" t="b">
        <v>0</v>
      </c>
      <c r="AN63" s="1" t="b">
        <v>0</v>
      </c>
      <c r="AO63" s="1">
        <v>8.05</v>
      </c>
      <c r="AP63" s="1">
        <v>8.53399999999999</v>
      </c>
      <c r="AQ63" s="1" t="b">
        <v>1</v>
      </c>
      <c r="AR63" s="1" t="b">
        <v>0</v>
      </c>
      <c r="AS63" s="1">
        <v>86.9179999999999</v>
      </c>
      <c r="AT63" s="1">
        <v>87.152</v>
      </c>
      <c r="AU63" s="1" t="b">
        <v>0</v>
      </c>
      <c r="AV63" s="1" t="b">
        <v>0</v>
      </c>
      <c r="AW63" s="1">
        <v>9.61399999999999</v>
      </c>
      <c r="AX63" s="1">
        <v>11.026</v>
      </c>
      <c r="AY63" s="1" t="b">
        <v>1</v>
      </c>
      <c r="AZ63" s="1" t="b">
        <v>0</v>
      </c>
      <c r="BA63" s="1">
        <v>81.25</v>
      </c>
      <c r="BB63" s="1">
        <v>77.78</v>
      </c>
      <c r="BC63" s="1" t="b">
        <v>1</v>
      </c>
      <c r="BD63" s="1" t="b">
        <v>0</v>
      </c>
      <c r="BE63" s="1">
        <v>11.34</v>
      </c>
      <c r="BF63" s="1">
        <v>13.285</v>
      </c>
      <c r="BG63" s="1" t="b">
        <v>1</v>
      </c>
      <c r="BH63" s="1" t="b">
        <v>1</v>
      </c>
      <c r="BI63" s="1">
        <v>77.78</v>
      </c>
      <c r="BJ63" s="1">
        <v>75.0</v>
      </c>
      <c r="BK63" s="1" t="b">
        <v>1</v>
      </c>
      <c r="BL63" s="1" t="b">
        <v>1</v>
      </c>
      <c r="BM63" s="1">
        <v>13.121</v>
      </c>
      <c r="BN63" s="1">
        <v>14.568</v>
      </c>
      <c r="BO63" s="1" t="b">
        <v>1</v>
      </c>
      <c r="BP63" s="1" t="b">
        <v>1</v>
      </c>
      <c r="BQ63" s="1">
        <v>75.0</v>
      </c>
      <c r="BR63" s="1">
        <v>72.027</v>
      </c>
      <c r="BS63" s="1" t="b">
        <v>1</v>
      </c>
      <c r="BT63" s="1" t="b">
        <v>1</v>
      </c>
      <c r="BU63" s="1" t="s">
        <v>91</v>
      </c>
      <c r="BV63" s="1" t="s">
        <v>105</v>
      </c>
      <c r="BW63" s="1" t="s">
        <v>91</v>
      </c>
      <c r="BX63" s="1" t="s">
        <v>105</v>
      </c>
      <c r="BY63" s="1" t="s">
        <v>91</v>
      </c>
      <c r="BZ63" s="1" t="s">
        <v>91</v>
      </c>
      <c r="CA63" s="1" t="s">
        <v>104</v>
      </c>
      <c r="CB63" s="1" t="s">
        <v>104</v>
      </c>
      <c r="CC63" s="1" t="s">
        <v>104</v>
      </c>
      <c r="CD63" s="1" t="s">
        <v>104</v>
      </c>
      <c r="CE63" s="4"/>
      <c r="CF63" s="4"/>
    </row>
    <row r="64" hidden="1">
      <c r="A64" s="1" t="s">
        <v>82</v>
      </c>
      <c r="B64" s="1" t="s">
        <v>139</v>
      </c>
      <c r="C64" s="1">
        <v>8.0</v>
      </c>
      <c r="D64" s="5" t="s">
        <v>392</v>
      </c>
      <c r="E64" s="1" t="s">
        <v>393</v>
      </c>
      <c r="F64" s="1">
        <v>7.0</v>
      </c>
      <c r="G64" s="1">
        <v>0.0</v>
      </c>
      <c r="H64" s="1" t="s">
        <v>394</v>
      </c>
      <c r="I64" s="4" t="b">
        <f>IFERROR(__xludf.DUMMYFUNCTION("IF(H64="""",,REGEXMATCH(H64,""[א-ת]""))"),FALSE)</f>
        <v>0</v>
      </c>
      <c r="J64" s="4"/>
      <c r="K64" s="4"/>
      <c r="L64" s="1">
        <v>0.0</v>
      </c>
      <c r="M64" s="1">
        <v>6.25</v>
      </c>
      <c r="N64" s="1">
        <v>114.29</v>
      </c>
      <c r="O64" s="1">
        <v>16.32714286</v>
      </c>
      <c r="P64" s="4"/>
      <c r="Q64" s="4"/>
      <c r="R64" s="1" t="s">
        <v>96</v>
      </c>
      <c r="S64" s="1" t="s">
        <v>393</v>
      </c>
      <c r="T64" s="1" t="s">
        <v>139</v>
      </c>
      <c r="U64" s="1">
        <v>9.0</v>
      </c>
      <c r="V64" s="5" t="s">
        <v>392</v>
      </c>
      <c r="W64" s="1" t="s">
        <v>393</v>
      </c>
      <c r="X64" s="1" t="s">
        <v>395</v>
      </c>
      <c r="Y64" s="4"/>
      <c r="Z64" s="4"/>
      <c r="AA64" s="4" t="b">
        <f>IFERROR(__xludf.DUMMYFUNCTION("IF(X64="""",,REGEXMATCH(X64,""[א-ת]""))"),FALSE)</f>
        <v>0</v>
      </c>
      <c r="AB64" s="1">
        <v>14.26</v>
      </c>
      <c r="AC64" s="1">
        <v>57.14</v>
      </c>
      <c r="AD64" s="1">
        <v>0.462028972986512</v>
      </c>
      <c r="AE64" s="1">
        <v>0.0</v>
      </c>
      <c r="AF64" s="1">
        <v>0.0</v>
      </c>
      <c r="AG64" s="1">
        <v>6.337</v>
      </c>
      <c r="AH64" s="1">
        <v>6.781</v>
      </c>
      <c r="AI64" s="1" t="b">
        <v>1</v>
      </c>
      <c r="AJ64" s="1" t="b">
        <v>0</v>
      </c>
      <c r="AK64" s="1">
        <v>94.182</v>
      </c>
      <c r="AL64" s="1">
        <v>96.508</v>
      </c>
      <c r="AM64" s="1" t="b">
        <v>1</v>
      </c>
      <c r="AN64" s="1" t="b">
        <v>0</v>
      </c>
      <c r="AO64" s="1">
        <v>8.05</v>
      </c>
      <c r="AP64" s="1">
        <v>8.53399999999999</v>
      </c>
      <c r="AQ64" s="1" t="b">
        <v>1</v>
      </c>
      <c r="AR64" s="1" t="b">
        <v>0</v>
      </c>
      <c r="AS64" s="1">
        <v>86.9179999999999</v>
      </c>
      <c r="AT64" s="1">
        <v>87.152</v>
      </c>
      <c r="AU64" s="1" t="b">
        <v>1</v>
      </c>
      <c r="AV64" s="1" t="b">
        <v>0</v>
      </c>
      <c r="AW64" s="1">
        <v>9.61399999999999</v>
      </c>
      <c r="AX64" s="1">
        <v>11.026</v>
      </c>
      <c r="AY64" s="1" t="b">
        <v>1</v>
      </c>
      <c r="AZ64" s="1" t="b">
        <v>0</v>
      </c>
      <c r="BA64" s="1">
        <v>81.25</v>
      </c>
      <c r="BB64" s="1">
        <v>77.78</v>
      </c>
      <c r="BC64" s="1" t="b">
        <v>1</v>
      </c>
      <c r="BD64" s="1" t="b">
        <v>0</v>
      </c>
      <c r="BE64" s="1">
        <v>11.34</v>
      </c>
      <c r="BF64" s="1">
        <v>13.285</v>
      </c>
      <c r="BG64" s="1" t="b">
        <v>1</v>
      </c>
      <c r="BH64" s="1" t="b">
        <v>0</v>
      </c>
      <c r="BI64" s="1">
        <v>77.78</v>
      </c>
      <c r="BJ64" s="1">
        <v>75.0</v>
      </c>
      <c r="BK64" s="1" t="b">
        <v>1</v>
      </c>
      <c r="BL64" s="1" t="b">
        <v>0</v>
      </c>
      <c r="BM64" s="1">
        <v>13.121</v>
      </c>
      <c r="BN64" s="1">
        <v>14.568</v>
      </c>
      <c r="BO64" s="1" t="b">
        <v>1</v>
      </c>
      <c r="BP64" s="1" t="b">
        <v>1</v>
      </c>
      <c r="BQ64" s="1">
        <v>75.0</v>
      </c>
      <c r="BR64" s="1">
        <v>72.027</v>
      </c>
      <c r="BS64" s="1" t="b">
        <v>1</v>
      </c>
      <c r="BT64" s="1" t="b">
        <v>0</v>
      </c>
      <c r="BU64" s="1" t="s">
        <v>91</v>
      </c>
      <c r="BV64" s="1" t="s">
        <v>91</v>
      </c>
      <c r="BW64" s="1" t="s">
        <v>91</v>
      </c>
      <c r="BX64" s="1" t="s">
        <v>91</v>
      </c>
      <c r="BY64" s="1" t="s">
        <v>91</v>
      </c>
      <c r="BZ64" s="1" t="s">
        <v>91</v>
      </c>
      <c r="CA64" s="1" t="s">
        <v>91</v>
      </c>
      <c r="CB64" s="1" t="s">
        <v>91</v>
      </c>
      <c r="CC64" s="1" t="s">
        <v>104</v>
      </c>
      <c r="CD64" s="1" t="s">
        <v>91</v>
      </c>
      <c r="CE64" s="4"/>
      <c r="CF64" s="4"/>
    </row>
    <row r="65" hidden="1">
      <c r="A65" s="1" t="s">
        <v>82</v>
      </c>
      <c r="B65" s="1" t="s">
        <v>152</v>
      </c>
      <c r="C65" s="1">
        <v>21.0</v>
      </c>
      <c r="D65" s="5" t="s">
        <v>396</v>
      </c>
      <c r="E65" s="1" t="s">
        <v>397</v>
      </c>
      <c r="F65" s="1">
        <v>42.0</v>
      </c>
      <c r="G65" s="1">
        <v>-0.5719</v>
      </c>
      <c r="H65" s="1" t="s">
        <v>398</v>
      </c>
      <c r="I65" s="4" t="b">
        <f>IFERROR(__xludf.DUMMYFUNCTION("IF(H65="""",,REGEXMATCH(H65,""[א-ת]""))"),FALSE)</f>
        <v>0</v>
      </c>
      <c r="J65" s="4"/>
      <c r="K65" s="4"/>
      <c r="L65" s="1">
        <v>-0.5719</v>
      </c>
      <c r="M65" s="1">
        <v>6.26</v>
      </c>
      <c r="N65" s="1">
        <v>95.24</v>
      </c>
      <c r="O65" s="1">
        <v>2.267619048</v>
      </c>
      <c r="P65" s="4"/>
      <c r="Q65" s="4"/>
      <c r="R65" s="1" t="s">
        <v>89</v>
      </c>
      <c r="S65" s="1" t="s">
        <v>397</v>
      </c>
      <c r="T65" s="1" t="s">
        <v>152</v>
      </c>
      <c r="U65" s="1">
        <v>22.0</v>
      </c>
      <c r="V65" s="5" t="s">
        <v>396</v>
      </c>
      <c r="W65" s="1" t="s">
        <v>397</v>
      </c>
      <c r="X65" s="1" t="s">
        <v>399</v>
      </c>
      <c r="Y65" s="4"/>
      <c r="Z65" s="4"/>
      <c r="AA65" s="4" t="b">
        <f>IFERROR(__xludf.DUMMYFUNCTION("IF(X65="""",,REGEXMATCH(X65,""[א-ת]""))"),FALSE)</f>
        <v>0</v>
      </c>
      <c r="AB65" s="1">
        <v>15.93</v>
      </c>
      <c r="AC65" s="1">
        <v>73.81</v>
      </c>
      <c r="AD65" s="1">
        <v>0.272038453342266</v>
      </c>
      <c r="AE65" s="1">
        <v>0.3612</v>
      </c>
      <c r="AF65" s="1">
        <v>-0.5719</v>
      </c>
      <c r="AG65" s="1">
        <v>6.337</v>
      </c>
      <c r="AH65" s="1">
        <v>6.781</v>
      </c>
      <c r="AI65" s="1" t="b">
        <v>1</v>
      </c>
      <c r="AJ65" s="1" t="b">
        <v>0</v>
      </c>
      <c r="AK65" s="1">
        <v>94.182</v>
      </c>
      <c r="AL65" s="1">
        <v>96.508</v>
      </c>
      <c r="AM65" s="1" t="b">
        <v>1</v>
      </c>
      <c r="AN65" s="1" t="b">
        <v>0</v>
      </c>
      <c r="AO65" s="1">
        <v>8.05</v>
      </c>
      <c r="AP65" s="1">
        <v>8.53399999999999</v>
      </c>
      <c r="AQ65" s="1" t="b">
        <v>1</v>
      </c>
      <c r="AR65" s="1" t="b">
        <v>0</v>
      </c>
      <c r="AS65" s="1">
        <v>86.9179999999999</v>
      </c>
      <c r="AT65" s="1">
        <v>87.152</v>
      </c>
      <c r="AU65" s="1" t="b">
        <v>1</v>
      </c>
      <c r="AV65" s="1" t="b">
        <v>0</v>
      </c>
      <c r="AW65" s="1">
        <v>9.61399999999999</v>
      </c>
      <c r="AX65" s="1">
        <v>11.026</v>
      </c>
      <c r="AY65" s="1" t="b">
        <v>1</v>
      </c>
      <c r="AZ65" s="1" t="b">
        <v>0</v>
      </c>
      <c r="BA65" s="1">
        <v>81.25</v>
      </c>
      <c r="BB65" s="1">
        <v>77.78</v>
      </c>
      <c r="BC65" s="1" t="b">
        <v>1</v>
      </c>
      <c r="BD65" s="1" t="b">
        <v>0</v>
      </c>
      <c r="BE65" s="1">
        <v>11.34</v>
      </c>
      <c r="BF65" s="1">
        <v>13.285</v>
      </c>
      <c r="BG65" s="1" t="b">
        <v>1</v>
      </c>
      <c r="BH65" s="1" t="b">
        <v>0</v>
      </c>
      <c r="BI65" s="1">
        <v>77.78</v>
      </c>
      <c r="BJ65" s="1">
        <v>75.0</v>
      </c>
      <c r="BK65" s="1" t="b">
        <v>1</v>
      </c>
      <c r="BL65" s="1" t="b">
        <v>0</v>
      </c>
      <c r="BM65" s="1">
        <v>13.121</v>
      </c>
      <c r="BN65" s="1">
        <v>14.568</v>
      </c>
      <c r="BO65" s="1" t="b">
        <v>1</v>
      </c>
      <c r="BP65" s="1" t="b">
        <v>0</v>
      </c>
      <c r="BQ65" s="1">
        <v>75.0</v>
      </c>
      <c r="BR65" s="1">
        <v>72.027</v>
      </c>
      <c r="BS65" s="1" t="b">
        <v>1</v>
      </c>
      <c r="BT65" s="1" t="b">
        <v>1</v>
      </c>
      <c r="BU65" s="1" t="s">
        <v>91</v>
      </c>
      <c r="BV65" s="1" t="s">
        <v>91</v>
      </c>
      <c r="BW65" s="1" t="s">
        <v>91</v>
      </c>
      <c r="BX65" s="1" t="s">
        <v>91</v>
      </c>
      <c r="BY65" s="1" t="s">
        <v>91</v>
      </c>
      <c r="BZ65" s="1" t="s">
        <v>91</v>
      </c>
      <c r="CA65" s="1" t="s">
        <v>91</v>
      </c>
      <c r="CB65" s="1" t="s">
        <v>91</v>
      </c>
      <c r="CC65" s="1" t="s">
        <v>91</v>
      </c>
      <c r="CD65" s="1" t="s">
        <v>104</v>
      </c>
      <c r="CE65" s="4"/>
      <c r="CF65" s="4"/>
    </row>
    <row r="66" hidden="1">
      <c r="A66" s="1" t="s">
        <v>82</v>
      </c>
      <c r="B66" s="1" t="s">
        <v>304</v>
      </c>
      <c r="C66" s="1">
        <v>34.0</v>
      </c>
      <c r="D66" s="5" t="s">
        <v>400</v>
      </c>
      <c r="E66" s="1" t="s">
        <v>401</v>
      </c>
      <c r="F66" s="1">
        <v>15.0</v>
      </c>
      <c r="G66" s="1">
        <v>0.0</v>
      </c>
      <c r="H66" s="1" t="s">
        <v>402</v>
      </c>
      <c r="I66" s="4" t="b">
        <f>IFERROR(__xludf.DUMMYFUNCTION("IF(H66="""",,REGEXMATCH(H66,""[א-ת]""))"),FALSE)</f>
        <v>0</v>
      </c>
      <c r="J66" s="4"/>
      <c r="K66" s="4"/>
      <c r="L66" s="1">
        <v>0.0</v>
      </c>
      <c r="M66" s="1">
        <v>6.31</v>
      </c>
      <c r="N66" s="1">
        <v>66.67</v>
      </c>
      <c r="O66" s="1">
        <v>4.444666667</v>
      </c>
      <c r="P66" s="4"/>
      <c r="Q66" s="4"/>
      <c r="R66" s="1" t="s">
        <v>89</v>
      </c>
      <c r="S66" s="1" t="s">
        <v>401</v>
      </c>
      <c r="T66" s="1" t="s">
        <v>304</v>
      </c>
      <c r="U66" s="1">
        <v>35.0</v>
      </c>
      <c r="V66" s="5" t="s">
        <v>400</v>
      </c>
      <c r="W66" s="1" t="s">
        <v>401</v>
      </c>
      <c r="X66" s="1" t="s">
        <v>403</v>
      </c>
      <c r="Y66" s="4"/>
      <c r="Z66" s="4"/>
      <c r="AA66" s="4" t="b">
        <f>IFERROR(__xludf.DUMMYFUNCTION("IF(X66="""",,REGEXMATCH(X66,""[א-ת]""))"),FALSE)</f>
        <v>0</v>
      </c>
      <c r="AB66" s="1">
        <v>9.85</v>
      </c>
      <c r="AC66" s="1">
        <v>60.0</v>
      </c>
      <c r="AD66" s="1">
        <v>0.330056448459149</v>
      </c>
      <c r="AE66" s="1">
        <v>0.0</v>
      </c>
      <c r="AF66" s="1">
        <v>0.0</v>
      </c>
      <c r="AG66" s="1">
        <v>6.337</v>
      </c>
      <c r="AH66" s="1">
        <v>6.781</v>
      </c>
      <c r="AI66" s="1" t="b">
        <v>1</v>
      </c>
      <c r="AJ66" s="1" t="b">
        <v>0</v>
      </c>
      <c r="AK66" s="1">
        <v>94.182</v>
      </c>
      <c r="AL66" s="1">
        <v>96.508</v>
      </c>
      <c r="AM66" s="1" t="b">
        <v>0</v>
      </c>
      <c r="AN66" s="1" t="b">
        <v>0</v>
      </c>
      <c r="AO66" s="1">
        <v>8.05</v>
      </c>
      <c r="AP66" s="1">
        <v>8.53399999999999</v>
      </c>
      <c r="AQ66" s="1" t="b">
        <v>1</v>
      </c>
      <c r="AR66" s="1" t="b">
        <v>0</v>
      </c>
      <c r="AS66" s="1">
        <v>86.9179999999999</v>
      </c>
      <c r="AT66" s="1">
        <v>87.152</v>
      </c>
      <c r="AU66" s="1" t="b">
        <v>0</v>
      </c>
      <c r="AV66" s="1" t="b">
        <v>0</v>
      </c>
      <c r="AW66" s="1">
        <v>9.61399999999999</v>
      </c>
      <c r="AX66" s="1">
        <v>11.026</v>
      </c>
      <c r="AY66" s="1" t="b">
        <v>1</v>
      </c>
      <c r="AZ66" s="1" t="b">
        <v>1</v>
      </c>
      <c r="BA66" s="1">
        <v>81.25</v>
      </c>
      <c r="BB66" s="1">
        <v>77.78</v>
      </c>
      <c r="BC66" s="1" t="b">
        <v>0</v>
      </c>
      <c r="BD66" s="1" t="b">
        <v>0</v>
      </c>
      <c r="BE66" s="1">
        <v>11.34</v>
      </c>
      <c r="BF66" s="1">
        <v>13.285</v>
      </c>
      <c r="BG66" s="1" t="b">
        <v>1</v>
      </c>
      <c r="BH66" s="1" t="b">
        <v>1</v>
      </c>
      <c r="BI66" s="1">
        <v>77.78</v>
      </c>
      <c r="BJ66" s="1">
        <v>75.0</v>
      </c>
      <c r="BK66" s="1" t="b">
        <v>0</v>
      </c>
      <c r="BL66" s="1" t="b">
        <v>0</v>
      </c>
      <c r="BM66" s="1">
        <v>13.121</v>
      </c>
      <c r="BN66" s="1">
        <v>14.568</v>
      </c>
      <c r="BO66" s="1" t="b">
        <v>1</v>
      </c>
      <c r="BP66" s="1" t="b">
        <v>1</v>
      </c>
      <c r="BQ66" s="1">
        <v>75.0</v>
      </c>
      <c r="BR66" s="1">
        <v>72.027</v>
      </c>
      <c r="BS66" s="1" t="b">
        <v>0</v>
      </c>
      <c r="BT66" s="1" t="b">
        <v>0</v>
      </c>
      <c r="BU66" s="1" t="s">
        <v>91</v>
      </c>
      <c r="BV66" s="1" t="s">
        <v>105</v>
      </c>
      <c r="BW66" s="1" t="s">
        <v>91</v>
      </c>
      <c r="BX66" s="1" t="s">
        <v>105</v>
      </c>
      <c r="BY66" s="1" t="s">
        <v>104</v>
      </c>
      <c r="BZ66" s="1" t="s">
        <v>105</v>
      </c>
      <c r="CA66" s="1" t="s">
        <v>104</v>
      </c>
      <c r="CB66" s="1" t="s">
        <v>105</v>
      </c>
      <c r="CC66" s="1" t="s">
        <v>104</v>
      </c>
      <c r="CD66" s="1" t="s">
        <v>105</v>
      </c>
      <c r="CE66" s="4"/>
      <c r="CF66" s="4"/>
    </row>
    <row r="67">
      <c r="A67" s="1" t="s">
        <v>82</v>
      </c>
      <c r="B67" s="1" t="s">
        <v>145</v>
      </c>
      <c r="C67" s="1">
        <v>5.0</v>
      </c>
      <c r="D67" s="5" t="s">
        <v>404</v>
      </c>
      <c r="E67" s="1" t="s">
        <v>405</v>
      </c>
      <c r="F67" s="1">
        <v>34.0</v>
      </c>
      <c r="G67" s="1">
        <v>0.0</v>
      </c>
      <c r="H67" s="1" t="s">
        <v>406</v>
      </c>
      <c r="I67" s="4" t="b">
        <f>IFERROR(__xludf.DUMMYFUNCTION("IF(H67="""",,REGEXMATCH(H67,""[א-ת]""))"),FALSE)</f>
        <v>0</v>
      </c>
      <c r="J67" s="4"/>
      <c r="K67" s="4"/>
      <c r="L67" s="1">
        <v>0.0772</v>
      </c>
      <c r="M67" s="1">
        <v>6.34</v>
      </c>
      <c r="N67" s="1">
        <v>67.65</v>
      </c>
      <c r="O67" s="1">
        <v>1.989705882</v>
      </c>
      <c r="P67" s="4"/>
      <c r="Q67" s="4"/>
      <c r="R67" s="1" t="s">
        <v>89</v>
      </c>
      <c r="S67" s="1" t="s">
        <v>405</v>
      </c>
      <c r="T67" s="1" t="s">
        <v>145</v>
      </c>
      <c r="U67" s="1">
        <v>6.0</v>
      </c>
      <c r="V67" s="5" t="s">
        <v>404</v>
      </c>
      <c r="W67" s="1" t="s">
        <v>405</v>
      </c>
      <c r="X67" s="1" t="s">
        <v>407</v>
      </c>
      <c r="Y67" s="1" t="s">
        <v>408</v>
      </c>
      <c r="Z67" s="1" t="s">
        <v>409</v>
      </c>
      <c r="AA67" s="4" t="b">
        <f>IFERROR(__xludf.DUMMYFUNCTION("IF(X67="""",,REGEXMATCH(X67,""[א-ת]""))"),FALSE)</f>
        <v>0</v>
      </c>
      <c r="AB67" s="1">
        <v>6.7</v>
      </c>
      <c r="AC67" s="1">
        <v>67.65</v>
      </c>
      <c r="AD67" s="1">
        <v>0.408351400921317</v>
      </c>
      <c r="AE67" s="1">
        <v>0.0</v>
      </c>
      <c r="AF67" s="1">
        <v>0.0</v>
      </c>
      <c r="AG67" s="1">
        <v>6.337</v>
      </c>
      <c r="AH67" s="1">
        <v>6.781</v>
      </c>
      <c r="AI67" s="1" t="b">
        <v>0</v>
      </c>
      <c r="AJ67" s="1" t="b">
        <v>1</v>
      </c>
      <c r="AK67" s="1">
        <v>94.182</v>
      </c>
      <c r="AL67" s="1">
        <v>96.508</v>
      </c>
      <c r="AM67" s="1" t="b">
        <v>0</v>
      </c>
      <c r="AN67" s="1" t="b">
        <v>0</v>
      </c>
      <c r="AO67" s="1">
        <v>8.05</v>
      </c>
      <c r="AP67" s="1">
        <v>8.53399999999999</v>
      </c>
      <c r="AQ67" s="1" t="b">
        <v>1</v>
      </c>
      <c r="AR67" s="1" t="b">
        <v>1</v>
      </c>
      <c r="AS67" s="1">
        <v>86.9179999999999</v>
      </c>
      <c r="AT67" s="1">
        <v>87.152</v>
      </c>
      <c r="AU67" s="1" t="b">
        <v>0</v>
      </c>
      <c r="AV67" s="1" t="b">
        <v>0</v>
      </c>
      <c r="AW67" s="1">
        <v>9.61399999999999</v>
      </c>
      <c r="AX67" s="1">
        <v>11.026</v>
      </c>
      <c r="AY67" s="1" t="b">
        <v>1</v>
      </c>
      <c r="AZ67" s="1" t="b">
        <v>1</v>
      </c>
      <c r="BA67" s="1">
        <v>81.25</v>
      </c>
      <c r="BB67" s="1">
        <v>77.78</v>
      </c>
      <c r="BC67" s="1" t="b">
        <v>0</v>
      </c>
      <c r="BD67" s="1" t="b">
        <v>0</v>
      </c>
      <c r="BE67" s="1">
        <v>11.34</v>
      </c>
      <c r="BF67" s="1">
        <v>13.285</v>
      </c>
      <c r="BG67" s="1" t="b">
        <v>1</v>
      </c>
      <c r="BH67" s="1" t="b">
        <v>1</v>
      </c>
      <c r="BI67" s="1">
        <v>77.78</v>
      </c>
      <c r="BJ67" s="1">
        <v>75.0</v>
      </c>
      <c r="BK67" s="1" t="b">
        <v>0</v>
      </c>
      <c r="BL67" s="1" t="b">
        <v>0</v>
      </c>
      <c r="BM67" s="1">
        <v>13.121</v>
      </c>
      <c r="BN67" s="1">
        <v>14.568</v>
      </c>
      <c r="BO67" s="1" t="b">
        <v>1</v>
      </c>
      <c r="BP67" s="1" t="b">
        <v>1</v>
      </c>
      <c r="BQ67" s="1">
        <v>75.0</v>
      </c>
      <c r="BR67" s="1">
        <v>72.027</v>
      </c>
      <c r="BS67" s="1" t="b">
        <v>0</v>
      </c>
      <c r="BT67" s="1" t="b">
        <v>0</v>
      </c>
      <c r="BU67" s="1" t="s">
        <v>157</v>
      </c>
      <c r="BV67" s="1" t="s">
        <v>105</v>
      </c>
      <c r="BW67" s="1" t="s">
        <v>104</v>
      </c>
      <c r="BX67" s="1" t="s">
        <v>105</v>
      </c>
      <c r="BY67" s="1" t="s">
        <v>104</v>
      </c>
      <c r="BZ67" s="1" t="s">
        <v>105</v>
      </c>
      <c r="CA67" s="1" t="s">
        <v>104</v>
      </c>
      <c r="CB67" s="1" t="s">
        <v>105</v>
      </c>
      <c r="CC67" s="1" t="s">
        <v>104</v>
      </c>
      <c r="CD67" s="1" t="s">
        <v>105</v>
      </c>
      <c r="CE67" s="4"/>
      <c r="CF67" s="4"/>
    </row>
    <row r="68" hidden="1">
      <c r="A68" s="1" t="s">
        <v>82</v>
      </c>
      <c r="B68" s="1" t="s">
        <v>333</v>
      </c>
      <c r="C68" s="1">
        <v>2.0</v>
      </c>
      <c r="D68" s="5" t="s">
        <v>410</v>
      </c>
      <c r="E68" s="1" t="s">
        <v>411</v>
      </c>
      <c r="F68" s="1">
        <v>71.0</v>
      </c>
      <c r="G68" s="1">
        <v>0.5859</v>
      </c>
      <c r="H68" s="1" t="s">
        <v>412</v>
      </c>
      <c r="I68" s="4" t="b">
        <f>IFERROR(__xludf.DUMMYFUNCTION("IF(H68="""",,REGEXMATCH(H68,""[א-ת]""))"),FALSE)</f>
        <v>0</v>
      </c>
      <c r="J68" s="4"/>
      <c r="K68" s="1" t="s">
        <v>413</v>
      </c>
      <c r="L68" s="1">
        <v>0.5983</v>
      </c>
      <c r="M68" s="1">
        <v>6.42</v>
      </c>
      <c r="N68" s="1">
        <v>77.46</v>
      </c>
      <c r="O68" s="1">
        <v>1.090985915</v>
      </c>
      <c r="P68" s="4"/>
      <c r="Q68" s="4"/>
      <c r="R68" s="1" t="s">
        <v>89</v>
      </c>
      <c r="S68" s="1" t="s">
        <v>411</v>
      </c>
      <c r="T68" s="1" t="s">
        <v>333</v>
      </c>
      <c r="U68" s="1">
        <v>3.0</v>
      </c>
      <c r="V68" s="5" t="s">
        <v>410</v>
      </c>
      <c r="W68" s="1" t="s">
        <v>411</v>
      </c>
      <c r="X68" s="1" t="s">
        <v>414</v>
      </c>
      <c r="Y68" s="4"/>
      <c r="Z68" s="4"/>
      <c r="AA68" s="4" t="b">
        <f>IFERROR(__xludf.DUMMYFUNCTION("IF(X68="""",,REGEXMATCH(X68,""[א-ת]""))"),TRUE)</f>
        <v>1</v>
      </c>
      <c r="AB68" s="1">
        <v>17.26</v>
      </c>
      <c r="AC68" s="1">
        <v>69.01</v>
      </c>
      <c r="AD68" s="1">
        <v>0.395144620210321</v>
      </c>
      <c r="AE68" s="1">
        <v>0.4574</v>
      </c>
      <c r="AF68" s="1">
        <v>0.5859</v>
      </c>
      <c r="AG68" s="1">
        <v>6.337</v>
      </c>
      <c r="AH68" s="1">
        <v>6.781</v>
      </c>
      <c r="AI68" s="1" t="b">
        <v>0</v>
      </c>
      <c r="AJ68" s="1" t="b">
        <v>0</v>
      </c>
      <c r="AK68" s="1">
        <v>94.182</v>
      </c>
      <c r="AL68" s="1">
        <v>96.508</v>
      </c>
      <c r="AM68" s="1" t="b">
        <v>0</v>
      </c>
      <c r="AN68" s="1" t="b">
        <v>0</v>
      </c>
      <c r="AO68" s="1">
        <v>8.05</v>
      </c>
      <c r="AP68" s="1">
        <v>8.53399999999999</v>
      </c>
      <c r="AQ68" s="1" t="b">
        <v>1</v>
      </c>
      <c r="AR68" s="1" t="b">
        <v>0</v>
      </c>
      <c r="AS68" s="1">
        <v>86.9179999999999</v>
      </c>
      <c r="AT68" s="1">
        <v>87.152</v>
      </c>
      <c r="AU68" s="1" t="b">
        <v>0</v>
      </c>
      <c r="AV68" s="1" t="b">
        <v>0</v>
      </c>
      <c r="AW68" s="1">
        <v>9.61399999999999</v>
      </c>
      <c r="AX68" s="1">
        <v>11.026</v>
      </c>
      <c r="AY68" s="1" t="b">
        <v>1</v>
      </c>
      <c r="AZ68" s="1" t="b">
        <v>0</v>
      </c>
      <c r="BA68" s="1">
        <v>81.25</v>
      </c>
      <c r="BB68" s="1">
        <v>77.78</v>
      </c>
      <c r="BC68" s="1" t="b">
        <v>0</v>
      </c>
      <c r="BD68" s="1" t="b">
        <v>0</v>
      </c>
      <c r="BE68" s="1">
        <v>11.34</v>
      </c>
      <c r="BF68" s="1">
        <v>13.285</v>
      </c>
      <c r="BG68" s="1" t="b">
        <v>1</v>
      </c>
      <c r="BH68" s="1" t="b">
        <v>0</v>
      </c>
      <c r="BI68" s="1">
        <v>77.78</v>
      </c>
      <c r="BJ68" s="1">
        <v>75.0</v>
      </c>
      <c r="BK68" s="1" t="b">
        <v>0</v>
      </c>
      <c r="BL68" s="1" t="b">
        <v>0</v>
      </c>
      <c r="BM68" s="1">
        <v>13.121</v>
      </c>
      <c r="BN68" s="1">
        <v>14.568</v>
      </c>
      <c r="BO68" s="1" t="b">
        <v>1</v>
      </c>
      <c r="BP68" s="1" t="b">
        <v>0</v>
      </c>
      <c r="BQ68" s="1">
        <v>75.0</v>
      </c>
      <c r="BR68" s="1">
        <v>72.027</v>
      </c>
      <c r="BS68" s="1" t="b">
        <v>1</v>
      </c>
      <c r="BT68" s="1" t="b">
        <v>0</v>
      </c>
      <c r="BU68" s="1" t="s">
        <v>105</v>
      </c>
      <c r="BV68" s="1" t="s">
        <v>105</v>
      </c>
      <c r="BW68" s="1" t="s">
        <v>91</v>
      </c>
      <c r="BX68" s="1" t="s">
        <v>105</v>
      </c>
      <c r="BY68" s="1" t="s">
        <v>91</v>
      </c>
      <c r="BZ68" s="1" t="s">
        <v>105</v>
      </c>
      <c r="CA68" s="1" t="s">
        <v>91</v>
      </c>
      <c r="CB68" s="1" t="s">
        <v>105</v>
      </c>
      <c r="CC68" s="1" t="s">
        <v>91</v>
      </c>
      <c r="CD68" s="1" t="s">
        <v>91</v>
      </c>
      <c r="CE68" s="4"/>
      <c r="CF68" s="4"/>
    </row>
    <row r="69" hidden="1">
      <c r="A69" s="1" t="s">
        <v>82</v>
      </c>
      <c r="B69" s="1" t="s">
        <v>152</v>
      </c>
      <c r="C69" s="1">
        <v>16.0</v>
      </c>
      <c r="D69" s="5" t="s">
        <v>415</v>
      </c>
      <c r="E69" s="1" t="s">
        <v>416</v>
      </c>
      <c r="F69" s="1">
        <v>16.0</v>
      </c>
      <c r="G69" s="1">
        <v>0.0</v>
      </c>
      <c r="H69" s="1" t="s">
        <v>417</v>
      </c>
      <c r="I69" s="4" t="b">
        <f>IFERROR(__xludf.DUMMYFUNCTION("IF(H69="""",,REGEXMATCH(H69,""[א-ת]""))"),FALSE)</f>
        <v>0</v>
      </c>
      <c r="J69" s="4"/>
      <c r="K69" s="4"/>
      <c r="L69" s="1">
        <v>0.1779</v>
      </c>
      <c r="M69" s="1">
        <v>6.54</v>
      </c>
      <c r="N69" s="1">
        <v>93.75</v>
      </c>
      <c r="O69" s="1">
        <v>5.859375</v>
      </c>
      <c r="P69" s="4"/>
      <c r="Q69" s="4"/>
      <c r="R69" s="1" t="s">
        <v>89</v>
      </c>
      <c r="S69" s="1" t="s">
        <v>416</v>
      </c>
      <c r="T69" s="1" t="s">
        <v>152</v>
      </c>
      <c r="U69" s="1">
        <v>17.0</v>
      </c>
      <c r="V69" s="5" t="s">
        <v>415</v>
      </c>
      <c r="W69" s="1" t="s">
        <v>416</v>
      </c>
      <c r="X69" s="1" t="s">
        <v>418</v>
      </c>
      <c r="Y69" s="4"/>
      <c r="Z69" s="4"/>
      <c r="AA69" s="4" t="b">
        <f>IFERROR(__xludf.DUMMYFUNCTION("IF(X69="""",,REGEXMATCH(X69,""[א-ת]""))"),FALSE)</f>
        <v>0</v>
      </c>
      <c r="AB69" s="1">
        <v>33.57</v>
      </c>
      <c r="AC69" s="1">
        <v>43.75</v>
      </c>
      <c r="AD69" s="1">
        <v>0.884857210521839</v>
      </c>
      <c r="AE69" s="1">
        <v>0.0</v>
      </c>
      <c r="AF69" s="1">
        <v>0.0</v>
      </c>
      <c r="AG69" s="1">
        <v>6.337</v>
      </c>
      <c r="AH69" s="1">
        <v>6.781</v>
      </c>
      <c r="AI69" s="1" t="b">
        <v>0</v>
      </c>
      <c r="AJ69" s="1" t="b">
        <v>0</v>
      </c>
      <c r="AK69" s="1">
        <v>94.182</v>
      </c>
      <c r="AL69" s="1">
        <v>96.508</v>
      </c>
      <c r="AM69" s="1" t="b">
        <v>0</v>
      </c>
      <c r="AN69" s="1" t="b">
        <v>0</v>
      </c>
      <c r="AO69" s="1">
        <v>8.05</v>
      </c>
      <c r="AP69" s="1">
        <v>8.53399999999999</v>
      </c>
      <c r="AQ69" s="1" t="b">
        <v>1</v>
      </c>
      <c r="AR69" s="1" t="b">
        <v>0</v>
      </c>
      <c r="AS69" s="1">
        <v>86.9179999999999</v>
      </c>
      <c r="AT69" s="1">
        <v>87.152</v>
      </c>
      <c r="AU69" s="1" t="b">
        <v>1</v>
      </c>
      <c r="AV69" s="1" t="b">
        <v>0</v>
      </c>
      <c r="AW69" s="1">
        <v>9.61399999999999</v>
      </c>
      <c r="AX69" s="1">
        <v>11.026</v>
      </c>
      <c r="AY69" s="1" t="b">
        <v>1</v>
      </c>
      <c r="AZ69" s="1" t="b">
        <v>0</v>
      </c>
      <c r="BA69" s="1">
        <v>81.25</v>
      </c>
      <c r="BB69" s="1">
        <v>77.78</v>
      </c>
      <c r="BC69" s="1" t="b">
        <v>1</v>
      </c>
      <c r="BD69" s="1" t="b">
        <v>0</v>
      </c>
      <c r="BE69" s="1">
        <v>11.34</v>
      </c>
      <c r="BF69" s="1">
        <v>13.285</v>
      </c>
      <c r="BG69" s="1" t="b">
        <v>1</v>
      </c>
      <c r="BH69" s="1" t="b">
        <v>0</v>
      </c>
      <c r="BI69" s="1">
        <v>77.78</v>
      </c>
      <c r="BJ69" s="1">
        <v>75.0</v>
      </c>
      <c r="BK69" s="1" t="b">
        <v>1</v>
      </c>
      <c r="BL69" s="1" t="b">
        <v>0</v>
      </c>
      <c r="BM69" s="1">
        <v>13.121</v>
      </c>
      <c r="BN69" s="1">
        <v>14.568</v>
      </c>
      <c r="BO69" s="1" t="b">
        <v>1</v>
      </c>
      <c r="BP69" s="1" t="b">
        <v>0</v>
      </c>
      <c r="BQ69" s="1">
        <v>75.0</v>
      </c>
      <c r="BR69" s="1">
        <v>72.027</v>
      </c>
      <c r="BS69" s="1" t="b">
        <v>1</v>
      </c>
      <c r="BT69" s="1" t="b">
        <v>0</v>
      </c>
      <c r="BU69" s="1" t="s">
        <v>105</v>
      </c>
      <c r="BV69" s="1" t="s">
        <v>105</v>
      </c>
      <c r="BW69" s="1" t="s">
        <v>91</v>
      </c>
      <c r="BX69" s="1" t="s">
        <v>91</v>
      </c>
      <c r="BY69" s="1" t="s">
        <v>91</v>
      </c>
      <c r="BZ69" s="1" t="s">
        <v>91</v>
      </c>
      <c r="CA69" s="1" t="s">
        <v>91</v>
      </c>
      <c r="CB69" s="1" t="s">
        <v>91</v>
      </c>
      <c r="CC69" s="1" t="s">
        <v>91</v>
      </c>
      <c r="CD69" s="1" t="s">
        <v>91</v>
      </c>
      <c r="CE69" s="4"/>
      <c r="CF69" s="4"/>
    </row>
    <row r="70" hidden="1">
      <c r="A70" s="1" t="s">
        <v>82</v>
      </c>
      <c r="B70" s="1" t="s">
        <v>176</v>
      </c>
      <c r="C70" s="1">
        <v>16.0</v>
      </c>
      <c r="D70" s="5" t="s">
        <v>419</v>
      </c>
      <c r="E70" s="1" t="s">
        <v>420</v>
      </c>
      <c r="F70" s="1">
        <v>17.0</v>
      </c>
      <c r="G70" s="1">
        <v>0.802</v>
      </c>
      <c r="H70" s="1" t="s">
        <v>421</v>
      </c>
      <c r="I70" s="4" t="b">
        <f>IFERROR(__xludf.DUMMYFUNCTION("IF(H70="""",,REGEXMATCH(H70,""[א-ת]""))"),FALSE)</f>
        <v>0</v>
      </c>
      <c r="J70" s="4"/>
      <c r="K70" s="4"/>
      <c r="L70" s="1">
        <v>0.8122</v>
      </c>
      <c r="M70" s="1">
        <v>6.59</v>
      </c>
      <c r="N70" s="1">
        <v>82.35</v>
      </c>
      <c r="O70" s="1">
        <v>4.844117647</v>
      </c>
      <c r="P70" s="4"/>
      <c r="Q70" s="4"/>
      <c r="R70" s="1" t="s">
        <v>89</v>
      </c>
      <c r="S70" s="1" t="s">
        <v>420</v>
      </c>
      <c r="T70" s="1" t="s">
        <v>176</v>
      </c>
      <c r="U70" s="1">
        <v>17.0</v>
      </c>
      <c r="V70" s="5" t="s">
        <v>419</v>
      </c>
      <c r="W70" s="1" t="s">
        <v>420</v>
      </c>
      <c r="X70" s="1" t="s">
        <v>422</v>
      </c>
      <c r="Y70" s="4"/>
      <c r="Z70" s="4"/>
      <c r="AA70" s="4" t="b">
        <f>IFERROR(__xludf.DUMMYFUNCTION("IF(X70="""",,REGEXMATCH(X70,""[א-ת]""))"),FALSE)</f>
        <v>0</v>
      </c>
      <c r="AB70" s="1">
        <v>11.12</v>
      </c>
      <c r="AC70" s="1">
        <v>64.71</v>
      </c>
      <c r="AD70" s="1">
        <v>0.856694467518972</v>
      </c>
      <c r="AE70" s="1">
        <v>-0.4199</v>
      </c>
      <c r="AF70" s="1">
        <v>0.802</v>
      </c>
      <c r="AG70" s="1">
        <v>6.337</v>
      </c>
      <c r="AH70" s="1">
        <v>6.781</v>
      </c>
      <c r="AI70" s="1" t="b">
        <v>0</v>
      </c>
      <c r="AJ70" s="1" t="b">
        <v>0</v>
      </c>
      <c r="AK70" s="1">
        <v>94.182</v>
      </c>
      <c r="AL70" s="1">
        <v>96.508</v>
      </c>
      <c r="AM70" s="1" t="b">
        <v>0</v>
      </c>
      <c r="AN70" s="1" t="b">
        <v>0</v>
      </c>
      <c r="AO70" s="1">
        <v>8.05</v>
      </c>
      <c r="AP70" s="1">
        <v>8.53399999999999</v>
      </c>
      <c r="AQ70" s="1" t="b">
        <v>1</v>
      </c>
      <c r="AR70" s="1" t="b">
        <v>0</v>
      </c>
      <c r="AS70" s="1">
        <v>86.9179999999999</v>
      </c>
      <c r="AT70" s="1">
        <v>87.152</v>
      </c>
      <c r="AU70" s="1" t="b">
        <v>0</v>
      </c>
      <c r="AV70" s="1" t="b">
        <v>0</v>
      </c>
      <c r="AW70" s="1">
        <v>9.61399999999999</v>
      </c>
      <c r="AX70" s="1">
        <v>11.026</v>
      </c>
      <c r="AY70" s="1" t="b">
        <v>1</v>
      </c>
      <c r="AZ70" s="1" t="b">
        <v>0</v>
      </c>
      <c r="BA70" s="1">
        <v>81.25</v>
      </c>
      <c r="BB70" s="1">
        <v>77.78</v>
      </c>
      <c r="BC70" s="1" t="b">
        <v>1</v>
      </c>
      <c r="BD70" s="1" t="b">
        <v>0</v>
      </c>
      <c r="BE70" s="1">
        <v>11.34</v>
      </c>
      <c r="BF70" s="1">
        <v>13.285</v>
      </c>
      <c r="BG70" s="1" t="b">
        <v>1</v>
      </c>
      <c r="BH70" s="1" t="b">
        <v>1</v>
      </c>
      <c r="BI70" s="1">
        <v>77.78</v>
      </c>
      <c r="BJ70" s="1">
        <v>75.0</v>
      </c>
      <c r="BK70" s="1" t="b">
        <v>1</v>
      </c>
      <c r="BL70" s="1" t="b">
        <v>0</v>
      </c>
      <c r="BM70" s="1">
        <v>13.121</v>
      </c>
      <c r="BN70" s="1">
        <v>14.568</v>
      </c>
      <c r="BO70" s="1" t="b">
        <v>1</v>
      </c>
      <c r="BP70" s="1" t="b">
        <v>1</v>
      </c>
      <c r="BQ70" s="1">
        <v>75.0</v>
      </c>
      <c r="BR70" s="1">
        <v>72.027</v>
      </c>
      <c r="BS70" s="1" t="b">
        <v>1</v>
      </c>
      <c r="BT70" s="1" t="b">
        <v>0</v>
      </c>
      <c r="BU70" s="1" t="s">
        <v>105</v>
      </c>
      <c r="BV70" s="1" t="s">
        <v>105</v>
      </c>
      <c r="BW70" s="1" t="s">
        <v>91</v>
      </c>
      <c r="BX70" s="1" t="s">
        <v>105</v>
      </c>
      <c r="BY70" s="1" t="s">
        <v>91</v>
      </c>
      <c r="BZ70" s="1" t="s">
        <v>91</v>
      </c>
      <c r="CA70" s="1" t="s">
        <v>104</v>
      </c>
      <c r="CB70" s="1" t="s">
        <v>91</v>
      </c>
      <c r="CC70" s="1" t="s">
        <v>104</v>
      </c>
      <c r="CD70" s="1" t="s">
        <v>91</v>
      </c>
      <c r="CE70" s="4"/>
      <c r="CF70" s="4"/>
    </row>
    <row r="71" hidden="1">
      <c r="A71" s="1" t="s">
        <v>82</v>
      </c>
      <c r="B71" s="1" t="s">
        <v>145</v>
      </c>
      <c r="C71" s="1">
        <v>30.0</v>
      </c>
      <c r="D71" s="5" t="s">
        <v>423</v>
      </c>
      <c r="E71" s="1" t="s">
        <v>424</v>
      </c>
      <c r="F71" s="1">
        <v>10.0</v>
      </c>
      <c r="G71" s="1">
        <v>0.0</v>
      </c>
      <c r="H71" s="1" t="s">
        <v>425</v>
      </c>
      <c r="I71" s="4" t="b">
        <f>IFERROR(__xludf.DUMMYFUNCTION("IF(H71="""",,REGEXMATCH(H71,""[א-ת]""))"),FALSE)</f>
        <v>0</v>
      </c>
      <c r="J71" s="4"/>
      <c r="K71" s="4"/>
      <c r="L71" s="1">
        <v>0.0</v>
      </c>
      <c r="M71" s="1">
        <v>6.59</v>
      </c>
      <c r="N71" s="1">
        <v>100.0</v>
      </c>
      <c r="O71" s="1">
        <v>10.0</v>
      </c>
      <c r="P71" s="4"/>
      <c r="Q71" s="4"/>
      <c r="R71" s="1" t="s">
        <v>89</v>
      </c>
      <c r="S71" s="1" t="s">
        <v>424</v>
      </c>
      <c r="T71" s="1" t="s">
        <v>145</v>
      </c>
      <c r="U71" s="1">
        <v>31.0</v>
      </c>
      <c r="V71" s="5" t="s">
        <v>423</v>
      </c>
      <c r="W71" s="1" t="s">
        <v>424</v>
      </c>
      <c r="X71" s="1" t="s">
        <v>426</v>
      </c>
      <c r="Y71" s="4"/>
      <c r="Z71" s="4"/>
      <c r="AA71" s="4" t="b">
        <f>IFERROR(__xludf.DUMMYFUNCTION("IF(X71="""",,REGEXMATCH(X71,""[א-ת]""))"),FALSE)</f>
        <v>0</v>
      </c>
      <c r="AB71" s="1">
        <v>7.16</v>
      </c>
      <c r="AC71" s="1">
        <v>100.0</v>
      </c>
      <c r="AD71" s="1">
        <v>0.658705436898177</v>
      </c>
      <c r="AE71" s="1">
        <v>0.0</v>
      </c>
      <c r="AF71" s="1">
        <v>0.0</v>
      </c>
      <c r="AG71" s="1">
        <v>6.337</v>
      </c>
      <c r="AH71" s="1">
        <v>6.781</v>
      </c>
      <c r="AI71" s="1" t="b">
        <v>0</v>
      </c>
      <c r="AJ71" s="1" t="b">
        <v>0</v>
      </c>
      <c r="AK71" s="1">
        <v>94.182</v>
      </c>
      <c r="AL71" s="1">
        <v>96.508</v>
      </c>
      <c r="AM71" s="1" t="b">
        <v>1</v>
      </c>
      <c r="AN71" s="1" t="b">
        <v>1</v>
      </c>
      <c r="AO71" s="1">
        <v>8.05</v>
      </c>
      <c r="AP71" s="1">
        <v>8.53399999999999</v>
      </c>
      <c r="AQ71" s="1" t="b">
        <v>1</v>
      </c>
      <c r="AR71" s="1" t="b">
        <v>1</v>
      </c>
      <c r="AS71" s="1">
        <v>86.9179999999999</v>
      </c>
      <c r="AT71" s="1">
        <v>87.152</v>
      </c>
      <c r="AU71" s="1" t="b">
        <v>1</v>
      </c>
      <c r="AV71" s="1" t="b">
        <v>1</v>
      </c>
      <c r="AW71" s="1">
        <v>9.61399999999999</v>
      </c>
      <c r="AX71" s="1">
        <v>11.026</v>
      </c>
      <c r="AY71" s="1" t="b">
        <v>1</v>
      </c>
      <c r="AZ71" s="1" t="b">
        <v>1</v>
      </c>
      <c r="BA71" s="1">
        <v>81.25</v>
      </c>
      <c r="BB71" s="1">
        <v>77.78</v>
      </c>
      <c r="BC71" s="1" t="b">
        <v>1</v>
      </c>
      <c r="BD71" s="1" t="b">
        <v>1</v>
      </c>
      <c r="BE71" s="1">
        <v>11.34</v>
      </c>
      <c r="BF71" s="1">
        <v>13.285</v>
      </c>
      <c r="BG71" s="1" t="b">
        <v>1</v>
      </c>
      <c r="BH71" s="1" t="b">
        <v>1</v>
      </c>
      <c r="BI71" s="1">
        <v>77.78</v>
      </c>
      <c r="BJ71" s="1">
        <v>75.0</v>
      </c>
      <c r="BK71" s="1" t="b">
        <v>1</v>
      </c>
      <c r="BL71" s="1" t="b">
        <v>1</v>
      </c>
      <c r="BM71" s="1">
        <v>13.121</v>
      </c>
      <c r="BN71" s="1">
        <v>14.568</v>
      </c>
      <c r="BO71" s="1" t="b">
        <v>1</v>
      </c>
      <c r="BP71" s="1" t="b">
        <v>1</v>
      </c>
      <c r="BQ71" s="1">
        <v>75.0</v>
      </c>
      <c r="BR71" s="1">
        <v>72.027</v>
      </c>
      <c r="BS71" s="1" t="b">
        <v>1</v>
      </c>
      <c r="BT71" s="1" t="b">
        <v>1</v>
      </c>
      <c r="BU71" s="1" t="s">
        <v>105</v>
      </c>
      <c r="BV71" s="1" t="s">
        <v>104</v>
      </c>
      <c r="BW71" s="1" t="s">
        <v>104</v>
      </c>
      <c r="BX71" s="1" t="s">
        <v>104</v>
      </c>
      <c r="BY71" s="1" t="s">
        <v>104</v>
      </c>
      <c r="BZ71" s="1" t="s">
        <v>104</v>
      </c>
      <c r="CA71" s="1" t="s">
        <v>104</v>
      </c>
      <c r="CB71" s="1" t="s">
        <v>104</v>
      </c>
      <c r="CC71" s="1" t="s">
        <v>104</v>
      </c>
      <c r="CD71" s="1" t="s">
        <v>104</v>
      </c>
      <c r="CE71" s="4"/>
      <c r="CF71" s="4"/>
    </row>
    <row r="72" hidden="1">
      <c r="A72" s="1" t="s">
        <v>82</v>
      </c>
      <c r="B72" s="1" t="s">
        <v>427</v>
      </c>
      <c r="C72" s="1">
        <v>6.0</v>
      </c>
      <c r="D72" s="5" t="s">
        <v>428</v>
      </c>
      <c r="E72" s="1" t="s">
        <v>429</v>
      </c>
      <c r="F72" s="1">
        <v>39.0</v>
      </c>
      <c r="G72" s="1">
        <v>0.5574</v>
      </c>
      <c r="H72" s="1" t="s">
        <v>430</v>
      </c>
      <c r="I72" s="4" t="b">
        <f>IFERROR(__xludf.DUMMYFUNCTION("IF(H72="""",,REGEXMATCH(H72,""[א-ת]""))"),FALSE)</f>
        <v>0</v>
      </c>
      <c r="J72" s="4"/>
      <c r="K72" s="4"/>
      <c r="L72" s="1">
        <v>0.765</v>
      </c>
      <c r="M72" s="1">
        <v>6.69</v>
      </c>
      <c r="N72" s="1">
        <v>87.18</v>
      </c>
      <c r="O72" s="1">
        <v>2.235384615</v>
      </c>
      <c r="P72" s="4"/>
      <c r="Q72" s="4"/>
      <c r="R72" s="1" t="s">
        <v>96</v>
      </c>
      <c r="S72" s="1" t="s">
        <v>429</v>
      </c>
      <c r="T72" s="1" t="s">
        <v>427</v>
      </c>
      <c r="U72" s="1">
        <v>7.0</v>
      </c>
      <c r="V72" s="5" t="s">
        <v>428</v>
      </c>
      <c r="W72" s="1" t="s">
        <v>429</v>
      </c>
      <c r="X72" s="1" t="s">
        <v>431</v>
      </c>
      <c r="Y72" s="4"/>
      <c r="Z72" s="4"/>
      <c r="AA72" s="4" t="b">
        <f>IFERROR(__xludf.DUMMYFUNCTION("IF(X72="""",,REGEXMATCH(X72,""[א-ת]""))"),TRUE)</f>
        <v>1</v>
      </c>
      <c r="AB72" s="1">
        <v>12.9</v>
      </c>
      <c r="AC72" s="1">
        <v>64.1</v>
      </c>
      <c r="AD72" s="1">
        <v>0.34477749119419</v>
      </c>
      <c r="AE72" s="1">
        <v>0.5574</v>
      </c>
      <c r="AF72" s="1">
        <v>0.5574</v>
      </c>
      <c r="AG72" s="1">
        <v>6.337</v>
      </c>
      <c r="AH72" s="1">
        <v>6.781</v>
      </c>
      <c r="AI72" s="1" t="b">
        <v>0</v>
      </c>
      <c r="AJ72" s="1" t="b">
        <v>0</v>
      </c>
      <c r="AK72" s="1">
        <v>94.182</v>
      </c>
      <c r="AL72" s="1">
        <v>96.508</v>
      </c>
      <c r="AM72" s="1" t="b">
        <v>0</v>
      </c>
      <c r="AN72" s="1" t="b">
        <v>0</v>
      </c>
      <c r="AO72" s="1">
        <v>8.05</v>
      </c>
      <c r="AP72" s="1">
        <v>8.53399999999999</v>
      </c>
      <c r="AQ72" s="1" t="b">
        <v>1</v>
      </c>
      <c r="AR72" s="1" t="b">
        <v>0</v>
      </c>
      <c r="AS72" s="1">
        <v>86.9179999999999</v>
      </c>
      <c r="AT72" s="1">
        <v>87.152</v>
      </c>
      <c r="AU72" s="1" t="b">
        <v>1</v>
      </c>
      <c r="AV72" s="1" t="b">
        <v>0</v>
      </c>
      <c r="AW72" s="1">
        <v>9.61399999999999</v>
      </c>
      <c r="AX72" s="1">
        <v>11.026</v>
      </c>
      <c r="AY72" s="1" t="b">
        <v>1</v>
      </c>
      <c r="AZ72" s="1" t="b">
        <v>0</v>
      </c>
      <c r="BA72" s="1">
        <v>81.25</v>
      </c>
      <c r="BB72" s="1">
        <v>77.78</v>
      </c>
      <c r="BC72" s="1" t="b">
        <v>1</v>
      </c>
      <c r="BD72" s="1" t="b">
        <v>0</v>
      </c>
      <c r="BE72" s="1">
        <v>11.34</v>
      </c>
      <c r="BF72" s="1">
        <v>13.285</v>
      </c>
      <c r="BG72" s="1" t="b">
        <v>1</v>
      </c>
      <c r="BH72" s="1" t="b">
        <v>1</v>
      </c>
      <c r="BI72" s="1">
        <v>77.78</v>
      </c>
      <c r="BJ72" s="1">
        <v>75.0</v>
      </c>
      <c r="BK72" s="1" t="b">
        <v>1</v>
      </c>
      <c r="BL72" s="1" t="b">
        <v>0</v>
      </c>
      <c r="BM72" s="1">
        <v>13.121</v>
      </c>
      <c r="BN72" s="1">
        <v>14.568</v>
      </c>
      <c r="BO72" s="1" t="b">
        <v>1</v>
      </c>
      <c r="BP72" s="1" t="b">
        <v>1</v>
      </c>
      <c r="BQ72" s="1">
        <v>75.0</v>
      </c>
      <c r="BR72" s="1">
        <v>72.027</v>
      </c>
      <c r="BS72" s="1" t="b">
        <v>1</v>
      </c>
      <c r="BT72" s="1" t="b">
        <v>0</v>
      </c>
      <c r="BU72" s="1" t="s">
        <v>105</v>
      </c>
      <c r="BV72" s="1" t="s">
        <v>105</v>
      </c>
      <c r="BW72" s="1" t="s">
        <v>91</v>
      </c>
      <c r="BX72" s="1" t="s">
        <v>91</v>
      </c>
      <c r="BY72" s="1" t="s">
        <v>91</v>
      </c>
      <c r="BZ72" s="1" t="s">
        <v>91</v>
      </c>
      <c r="CA72" s="1" t="s">
        <v>104</v>
      </c>
      <c r="CB72" s="1" t="s">
        <v>91</v>
      </c>
      <c r="CC72" s="1" t="s">
        <v>104</v>
      </c>
      <c r="CD72" s="1" t="s">
        <v>91</v>
      </c>
      <c r="CE72" s="4"/>
      <c r="CF72" s="4"/>
    </row>
    <row r="73" hidden="1">
      <c r="A73" s="1" t="s">
        <v>82</v>
      </c>
      <c r="B73" s="1" t="s">
        <v>333</v>
      </c>
      <c r="C73" s="1">
        <v>21.0</v>
      </c>
      <c r="D73" s="5" t="s">
        <v>432</v>
      </c>
      <c r="E73" s="1" t="s">
        <v>433</v>
      </c>
      <c r="F73" s="1">
        <v>51.0</v>
      </c>
      <c r="G73" s="1">
        <v>-0.6597</v>
      </c>
      <c r="H73" s="1" t="s">
        <v>434</v>
      </c>
      <c r="I73" s="4" t="b">
        <f>IFERROR(__xludf.DUMMYFUNCTION("IF(H73="""",,REGEXMATCH(H73,""[א-ת]""))"),FALSE)</f>
        <v>0</v>
      </c>
      <c r="J73" s="4"/>
      <c r="K73" s="4"/>
      <c r="L73" s="1">
        <v>0.2023</v>
      </c>
      <c r="M73" s="1">
        <v>6.72</v>
      </c>
      <c r="N73" s="1">
        <v>80.39</v>
      </c>
      <c r="O73" s="1">
        <v>1.57627451</v>
      </c>
      <c r="P73" s="4"/>
      <c r="Q73" s="4"/>
      <c r="R73" s="1" t="s">
        <v>89</v>
      </c>
      <c r="S73" s="1" t="s">
        <v>433</v>
      </c>
      <c r="T73" s="1" t="s">
        <v>333</v>
      </c>
      <c r="U73" s="1">
        <v>22.0</v>
      </c>
      <c r="V73" s="5" t="s">
        <v>432</v>
      </c>
      <c r="W73" s="1" t="s">
        <v>433</v>
      </c>
      <c r="X73" s="1" t="s">
        <v>435</v>
      </c>
      <c r="Y73" s="4"/>
      <c r="Z73" s="4"/>
      <c r="AA73" s="4" t="b">
        <f>IFERROR(__xludf.DUMMYFUNCTION("IF(X73="""",,REGEXMATCH(X73,""[א-ת]""))"),FALSE)</f>
        <v>0</v>
      </c>
      <c r="AB73" s="1">
        <v>16.43</v>
      </c>
      <c r="AC73" s="1">
        <v>58.82</v>
      </c>
      <c r="AD73" s="1">
        <v>0.484421135611884</v>
      </c>
      <c r="AE73" s="1">
        <v>-0.7096</v>
      </c>
      <c r="AF73" s="1">
        <v>-0.6597</v>
      </c>
      <c r="AG73" s="1">
        <v>6.337</v>
      </c>
      <c r="AH73" s="1">
        <v>6.781</v>
      </c>
      <c r="AI73" s="1" t="b">
        <v>0</v>
      </c>
      <c r="AJ73" s="1" t="b">
        <v>0</v>
      </c>
      <c r="AK73" s="1">
        <v>94.182</v>
      </c>
      <c r="AL73" s="1">
        <v>96.508</v>
      </c>
      <c r="AM73" s="1" t="b">
        <v>0</v>
      </c>
      <c r="AN73" s="1" t="b">
        <v>0</v>
      </c>
      <c r="AO73" s="1">
        <v>8.05</v>
      </c>
      <c r="AP73" s="1">
        <v>8.53399999999999</v>
      </c>
      <c r="AQ73" s="1" t="b">
        <v>1</v>
      </c>
      <c r="AR73" s="1" t="b">
        <v>0</v>
      </c>
      <c r="AS73" s="1">
        <v>86.9179999999999</v>
      </c>
      <c r="AT73" s="1">
        <v>87.152</v>
      </c>
      <c r="AU73" s="1" t="b">
        <v>0</v>
      </c>
      <c r="AV73" s="1" t="b">
        <v>0</v>
      </c>
      <c r="AW73" s="1">
        <v>9.61399999999999</v>
      </c>
      <c r="AX73" s="1">
        <v>11.026</v>
      </c>
      <c r="AY73" s="1" t="b">
        <v>1</v>
      </c>
      <c r="AZ73" s="1" t="b">
        <v>0</v>
      </c>
      <c r="BA73" s="1">
        <v>81.25</v>
      </c>
      <c r="BB73" s="1">
        <v>77.78</v>
      </c>
      <c r="BC73" s="1" t="b">
        <v>0</v>
      </c>
      <c r="BD73" s="1" t="b">
        <v>0</v>
      </c>
      <c r="BE73" s="1">
        <v>11.34</v>
      </c>
      <c r="BF73" s="1">
        <v>13.285</v>
      </c>
      <c r="BG73" s="1" t="b">
        <v>1</v>
      </c>
      <c r="BH73" s="1" t="b">
        <v>0</v>
      </c>
      <c r="BI73" s="1">
        <v>77.78</v>
      </c>
      <c r="BJ73" s="1">
        <v>75.0</v>
      </c>
      <c r="BK73" s="1" t="b">
        <v>1</v>
      </c>
      <c r="BL73" s="1" t="b">
        <v>0</v>
      </c>
      <c r="BM73" s="1">
        <v>13.121</v>
      </c>
      <c r="BN73" s="1">
        <v>14.568</v>
      </c>
      <c r="BO73" s="1" t="b">
        <v>1</v>
      </c>
      <c r="BP73" s="1" t="b">
        <v>0</v>
      </c>
      <c r="BQ73" s="1">
        <v>75.0</v>
      </c>
      <c r="BR73" s="1">
        <v>72.027</v>
      </c>
      <c r="BS73" s="1" t="b">
        <v>1</v>
      </c>
      <c r="BT73" s="1" t="b">
        <v>0</v>
      </c>
      <c r="BU73" s="1" t="s">
        <v>105</v>
      </c>
      <c r="BV73" s="1" t="s">
        <v>105</v>
      </c>
      <c r="BW73" s="1" t="s">
        <v>91</v>
      </c>
      <c r="BX73" s="1" t="s">
        <v>105</v>
      </c>
      <c r="BY73" s="1" t="s">
        <v>91</v>
      </c>
      <c r="BZ73" s="1" t="s">
        <v>105</v>
      </c>
      <c r="CA73" s="1" t="s">
        <v>91</v>
      </c>
      <c r="CB73" s="1" t="s">
        <v>91</v>
      </c>
      <c r="CC73" s="1" t="s">
        <v>91</v>
      </c>
      <c r="CD73" s="1" t="s">
        <v>91</v>
      </c>
      <c r="CE73" s="4"/>
      <c r="CF73" s="4"/>
    </row>
    <row r="74" hidden="1">
      <c r="A74" s="1" t="s">
        <v>82</v>
      </c>
      <c r="B74" s="1" t="s">
        <v>83</v>
      </c>
      <c r="C74" s="1">
        <v>37.0</v>
      </c>
      <c r="D74" s="5" t="s">
        <v>436</v>
      </c>
      <c r="E74" s="1" t="s">
        <v>437</v>
      </c>
      <c r="F74" s="1">
        <v>25.0</v>
      </c>
      <c r="G74" s="1">
        <v>0.0</v>
      </c>
      <c r="H74" s="1" t="s">
        <v>438</v>
      </c>
      <c r="I74" s="4" t="b">
        <f>IFERROR(__xludf.DUMMYFUNCTION("IF(H74="""",,REGEXMATCH(H74,""[א-ת]""))"),FALSE)</f>
        <v>0</v>
      </c>
      <c r="J74" s="4"/>
      <c r="K74" s="4"/>
      <c r="L74" s="1">
        <v>0.6249</v>
      </c>
      <c r="M74" s="1">
        <v>6.76</v>
      </c>
      <c r="N74" s="1">
        <v>72.0</v>
      </c>
      <c r="O74" s="1">
        <v>2.88</v>
      </c>
      <c r="P74" s="4"/>
      <c r="Q74" s="4"/>
      <c r="R74" s="1" t="s">
        <v>89</v>
      </c>
      <c r="S74" s="1" t="s">
        <v>437</v>
      </c>
      <c r="T74" s="1" t="s">
        <v>83</v>
      </c>
      <c r="U74" s="1">
        <v>38.0</v>
      </c>
      <c r="V74" s="5" t="s">
        <v>436</v>
      </c>
      <c r="W74" s="1" t="s">
        <v>437</v>
      </c>
      <c r="X74" s="1" t="s">
        <v>439</v>
      </c>
      <c r="Y74" s="4"/>
      <c r="Z74" s="4"/>
      <c r="AA74" s="4" t="b">
        <f>IFERROR(__xludf.DUMMYFUNCTION("IF(X74="""",,REGEXMATCH(X74,""[א-ת]""))"),FALSE)</f>
        <v>0</v>
      </c>
      <c r="AB74" s="1">
        <v>17.38</v>
      </c>
      <c r="AC74" s="1">
        <v>72.0</v>
      </c>
      <c r="AD74" s="1">
        <v>0.258042818020138</v>
      </c>
      <c r="AE74" s="1">
        <v>0.6249</v>
      </c>
      <c r="AF74" s="1">
        <v>0.0</v>
      </c>
      <c r="AG74" s="1">
        <v>6.337</v>
      </c>
      <c r="AH74" s="1">
        <v>6.781</v>
      </c>
      <c r="AI74" s="1" t="b">
        <v>0</v>
      </c>
      <c r="AJ74" s="1" t="b">
        <v>0</v>
      </c>
      <c r="AK74" s="1">
        <v>94.182</v>
      </c>
      <c r="AL74" s="1">
        <v>96.508</v>
      </c>
      <c r="AM74" s="1" t="b">
        <v>0</v>
      </c>
      <c r="AN74" s="1" t="b">
        <v>0</v>
      </c>
      <c r="AO74" s="1">
        <v>8.05</v>
      </c>
      <c r="AP74" s="1">
        <v>8.53399999999999</v>
      </c>
      <c r="AQ74" s="1" t="b">
        <v>1</v>
      </c>
      <c r="AR74" s="1" t="b">
        <v>0</v>
      </c>
      <c r="AS74" s="1">
        <v>86.9179999999999</v>
      </c>
      <c r="AT74" s="1">
        <v>87.152</v>
      </c>
      <c r="AU74" s="1" t="b">
        <v>0</v>
      </c>
      <c r="AV74" s="1" t="b">
        <v>0</v>
      </c>
      <c r="AW74" s="1">
        <v>9.61399999999999</v>
      </c>
      <c r="AX74" s="1">
        <v>11.026</v>
      </c>
      <c r="AY74" s="1" t="b">
        <v>1</v>
      </c>
      <c r="AZ74" s="1" t="b">
        <v>0</v>
      </c>
      <c r="BA74" s="1">
        <v>81.25</v>
      </c>
      <c r="BB74" s="1">
        <v>77.78</v>
      </c>
      <c r="BC74" s="1" t="b">
        <v>0</v>
      </c>
      <c r="BD74" s="1" t="b">
        <v>0</v>
      </c>
      <c r="BE74" s="1">
        <v>11.34</v>
      </c>
      <c r="BF74" s="1">
        <v>13.285</v>
      </c>
      <c r="BG74" s="1" t="b">
        <v>1</v>
      </c>
      <c r="BH74" s="1" t="b">
        <v>0</v>
      </c>
      <c r="BI74" s="1">
        <v>77.78</v>
      </c>
      <c r="BJ74" s="1">
        <v>75.0</v>
      </c>
      <c r="BK74" s="1" t="b">
        <v>0</v>
      </c>
      <c r="BL74" s="1" t="b">
        <v>0</v>
      </c>
      <c r="BM74" s="1">
        <v>13.121</v>
      </c>
      <c r="BN74" s="1">
        <v>14.568</v>
      </c>
      <c r="BO74" s="1" t="b">
        <v>1</v>
      </c>
      <c r="BP74" s="1" t="b">
        <v>0</v>
      </c>
      <c r="BQ74" s="1">
        <v>75.0</v>
      </c>
      <c r="BR74" s="1">
        <v>72.027</v>
      </c>
      <c r="BS74" s="1" t="b">
        <v>0</v>
      </c>
      <c r="BT74" s="1" t="b">
        <v>0</v>
      </c>
      <c r="BU74" s="1" t="s">
        <v>105</v>
      </c>
      <c r="BV74" s="1" t="s">
        <v>105</v>
      </c>
      <c r="BW74" s="1" t="s">
        <v>91</v>
      </c>
      <c r="BX74" s="1" t="s">
        <v>105</v>
      </c>
      <c r="BY74" s="1" t="s">
        <v>91</v>
      </c>
      <c r="BZ74" s="1" t="s">
        <v>105</v>
      </c>
      <c r="CA74" s="1" t="s">
        <v>91</v>
      </c>
      <c r="CB74" s="1" t="s">
        <v>105</v>
      </c>
      <c r="CC74" s="1" t="s">
        <v>91</v>
      </c>
      <c r="CD74" s="1" t="s">
        <v>105</v>
      </c>
      <c r="CE74" s="4"/>
      <c r="CF74" s="4"/>
    </row>
    <row r="75" hidden="1">
      <c r="A75" s="1" t="s">
        <v>82</v>
      </c>
      <c r="B75" s="1" t="s">
        <v>116</v>
      </c>
      <c r="C75" s="1">
        <v>19.0</v>
      </c>
      <c r="D75" s="5" t="s">
        <v>440</v>
      </c>
      <c r="E75" s="1" t="s">
        <v>441</v>
      </c>
      <c r="F75" s="1">
        <v>10.0</v>
      </c>
      <c r="G75" s="1">
        <v>0.2023</v>
      </c>
      <c r="H75" s="1" t="s">
        <v>442</v>
      </c>
      <c r="I75" s="4" t="b">
        <f>IFERROR(__xludf.DUMMYFUNCTION("IF(H75="""",,REGEXMATCH(H75,""[א-ת]""))"),FALSE)</f>
        <v>0</v>
      </c>
      <c r="J75" s="4"/>
      <c r="K75" s="4"/>
      <c r="L75" s="1">
        <v>0.5719</v>
      </c>
      <c r="M75" s="1">
        <v>6.84</v>
      </c>
      <c r="N75" s="1">
        <v>80.0</v>
      </c>
      <c r="O75" s="1">
        <v>8.0</v>
      </c>
      <c r="P75" s="4"/>
      <c r="Q75" s="4"/>
      <c r="R75" s="1" t="s">
        <v>89</v>
      </c>
      <c r="S75" s="1" t="s">
        <v>441</v>
      </c>
      <c r="T75" s="1" t="s">
        <v>116</v>
      </c>
      <c r="U75" s="1">
        <v>20.0</v>
      </c>
      <c r="V75" s="5" t="s">
        <v>440</v>
      </c>
      <c r="W75" s="1" t="s">
        <v>441</v>
      </c>
      <c r="X75" s="1" t="s">
        <v>443</v>
      </c>
      <c r="Y75" s="4"/>
      <c r="Z75" s="4"/>
      <c r="AA75" s="4" t="b">
        <f>IFERROR(__xludf.DUMMYFUNCTION("IF(X75="""",,REGEXMATCH(X75,""[א-ת]""))"),FALSE)</f>
        <v>0</v>
      </c>
      <c r="AB75" s="1">
        <v>8.49</v>
      </c>
      <c r="AC75" s="1">
        <v>80.0</v>
      </c>
      <c r="AD75" s="1">
        <v>0.480610835179021</v>
      </c>
      <c r="AE75" s="1">
        <v>0.4588</v>
      </c>
      <c r="AF75" s="1">
        <v>0.2023</v>
      </c>
      <c r="AG75" s="1">
        <v>6.337</v>
      </c>
      <c r="AH75" s="1">
        <v>6.781</v>
      </c>
      <c r="AI75" s="1" t="b">
        <v>0</v>
      </c>
      <c r="AJ75" s="1" t="b">
        <v>0</v>
      </c>
      <c r="AK75" s="1">
        <v>94.182</v>
      </c>
      <c r="AL75" s="1">
        <v>96.508</v>
      </c>
      <c r="AM75" s="1" t="b">
        <v>0</v>
      </c>
      <c r="AN75" s="1" t="b">
        <v>0</v>
      </c>
      <c r="AO75" s="1">
        <v>8.05</v>
      </c>
      <c r="AP75" s="1">
        <v>8.53399999999999</v>
      </c>
      <c r="AQ75" s="1" t="b">
        <v>1</v>
      </c>
      <c r="AR75" s="1" t="b">
        <v>1</v>
      </c>
      <c r="AS75" s="1">
        <v>86.9179999999999</v>
      </c>
      <c r="AT75" s="1">
        <v>87.152</v>
      </c>
      <c r="AU75" s="1" t="b">
        <v>0</v>
      </c>
      <c r="AV75" s="1" t="b">
        <v>0</v>
      </c>
      <c r="AW75" s="1">
        <v>9.61399999999999</v>
      </c>
      <c r="AX75" s="1">
        <v>11.026</v>
      </c>
      <c r="AY75" s="1" t="b">
        <v>1</v>
      </c>
      <c r="AZ75" s="1" t="b">
        <v>1</v>
      </c>
      <c r="BA75" s="1">
        <v>81.25</v>
      </c>
      <c r="BB75" s="1">
        <v>77.78</v>
      </c>
      <c r="BC75" s="1" t="b">
        <v>0</v>
      </c>
      <c r="BD75" s="1" t="b">
        <v>1</v>
      </c>
      <c r="BE75" s="1">
        <v>11.34</v>
      </c>
      <c r="BF75" s="1">
        <v>13.285</v>
      </c>
      <c r="BG75" s="1" t="b">
        <v>1</v>
      </c>
      <c r="BH75" s="1" t="b">
        <v>1</v>
      </c>
      <c r="BI75" s="1">
        <v>77.78</v>
      </c>
      <c r="BJ75" s="1">
        <v>75.0</v>
      </c>
      <c r="BK75" s="1" t="b">
        <v>1</v>
      </c>
      <c r="BL75" s="1" t="b">
        <v>1</v>
      </c>
      <c r="BM75" s="1">
        <v>13.121</v>
      </c>
      <c r="BN75" s="1">
        <v>14.568</v>
      </c>
      <c r="BO75" s="1" t="b">
        <v>1</v>
      </c>
      <c r="BP75" s="1" t="b">
        <v>1</v>
      </c>
      <c r="BQ75" s="1">
        <v>75.0</v>
      </c>
      <c r="BR75" s="1">
        <v>72.027</v>
      </c>
      <c r="BS75" s="1" t="b">
        <v>1</v>
      </c>
      <c r="BT75" s="1" t="b">
        <v>1</v>
      </c>
      <c r="BU75" s="1" t="s">
        <v>105</v>
      </c>
      <c r="BV75" s="1" t="s">
        <v>105</v>
      </c>
      <c r="BW75" s="1" t="s">
        <v>104</v>
      </c>
      <c r="BX75" s="1" t="s">
        <v>105</v>
      </c>
      <c r="BY75" s="1" t="s">
        <v>104</v>
      </c>
      <c r="BZ75" s="1" t="s">
        <v>157</v>
      </c>
      <c r="CA75" s="1" t="s">
        <v>104</v>
      </c>
      <c r="CB75" s="1" t="s">
        <v>104</v>
      </c>
      <c r="CC75" s="1" t="s">
        <v>104</v>
      </c>
      <c r="CD75" s="1" t="s">
        <v>104</v>
      </c>
      <c r="CE75" s="4"/>
      <c r="CF75" s="4"/>
    </row>
    <row r="76">
      <c r="A76" s="1" t="s">
        <v>82</v>
      </c>
      <c r="B76" s="1" t="s">
        <v>197</v>
      </c>
      <c r="C76" s="1">
        <v>11.0</v>
      </c>
      <c r="D76" s="5" t="s">
        <v>444</v>
      </c>
      <c r="E76" s="1" t="s">
        <v>445</v>
      </c>
      <c r="F76" s="1">
        <v>44.0</v>
      </c>
      <c r="G76" s="1">
        <v>0.0</v>
      </c>
      <c r="H76" s="1" t="s">
        <v>446</v>
      </c>
      <c r="I76" s="4" t="b">
        <f>IFERROR(__xludf.DUMMYFUNCTION("IF(H76="""",,REGEXMATCH(H76,""[א-ת]""))"),FALSE)</f>
        <v>0</v>
      </c>
      <c r="J76" s="1" t="s">
        <v>447</v>
      </c>
      <c r="K76" s="4"/>
      <c r="L76" s="1">
        <v>0.0</v>
      </c>
      <c r="M76" s="1">
        <v>6.99</v>
      </c>
      <c r="N76" s="1">
        <v>75.0</v>
      </c>
      <c r="O76" s="1">
        <v>1.704545455</v>
      </c>
      <c r="P76" s="4"/>
      <c r="Q76" s="4"/>
      <c r="R76" s="1" t="s">
        <v>89</v>
      </c>
      <c r="S76" s="1" t="s">
        <v>445</v>
      </c>
      <c r="T76" s="1" t="s">
        <v>197</v>
      </c>
      <c r="U76" s="1">
        <v>12.0</v>
      </c>
      <c r="V76" s="5" t="s">
        <v>444</v>
      </c>
      <c r="W76" s="1" t="s">
        <v>445</v>
      </c>
      <c r="X76" s="1" t="s">
        <v>448</v>
      </c>
      <c r="Y76" s="1" t="s">
        <v>449</v>
      </c>
      <c r="Z76" s="1" t="s">
        <v>450</v>
      </c>
      <c r="AA76" s="4" t="b">
        <f>IFERROR(__xludf.DUMMYFUNCTION("IF(X76="""",,REGEXMATCH(X76,""[א-ת]""))"),FALSE)</f>
        <v>0</v>
      </c>
      <c r="AB76" s="1">
        <v>6.04</v>
      </c>
      <c r="AC76" s="1">
        <v>72.73</v>
      </c>
      <c r="AD76" s="1">
        <v>0.269657912349638</v>
      </c>
      <c r="AE76" s="1">
        <v>0.0</v>
      </c>
      <c r="AF76" s="1">
        <v>0.0</v>
      </c>
      <c r="AG76" s="1">
        <v>6.337</v>
      </c>
      <c r="AH76" s="1">
        <v>6.781</v>
      </c>
      <c r="AI76" s="1" t="b">
        <v>0</v>
      </c>
      <c r="AJ76" s="1" t="b">
        <v>1</v>
      </c>
      <c r="AK76" s="1">
        <v>94.182</v>
      </c>
      <c r="AL76" s="1">
        <v>96.508</v>
      </c>
      <c r="AM76" s="1" t="b">
        <v>0</v>
      </c>
      <c r="AN76" s="1" t="b">
        <v>0</v>
      </c>
      <c r="AO76" s="1">
        <v>8.05</v>
      </c>
      <c r="AP76" s="1">
        <v>8.53399999999999</v>
      </c>
      <c r="AQ76" s="1" t="b">
        <v>1</v>
      </c>
      <c r="AR76" s="1" t="b">
        <v>1</v>
      </c>
      <c r="AS76" s="1">
        <v>86.9179999999999</v>
      </c>
      <c r="AT76" s="1">
        <v>87.152</v>
      </c>
      <c r="AU76" s="1" t="b">
        <v>0</v>
      </c>
      <c r="AV76" s="1" t="b">
        <v>0</v>
      </c>
      <c r="AW76" s="1">
        <v>9.61399999999999</v>
      </c>
      <c r="AX76" s="1">
        <v>11.026</v>
      </c>
      <c r="AY76" s="1" t="b">
        <v>1</v>
      </c>
      <c r="AZ76" s="1" t="b">
        <v>1</v>
      </c>
      <c r="BA76" s="1">
        <v>81.25</v>
      </c>
      <c r="BB76" s="1">
        <v>77.78</v>
      </c>
      <c r="BC76" s="1" t="b">
        <v>0</v>
      </c>
      <c r="BD76" s="1" t="b">
        <v>0</v>
      </c>
      <c r="BE76" s="1">
        <v>11.34</v>
      </c>
      <c r="BF76" s="1">
        <v>13.285</v>
      </c>
      <c r="BG76" s="1" t="b">
        <v>1</v>
      </c>
      <c r="BH76" s="1" t="b">
        <v>1</v>
      </c>
      <c r="BI76" s="1">
        <v>77.78</v>
      </c>
      <c r="BJ76" s="1">
        <v>75.0</v>
      </c>
      <c r="BK76" s="1" t="b">
        <v>0</v>
      </c>
      <c r="BL76" s="1" t="b">
        <v>0</v>
      </c>
      <c r="BM76" s="1">
        <v>13.121</v>
      </c>
      <c r="BN76" s="1">
        <v>14.568</v>
      </c>
      <c r="BO76" s="1" t="b">
        <v>1</v>
      </c>
      <c r="BP76" s="1" t="b">
        <v>1</v>
      </c>
      <c r="BQ76" s="1">
        <v>75.0</v>
      </c>
      <c r="BR76" s="1">
        <v>72.027</v>
      </c>
      <c r="BS76" s="1" t="b">
        <v>1</v>
      </c>
      <c r="BT76" s="1" t="b">
        <v>1</v>
      </c>
      <c r="BU76" s="1" t="s">
        <v>157</v>
      </c>
      <c r="BV76" s="1" t="s">
        <v>105</v>
      </c>
      <c r="BW76" s="1" t="s">
        <v>104</v>
      </c>
      <c r="BX76" s="1" t="s">
        <v>105</v>
      </c>
      <c r="BY76" s="1" t="s">
        <v>104</v>
      </c>
      <c r="BZ76" s="1" t="s">
        <v>105</v>
      </c>
      <c r="CA76" s="1" t="s">
        <v>104</v>
      </c>
      <c r="CB76" s="1" t="s">
        <v>105</v>
      </c>
      <c r="CC76" s="1" t="s">
        <v>104</v>
      </c>
      <c r="CD76" s="1" t="s">
        <v>104</v>
      </c>
      <c r="CE76" s="4"/>
      <c r="CF76" s="4"/>
    </row>
    <row r="77">
      <c r="A77" s="1" t="s">
        <v>82</v>
      </c>
      <c r="B77" s="1" t="s">
        <v>111</v>
      </c>
      <c r="C77" s="1">
        <v>47.0</v>
      </c>
      <c r="D77" s="5" t="s">
        <v>451</v>
      </c>
      <c r="E77" s="1" t="s">
        <v>452</v>
      </c>
      <c r="F77" s="1">
        <v>44.0</v>
      </c>
      <c r="G77" s="1">
        <v>0.0</v>
      </c>
      <c r="H77" s="1" t="s">
        <v>453</v>
      </c>
      <c r="I77" s="4" t="b">
        <f>IFERROR(__xludf.DUMMYFUNCTION("IF(H77="""",,REGEXMATCH(H77,""[א-ת]""))"),FALSE)</f>
        <v>0</v>
      </c>
      <c r="J77" s="4"/>
      <c r="K77" s="4"/>
      <c r="L77" s="1">
        <v>0.0</v>
      </c>
      <c r="M77" s="1">
        <v>7.06</v>
      </c>
      <c r="N77" s="1">
        <v>81.82</v>
      </c>
      <c r="O77" s="1">
        <v>1.859545455</v>
      </c>
      <c r="P77" s="4"/>
      <c r="Q77" s="4"/>
      <c r="R77" s="1" t="s">
        <v>89</v>
      </c>
      <c r="S77" s="1" t="s">
        <v>452</v>
      </c>
      <c r="T77" s="1" t="s">
        <v>111</v>
      </c>
      <c r="U77" s="1">
        <v>48.0</v>
      </c>
      <c r="V77" s="5" t="s">
        <v>451</v>
      </c>
      <c r="W77" s="1" t="s">
        <v>452</v>
      </c>
      <c r="X77" s="1" t="s">
        <v>454</v>
      </c>
      <c r="Y77" s="1" t="s">
        <v>455</v>
      </c>
      <c r="Z77" s="1" t="s">
        <v>456</v>
      </c>
      <c r="AA77" s="4" t="b">
        <f>IFERROR(__xludf.DUMMYFUNCTION("IF(X77="""",,REGEXMATCH(X77,""[א-ת]""))"),TRUE)</f>
        <v>1</v>
      </c>
      <c r="AB77" s="1">
        <v>2.16</v>
      </c>
      <c r="AC77" s="1">
        <v>97.73</v>
      </c>
      <c r="AD77" s="1">
        <v>0.124453574812665</v>
      </c>
      <c r="AE77" s="1">
        <v>0.0</v>
      </c>
      <c r="AF77" s="1">
        <v>0.0</v>
      </c>
      <c r="AG77" s="1">
        <v>6.337</v>
      </c>
      <c r="AH77" s="1">
        <v>6.781</v>
      </c>
      <c r="AI77" s="1" t="b">
        <v>0</v>
      </c>
      <c r="AJ77" s="1" t="b">
        <v>1</v>
      </c>
      <c r="AK77" s="1">
        <v>94.182</v>
      </c>
      <c r="AL77" s="1">
        <v>96.508</v>
      </c>
      <c r="AM77" s="1" t="b">
        <v>0</v>
      </c>
      <c r="AN77" s="1" t="b">
        <v>1</v>
      </c>
      <c r="AO77" s="1">
        <v>8.05</v>
      </c>
      <c r="AP77" s="1">
        <v>8.53399999999999</v>
      </c>
      <c r="AQ77" s="1" t="b">
        <v>1</v>
      </c>
      <c r="AR77" s="1" t="b">
        <v>1</v>
      </c>
      <c r="AS77" s="1">
        <v>86.9179999999999</v>
      </c>
      <c r="AT77" s="1">
        <v>87.152</v>
      </c>
      <c r="AU77" s="1" t="b">
        <v>0</v>
      </c>
      <c r="AV77" s="1" t="b">
        <v>1</v>
      </c>
      <c r="AW77" s="1">
        <v>9.61399999999999</v>
      </c>
      <c r="AX77" s="1">
        <v>11.026</v>
      </c>
      <c r="AY77" s="1" t="b">
        <v>1</v>
      </c>
      <c r="AZ77" s="1" t="b">
        <v>1</v>
      </c>
      <c r="BA77" s="1">
        <v>81.25</v>
      </c>
      <c r="BB77" s="1">
        <v>77.78</v>
      </c>
      <c r="BC77" s="1" t="b">
        <v>1</v>
      </c>
      <c r="BD77" s="1" t="b">
        <v>1</v>
      </c>
      <c r="BE77" s="1">
        <v>11.34</v>
      </c>
      <c r="BF77" s="1">
        <v>13.285</v>
      </c>
      <c r="BG77" s="1" t="b">
        <v>1</v>
      </c>
      <c r="BH77" s="1" t="b">
        <v>1</v>
      </c>
      <c r="BI77" s="1">
        <v>77.78</v>
      </c>
      <c r="BJ77" s="1">
        <v>75.0</v>
      </c>
      <c r="BK77" s="1" t="b">
        <v>1</v>
      </c>
      <c r="BL77" s="1" t="b">
        <v>1</v>
      </c>
      <c r="BM77" s="1">
        <v>13.121</v>
      </c>
      <c r="BN77" s="1">
        <v>14.568</v>
      </c>
      <c r="BO77" s="1" t="b">
        <v>1</v>
      </c>
      <c r="BP77" s="1" t="b">
        <v>1</v>
      </c>
      <c r="BQ77" s="1">
        <v>75.0</v>
      </c>
      <c r="BR77" s="1">
        <v>72.027</v>
      </c>
      <c r="BS77" s="1" t="b">
        <v>1</v>
      </c>
      <c r="BT77" s="1" t="b">
        <v>1</v>
      </c>
      <c r="BU77" s="1" t="s">
        <v>157</v>
      </c>
      <c r="BV77" s="1" t="s">
        <v>157</v>
      </c>
      <c r="BW77" s="1" t="s">
        <v>104</v>
      </c>
      <c r="BX77" s="1" t="s">
        <v>157</v>
      </c>
      <c r="BY77" s="1" t="s">
        <v>104</v>
      </c>
      <c r="BZ77" s="1" t="s">
        <v>104</v>
      </c>
      <c r="CA77" s="1" t="s">
        <v>104</v>
      </c>
      <c r="CB77" s="1" t="s">
        <v>104</v>
      </c>
      <c r="CC77" s="1" t="s">
        <v>104</v>
      </c>
      <c r="CD77" s="1" t="s">
        <v>104</v>
      </c>
      <c r="CE77" s="4"/>
      <c r="CF77" s="4"/>
    </row>
    <row r="78" hidden="1">
      <c r="A78" s="1" t="s">
        <v>82</v>
      </c>
      <c r="B78" s="1" t="s">
        <v>111</v>
      </c>
      <c r="C78" s="1">
        <v>33.0</v>
      </c>
      <c r="D78" s="5" t="s">
        <v>457</v>
      </c>
      <c r="E78" s="1" t="s">
        <v>458</v>
      </c>
      <c r="F78" s="1">
        <v>33.0</v>
      </c>
      <c r="G78" s="1">
        <v>0.0</v>
      </c>
      <c r="H78" s="1" t="s">
        <v>459</v>
      </c>
      <c r="I78" s="4" t="b">
        <f>IFERROR(__xludf.DUMMYFUNCTION("IF(H78="""",,REGEXMATCH(H78,""[א-ת]""))"),FALSE)</f>
        <v>0</v>
      </c>
      <c r="J78" s="4"/>
      <c r="K78" s="4"/>
      <c r="L78" s="1">
        <v>0.0</v>
      </c>
      <c r="M78" s="1">
        <v>7.13</v>
      </c>
      <c r="N78" s="1">
        <v>63.64</v>
      </c>
      <c r="O78" s="1">
        <v>1.928484848</v>
      </c>
      <c r="P78" s="4"/>
      <c r="Q78" s="4"/>
      <c r="R78" s="1" t="s">
        <v>89</v>
      </c>
      <c r="S78" s="1" t="s">
        <v>458</v>
      </c>
      <c r="T78" s="1" t="s">
        <v>111</v>
      </c>
      <c r="U78" s="1">
        <v>34.0</v>
      </c>
      <c r="V78" s="5" t="s">
        <v>457</v>
      </c>
      <c r="W78" s="1" t="s">
        <v>458</v>
      </c>
      <c r="X78" s="1" t="s">
        <v>460</v>
      </c>
      <c r="Y78" s="4"/>
      <c r="Z78" s="4"/>
      <c r="AA78" s="4" t="b">
        <f>IFERROR(__xludf.DUMMYFUNCTION("IF(X78="""",,REGEXMATCH(X78,""[א-ת]""))"),FALSE)</f>
        <v>0</v>
      </c>
      <c r="AB78" s="1">
        <v>8.57</v>
      </c>
      <c r="AC78" s="1">
        <v>72.73</v>
      </c>
      <c r="AD78" s="1">
        <v>0.333747137612547</v>
      </c>
      <c r="AE78" s="1">
        <v>0.0</v>
      </c>
      <c r="AF78" s="1">
        <v>0.0</v>
      </c>
      <c r="AG78" s="1">
        <v>6.337</v>
      </c>
      <c r="AH78" s="1">
        <v>6.781</v>
      </c>
      <c r="AI78" s="1" t="b">
        <v>0</v>
      </c>
      <c r="AJ78" s="1" t="b">
        <v>0</v>
      </c>
      <c r="AK78" s="1">
        <v>94.182</v>
      </c>
      <c r="AL78" s="1">
        <v>96.508</v>
      </c>
      <c r="AM78" s="1" t="b">
        <v>0</v>
      </c>
      <c r="AN78" s="1" t="b">
        <v>0</v>
      </c>
      <c r="AO78" s="1">
        <v>8.05</v>
      </c>
      <c r="AP78" s="1">
        <v>8.53399999999999</v>
      </c>
      <c r="AQ78" s="1" t="b">
        <v>1</v>
      </c>
      <c r="AR78" s="1" t="b">
        <v>0</v>
      </c>
      <c r="AS78" s="1">
        <v>86.9179999999999</v>
      </c>
      <c r="AT78" s="1">
        <v>87.152</v>
      </c>
      <c r="AU78" s="1" t="b">
        <v>0</v>
      </c>
      <c r="AV78" s="1" t="b">
        <v>0</v>
      </c>
      <c r="AW78" s="1">
        <v>9.61399999999999</v>
      </c>
      <c r="AX78" s="1">
        <v>11.026</v>
      </c>
      <c r="AY78" s="1" t="b">
        <v>1</v>
      </c>
      <c r="AZ78" s="1" t="b">
        <v>1</v>
      </c>
      <c r="BA78" s="1">
        <v>81.25</v>
      </c>
      <c r="BB78" s="1">
        <v>77.78</v>
      </c>
      <c r="BC78" s="1" t="b">
        <v>0</v>
      </c>
      <c r="BD78" s="1" t="b">
        <v>0</v>
      </c>
      <c r="BE78" s="1">
        <v>11.34</v>
      </c>
      <c r="BF78" s="1">
        <v>13.285</v>
      </c>
      <c r="BG78" s="1" t="b">
        <v>1</v>
      </c>
      <c r="BH78" s="1" t="b">
        <v>1</v>
      </c>
      <c r="BI78" s="1">
        <v>77.78</v>
      </c>
      <c r="BJ78" s="1">
        <v>75.0</v>
      </c>
      <c r="BK78" s="1" t="b">
        <v>0</v>
      </c>
      <c r="BL78" s="1" t="b">
        <v>0</v>
      </c>
      <c r="BM78" s="1">
        <v>13.121</v>
      </c>
      <c r="BN78" s="1">
        <v>14.568</v>
      </c>
      <c r="BO78" s="1" t="b">
        <v>1</v>
      </c>
      <c r="BP78" s="1" t="b">
        <v>1</v>
      </c>
      <c r="BQ78" s="1">
        <v>75.0</v>
      </c>
      <c r="BR78" s="1">
        <v>72.027</v>
      </c>
      <c r="BS78" s="1" t="b">
        <v>0</v>
      </c>
      <c r="BT78" s="1" t="b">
        <v>1</v>
      </c>
      <c r="BU78" s="1" t="s">
        <v>105</v>
      </c>
      <c r="BV78" s="1" t="s">
        <v>105</v>
      </c>
      <c r="BW78" s="1" t="s">
        <v>91</v>
      </c>
      <c r="BX78" s="1" t="s">
        <v>105</v>
      </c>
      <c r="BY78" s="1" t="s">
        <v>104</v>
      </c>
      <c r="BZ78" s="1" t="s">
        <v>105</v>
      </c>
      <c r="CA78" s="1" t="s">
        <v>104</v>
      </c>
      <c r="CB78" s="1" t="s">
        <v>105</v>
      </c>
      <c r="CC78" s="1" t="s">
        <v>104</v>
      </c>
      <c r="CD78" s="1" t="s">
        <v>157</v>
      </c>
      <c r="CE78" s="4"/>
      <c r="CF78" s="4"/>
    </row>
    <row r="79" hidden="1">
      <c r="A79" s="1" t="s">
        <v>82</v>
      </c>
      <c r="B79" s="1" t="s">
        <v>98</v>
      </c>
      <c r="C79" s="1">
        <v>7.0</v>
      </c>
      <c r="D79" s="5" t="s">
        <v>461</v>
      </c>
      <c r="E79" s="1" t="s">
        <v>462</v>
      </c>
      <c r="F79" s="1">
        <v>10.0</v>
      </c>
      <c r="G79" s="1">
        <v>0.0</v>
      </c>
      <c r="H79" s="1" t="s">
        <v>463</v>
      </c>
      <c r="I79" s="4" t="b">
        <f>IFERROR(__xludf.DUMMYFUNCTION("IF(H79="""",,REGEXMATCH(H79,""[א-ת]""))"),FALSE)</f>
        <v>0</v>
      </c>
      <c r="J79" s="4"/>
      <c r="K79" s="4"/>
      <c r="L79" s="1">
        <v>0.0</v>
      </c>
      <c r="M79" s="1">
        <v>7.14</v>
      </c>
      <c r="N79" s="1">
        <v>70.0</v>
      </c>
      <c r="O79" s="1">
        <v>7.0</v>
      </c>
      <c r="P79" s="4"/>
      <c r="Q79" s="4"/>
      <c r="R79" s="1" t="s">
        <v>89</v>
      </c>
      <c r="S79" s="1" t="s">
        <v>462</v>
      </c>
      <c r="T79" s="1" t="s">
        <v>98</v>
      </c>
      <c r="U79" s="1">
        <v>8.0</v>
      </c>
      <c r="V79" s="5" t="s">
        <v>461</v>
      </c>
      <c r="W79" s="1" t="s">
        <v>462</v>
      </c>
      <c r="X79" s="1" t="s">
        <v>464</v>
      </c>
      <c r="Y79" s="4"/>
      <c r="Z79" s="4"/>
      <c r="AA79" s="4" t="b">
        <f>IFERROR(__xludf.DUMMYFUNCTION("IF(X79="""",,REGEXMATCH(X79,""[א-ת]""))"),FALSE)</f>
        <v>0</v>
      </c>
      <c r="AB79" s="1">
        <v>7.41</v>
      </c>
      <c r="AC79" s="1">
        <v>60.0</v>
      </c>
      <c r="AD79" s="1">
        <v>0.181182272614279</v>
      </c>
      <c r="AE79" s="1">
        <v>0.0</v>
      </c>
      <c r="AF79" s="1">
        <v>0.0</v>
      </c>
      <c r="AG79" s="1">
        <v>6.337</v>
      </c>
      <c r="AH79" s="1">
        <v>6.781</v>
      </c>
      <c r="AI79" s="1" t="b">
        <v>0</v>
      </c>
      <c r="AJ79" s="1" t="b">
        <v>0</v>
      </c>
      <c r="AK79" s="1">
        <v>94.182</v>
      </c>
      <c r="AL79" s="1">
        <v>96.508</v>
      </c>
      <c r="AM79" s="1" t="b">
        <v>0</v>
      </c>
      <c r="AN79" s="1" t="b">
        <v>0</v>
      </c>
      <c r="AO79" s="1">
        <v>8.05</v>
      </c>
      <c r="AP79" s="1">
        <v>8.53399999999999</v>
      </c>
      <c r="AQ79" s="1" t="b">
        <v>1</v>
      </c>
      <c r="AR79" s="1" t="b">
        <v>1</v>
      </c>
      <c r="AS79" s="1">
        <v>86.9179999999999</v>
      </c>
      <c r="AT79" s="1">
        <v>87.152</v>
      </c>
      <c r="AU79" s="1" t="b">
        <v>0</v>
      </c>
      <c r="AV79" s="1" t="b">
        <v>0</v>
      </c>
      <c r="AW79" s="1">
        <v>9.61399999999999</v>
      </c>
      <c r="AX79" s="1">
        <v>11.026</v>
      </c>
      <c r="AY79" s="1" t="b">
        <v>1</v>
      </c>
      <c r="AZ79" s="1" t="b">
        <v>1</v>
      </c>
      <c r="BA79" s="1">
        <v>81.25</v>
      </c>
      <c r="BB79" s="1">
        <v>77.78</v>
      </c>
      <c r="BC79" s="1" t="b">
        <v>0</v>
      </c>
      <c r="BD79" s="1" t="b">
        <v>0</v>
      </c>
      <c r="BE79" s="1">
        <v>11.34</v>
      </c>
      <c r="BF79" s="1">
        <v>13.285</v>
      </c>
      <c r="BG79" s="1" t="b">
        <v>1</v>
      </c>
      <c r="BH79" s="1" t="b">
        <v>1</v>
      </c>
      <c r="BI79" s="1">
        <v>77.78</v>
      </c>
      <c r="BJ79" s="1">
        <v>75.0</v>
      </c>
      <c r="BK79" s="1" t="b">
        <v>0</v>
      </c>
      <c r="BL79" s="1" t="b">
        <v>0</v>
      </c>
      <c r="BM79" s="1">
        <v>13.121</v>
      </c>
      <c r="BN79" s="1">
        <v>14.568</v>
      </c>
      <c r="BO79" s="1" t="b">
        <v>1</v>
      </c>
      <c r="BP79" s="1" t="b">
        <v>1</v>
      </c>
      <c r="BQ79" s="1">
        <v>75.0</v>
      </c>
      <c r="BR79" s="1">
        <v>72.027</v>
      </c>
      <c r="BS79" s="1" t="b">
        <v>0</v>
      </c>
      <c r="BT79" s="1" t="b">
        <v>0</v>
      </c>
      <c r="BU79" s="1" t="s">
        <v>105</v>
      </c>
      <c r="BV79" s="1" t="s">
        <v>105</v>
      </c>
      <c r="BW79" s="1" t="s">
        <v>104</v>
      </c>
      <c r="BX79" s="1" t="s">
        <v>105</v>
      </c>
      <c r="BY79" s="1" t="s">
        <v>104</v>
      </c>
      <c r="BZ79" s="1" t="s">
        <v>105</v>
      </c>
      <c r="CA79" s="1" t="s">
        <v>104</v>
      </c>
      <c r="CB79" s="1" t="s">
        <v>105</v>
      </c>
      <c r="CC79" s="1" t="s">
        <v>104</v>
      </c>
      <c r="CD79" s="1" t="s">
        <v>105</v>
      </c>
      <c r="CE79" s="4"/>
      <c r="CF79" s="4"/>
    </row>
    <row r="80">
      <c r="A80" s="1" t="s">
        <v>82</v>
      </c>
      <c r="B80" s="1" t="s">
        <v>304</v>
      </c>
      <c r="C80" s="1">
        <v>18.0</v>
      </c>
      <c r="D80" s="5" t="s">
        <v>465</v>
      </c>
      <c r="E80" s="1" t="s">
        <v>466</v>
      </c>
      <c r="F80" s="1">
        <v>15.0</v>
      </c>
      <c r="G80" s="1">
        <v>0.0</v>
      </c>
      <c r="H80" s="1" t="s">
        <v>467</v>
      </c>
      <c r="I80" s="4" t="b">
        <f>IFERROR(__xludf.DUMMYFUNCTION("IF(H80="""",,REGEXMATCH(H80,""[א-ת]""))"),FALSE)</f>
        <v>0</v>
      </c>
      <c r="J80" s="4"/>
      <c r="K80" s="4"/>
      <c r="L80" s="1">
        <v>0.0</v>
      </c>
      <c r="M80" s="1">
        <v>7.25</v>
      </c>
      <c r="N80" s="1">
        <v>66.67</v>
      </c>
      <c r="O80" s="1">
        <v>4.444666667</v>
      </c>
      <c r="P80" s="4"/>
      <c r="Q80" s="4"/>
      <c r="R80" s="1" t="s">
        <v>89</v>
      </c>
      <c r="S80" s="1" t="s">
        <v>466</v>
      </c>
      <c r="T80" s="1" t="s">
        <v>304</v>
      </c>
      <c r="U80" s="1">
        <v>19.0</v>
      </c>
      <c r="V80" s="5" t="s">
        <v>465</v>
      </c>
      <c r="W80" s="1" t="s">
        <v>466</v>
      </c>
      <c r="X80" s="1" t="s">
        <v>468</v>
      </c>
      <c r="Y80" s="1" t="s">
        <v>469</v>
      </c>
      <c r="Z80" s="1" t="s">
        <v>470</v>
      </c>
      <c r="AA80" s="4" t="b">
        <f>IFERROR(__xludf.DUMMYFUNCTION("IF(X80="""",,REGEXMATCH(X80,""[א-ת]""))"),FALSE)</f>
        <v>0</v>
      </c>
      <c r="AB80" s="1">
        <v>5.9</v>
      </c>
      <c r="AC80" s="1">
        <v>73.33</v>
      </c>
      <c r="AD80" s="1">
        <v>0.232965591416037</v>
      </c>
      <c r="AE80" s="1">
        <v>0.0</v>
      </c>
      <c r="AF80" s="1">
        <v>0.0</v>
      </c>
      <c r="AG80" s="1">
        <v>6.337</v>
      </c>
      <c r="AH80" s="1">
        <v>6.781</v>
      </c>
      <c r="AI80" s="1" t="b">
        <v>0</v>
      </c>
      <c r="AJ80" s="1" t="b">
        <v>1</v>
      </c>
      <c r="AK80" s="1">
        <v>94.182</v>
      </c>
      <c r="AL80" s="1">
        <v>96.508</v>
      </c>
      <c r="AM80" s="1" t="b">
        <v>0</v>
      </c>
      <c r="AN80" s="1" t="b">
        <v>0</v>
      </c>
      <c r="AO80" s="1">
        <v>8.05</v>
      </c>
      <c r="AP80" s="1">
        <v>8.53399999999999</v>
      </c>
      <c r="AQ80" s="1" t="b">
        <v>1</v>
      </c>
      <c r="AR80" s="1" t="b">
        <v>1</v>
      </c>
      <c r="AS80" s="1">
        <v>86.9179999999999</v>
      </c>
      <c r="AT80" s="1">
        <v>87.152</v>
      </c>
      <c r="AU80" s="1" t="b">
        <v>0</v>
      </c>
      <c r="AV80" s="1" t="b">
        <v>0</v>
      </c>
      <c r="AW80" s="1">
        <v>9.61399999999999</v>
      </c>
      <c r="AX80" s="1">
        <v>11.026</v>
      </c>
      <c r="AY80" s="1" t="b">
        <v>1</v>
      </c>
      <c r="AZ80" s="1" t="b">
        <v>1</v>
      </c>
      <c r="BA80" s="1">
        <v>81.25</v>
      </c>
      <c r="BB80" s="1">
        <v>77.78</v>
      </c>
      <c r="BC80" s="1" t="b">
        <v>0</v>
      </c>
      <c r="BD80" s="1" t="b">
        <v>0</v>
      </c>
      <c r="BE80" s="1">
        <v>11.34</v>
      </c>
      <c r="BF80" s="1">
        <v>13.285</v>
      </c>
      <c r="BG80" s="1" t="b">
        <v>1</v>
      </c>
      <c r="BH80" s="1" t="b">
        <v>1</v>
      </c>
      <c r="BI80" s="1">
        <v>77.78</v>
      </c>
      <c r="BJ80" s="1">
        <v>75.0</v>
      </c>
      <c r="BK80" s="1" t="b">
        <v>0</v>
      </c>
      <c r="BL80" s="1" t="b">
        <v>0</v>
      </c>
      <c r="BM80" s="1">
        <v>13.121</v>
      </c>
      <c r="BN80" s="1">
        <v>14.568</v>
      </c>
      <c r="BO80" s="1" t="b">
        <v>1</v>
      </c>
      <c r="BP80" s="1" t="b">
        <v>1</v>
      </c>
      <c r="BQ80" s="1">
        <v>75.0</v>
      </c>
      <c r="BR80" s="1">
        <v>72.027</v>
      </c>
      <c r="BS80" s="1" t="b">
        <v>0</v>
      </c>
      <c r="BT80" s="1" t="b">
        <v>1</v>
      </c>
      <c r="BU80" s="1" t="s">
        <v>157</v>
      </c>
      <c r="BV80" s="1" t="s">
        <v>105</v>
      </c>
      <c r="BW80" s="1" t="s">
        <v>104</v>
      </c>
      <c r="BX80" s="1" t="s">
        <v>105</v>
      </c>
      <c r="BY80" s="1" t="s">
        <v>104</v>
      </c>
      <c r="BZ80" s="1" t="s">
        <v>105</v>
      </c>
      <c r="CA80" s="1" t="s">
        <v>104</v>
      </c>
      <c r="CB80" s="1" t="s">
        <v>105</v>
      </c>
      <c r="CC80" s="1" t="s">
        <v>104</v>
      </c>
      <c r="CD80" s="1" t="s">
        <v>157</v>
      </c>
      <c r="CE80" s="4"/>
      <c r="CF80" s="4"/>
    </row>
    <row r="81">
      <c r="A81" s="1" t="s">
        <v>82</v>
      </c>
      <c r="B81" s="1" t="s">
        <v>83</v>
      </c>
      <c r="C81" s="1">
        <v>19.0</v>
      </c>
      <c r="D81" s="5" t="s">
        <v>471</v>
      </c>
      <c r="E81" s="1" t="s">
        <v>472</v>
      </c>
      <c r="F81" s="1">
        <v>70.0</v>
      </c>
      <c r="G81" s="1">
        <v>-0.8573</v>
      </c>
      <c r="H81" s="1" t="s">
        <v>473</v>
      </c>
      <c r="I81" s="4" t="b">
        <f>IFERROR(__xludf.DUMMYFUNCTION("IF(H81="""",,REGEXMATCH(H81,""[א-ת]""))"),FALSE)</f>
        <v>0</v>
      </c>
      <c r="J81" s="4"/>
      <c r="K81" s="4"/>
      <c r="L81" s="1">
        <v>-0.428</v>
      </c>
      <c r="M81" s="1">
        <v>7.26</v>
      </c>
      <c r="N81" s="1">
        <v>81.43</v>
      </c>
      <c r="O81" s="1">
        <v>1.163285714</v>
      </c>
      <c r="P81" s="4"/>
      <c r="Q81" s="4"/>
      <c r="R81" s="1" t="s">
        <v>89</v>
      </c>
      <c r="S81" s="1" t="s">
        <v>472</v>
      </c>
      <c r="T81" s="1" t="s">
        <v>83</v>
      </c>
      <c r="U81" s="1">
        <v>20.0</v>
      </c>
      <c r="V81" s="5" t="s">
        <v>471</v>
      </c>
      <c r="W81" s="1" t="s">
        <v>472</v>
      </c>
      <c r="X81" s="1" t="s">
        <v>474</v>
      </c>
      <c r="Y81" s="1" t="s">
        <v>475</v>
      </c>
      <c r="Z81" s="4"/>
      <c r="AA81" s="4" t="b">
        <f>IFERROR(__xludf.DUMMYFUNCTION("IF(X81="""",,REGEXMATCH(X81,""[א-ת]""))"),FALSE)</f>
        <v>0</v>
      </c>
      <c r="AB81" s="1">
        <v>4.82</v>
      </c>
      <c r="AC81" s="1">
        <v>70.0</v>
      </c>
      <c r="AD81" s="1">
        <v>0.548798188948406</v>
      </c>
      <c r="AE81" s="1">
        <v>-0.8671</v>
      </c>
      <c r="AF81" s="1">
        <v>-0.8573</v>
      </c>
      <c r="AG81" s="1">
        <v>6.337</v>
      </c>
      <c r="AH81" s="1">
        <v>6.781</v>
      </c>
      <c r="AI81" s="1" t="b">
        <v>0</v>
      </c>
      <c r="AJ81" s="1" t="b">
        <v>1</v>
      </c>
      <c r="AK81" s="1">
        <v>94.182</v>
      </c>
      <c r="AL81" s="1">
        <v>96.508</v>
      </c>
      <c r="AM81" s="1" t="b">
        <v>0</v>
      </c>
      <c r="AN81" s="1" t="b">
        <v>0</v>
      </c>
      <c r="AO81" s="1">
        <v>8.05</v>
      </c>
      <c r="AP81" s="1">
        <v>8.53399999999999</v>
      </c>
      <c r="AQ81" s="1" t="b">
        <v>1</v>
      </c>
      <c r="AR81" s="1" t="b">
        <v>1</v>
      </c>
      <c r="AS81" s="1">
        <v>86.9179999999999</v>
      </c>
      <c r="AT81" s="1">
        <v>87.152</v>
      </c>
      <c r="AU81" s="1" t="b">
        <v>0</v>
      </c>
      <c r="AV81" s="1" t="b">
        <v>0</v>
      </c>
      <c r="AW81" s="1">
        <v>9.61399999999999</v>
      </c>
      <c r="AX81" s="1">
        <v>11.026</v>
      </c>
      <c r="AY81" s="1" t="b">
        <v>1</v>
      </c>
      <c r="AZ81" s="1" t="b">
        <v>1</v>
      </c>
      <c r="BA81" s="1">
        <v>81.25</v>
      </c>
      <c r="BB81" s="1">
        <v>77.78</v>
      </c>
      <c r="BC81" s="1" t="b">
        <v>1</v>
      </c>
      <c r="BD81" s="1" t="b">
        <v>0</v>
      </c>
      <c r="BE81" s="1">
        <v>11.34</v>
      </c>
      <c r="BF81" s="1">
        <v>13.285</v>
      </c>
      <c r="BG81" s="1" t="b">
        <v>1</v>
      </c>
      <c r="BH81" s="1" t="b">
        <v>1</v>
      </c>
      <c r="BI81" s="1">
        <v>77.78</v>
      </c>
      <c r="BJ81" s="1">
        <v>75.0</v>
      </c>
      <c r="BK81" s="1" t="b">
        <v>1</v>
      </c>
      <c r="BL81" s="1" t="b">
        <v>0</v>
      </c>
      <c r="BM81" s="1">
        <v>13.121</v>
      </c>
      <c r="BN81" s="1">
        <v>14.568</v>
      </c>
      <c r="BO81" s="1" t="b">
        <v>1</v>
      </c>
      <c r="BP81" s="1" t="b">
        <v>1</v>
      </c>
      <c r="BQ81" s="1">
        <v>75.0</v>
      </c>
      <c r="BR81" s="1">
        <v>72.027</v>
      </c>
      <c r="BS81" s="1" t="b">
        <v>1</v>
      </c>
      <c r="BT81" s="1" t="b">
        <v>0</v>
      </c>
      <c r="BU81" s="1" t="s">
        <v>157</v>
      </c>
      <c r="BV81" s="1" t="s">
        <v>105</v>
      </c>
      <c r="BW81" s="1" t="s">
        <v>104</v>
      </c>
      <c r="BX81" s="1" t="s">
        <v>105</v>
      </c>
      <c r="BY81" s="1" t="s">
        <v>104</v>
      </c>
      <c r="BZ81" s="1" t="s">
        <v>91</v>
      </c>
      <c r="CA81" s="1" t="s">
        <v>104</v>
      </c>
      <c r="CB81" s="1" t="s">
        <v>91</v>
      </c>
      <c r="CC81" s="1" t="s">
        <v>104</v>
      </c>
      <c r="CD81" s="1" t="s">
        <v>91</v>
      </c>
      <c r="CE81" s="4"/>
      <c r="CF81" s="4"/>
    </row>
    <row r="82" hidden="1">
      <c r="A82" s="1" t="s">
        <v>82</v>
      </c>
      <c r="B82" s="1" t="s">
        <v>145</v>
      </c>
      <c r="C82" s="1">
        <v>16.0</v>
      </c>
      <c r="D82" s="5" t="s">
        <v>476</v>
      </c>
      <c r="E82" s="1" t="s">
        <v>477</v>
      </c>
      <c r="F82" s="1">
        <v>14.0</v>
      </c>
      <c r="G82" s="1">
        <v>0.0</v>
      </c>
      <c r="H82" s="1" t="s">
        <v>478</v>
      </c>
      <c r="I82" s="4" t="b">
        <f>IFERROR(__xludf.DUMMYFUNCTION("IF(H82="""",,REGEXMATCH(H82,""[א-ת]""))"),FALSE)</f>
        <v>0</v>
      </c>
      <c r="J82" s="4"/>
      <c r="K82" s="4"/>
      <c r="L82" s="1">
        <v>0.0</v>
      </c>
      <c r="M82" s="1">
        <v>7.34</v>
      </c>
      <c r="N82" s="1">
        <v>78.57</v>
      </c>
      <c r="O82" s="1">
        <v>5.612142857</v>
      </c>
      <c r="P82" s="4"/>
      <c r="Q82" s="4"/>
      <c r="R82" s="1" t="s">
        <v>89</v>
      </c>
      <c r="S82" s="1" t="s">
        <v>477</v>
      </c>
      <c r="T82" s="1" t="s">
        <v>145</v>
      </c>
      <c r="U82" s="1">
        <v>17.0</v>
      </c>
      <c r="V82" s="5" t="s">
        <v>476</v>
      </c>
      <c r="W82" s="1" t="s">
        <v>477</v>
      </c>
      <c r="X82" s="1" t="s">
        <v>479</v>
      </c>
      <c r="Y82" s="4"/>
      <c r="Z82" s="4"/>
      <c r="AA82" s="4" t="b">
        <f>IFERROR(__xludf.DUMMYFUNCTION("IF(X82="""",,REGEXMATCH(X82,""[א-ת]""))"),FALSE)</f>
        <v>0</v>
      </c>
      <c r="AB82" s="1">
        <v>16.69</v>
      </c>
      <c r="AC82" s="1">
        <v>92.86</v>
      </c>
      <c r="AD82" s="1">
        <v>0.698595098731674</v>
      </c>
      <c r="AE82" s="1">
        <v>0.0</v>
      </c>
      <c r="AF82" s="1">
        <v>0.0</v>
      </c>
      <c r="AG82" s="1">
        <v>6.337</v>
      </c>
      <c r="AH82" s="1">
        <v>6.781</v>
      </c>
      <c r="AI82" s="1" t="b">
        <v>0</v>
      </c>
      <c r="AJ82" s="1" t="b">
        <v>0</v>
      </c>
      <c r="AK82" s="1">
        <v>94.182</v>
      </c>
      <c r="AL82" s="1">
        <v>96.508</v>
      </c>
      <c r="AM82" s="1" t="b">
        <v>0</v>
      </c>
      <c r="AN82" s="1" t="b">
        <v>0</v>
      </c>
      <c r="AO82" s="1">
        <v>8.05</v>
      </c>
      <c r="AP82" s="1">
        <v>8.53399999999999</v>
      </c>
      <c r="AQ82" s="1" t="b">
        <v>1</v>
      </c>
      <c r="AR82" s="1" t="b">
        <v>0</v>
      </c>
      <c r="AS82" s="1">
        <v>86.9179999999999</v>
      </c>
      <c r="AT82" s="1">
        <v>87.152</v>
      </c>
      <c r="AU82" s="1" t="b">
        <v>0</v>
      </c>
      <c r="AV82" s="1" t="b">
        <v>1</v>
      </c>
      <c r="AW82" s="1">
        <v>9.61399999999999</v>
      </c>
      <c r="AX82" s="1">
        <v>11.026</v>
      </c>
      <c r="AY82" s="1" t="b">
        <v>1</v>
      </c>
      <c r="AZ82" s="1" t="b">
        <v>0</v>
      </c>
      <c r="BA82" s="1">
        <v>81.25</v>
      </c>
      <c r="BB82" s="1">
        <v>77.78</v>
      </c>
      <c r="BC82" s="1" t="b">
        <v>0</v>
      </c>
      <c r="BD82" s="1" t="b">
        <v>1</v>
      </c>
      <c r="BE82" s="1">
        <v>11.34</v>
      </c>
      <c r="BF82" s="1">
        <v>13.285</v>
      </c>
      <c r="BG82" s="1" t="b">
        <v>1</v>
      </c>
      <c r="BH82" s="1" t="b">
        <v>0</v>
      </c>
      <c r="BI82" s="1">
        <v>77.78</v>
      </c>
      <c r="BJ82" s="1">
        <v>75.0</v>
      </c>
      <c r="BK82" s="1" t="b">
        <v>1</v>
      </c>
      <c r="BL82" s="1" t="b">
        <v>1</v>
      </c>
      <c r="BM82" s="1">
        <v>13.121</v>
      </c>
      <c r="BN82" s="1">
        <v>14.568</v>
      </c>
      <c r="BO82" s="1" t="b">
        <v>1</v>
      </c>
      <c r="BP82" s="1" t="b">
        <v>0</v>
      </c>
      <c r="BQ82" s="1">
        <v>75.0</v>
      </c>
      <c r="BR82" s="1">
        <v>72.027</v>
      </c>
      <c r="BS82" s="1" t="b">
        <v>1</v>
      </c>
      <c r="BT82" s="1" t="b">
        <v>1</v>
      </c>
      <c r="BU82" s="1" t="s">
        <v>105</v>
      </c>
      <c r="BV82" s="1" t="s">
        <v>105</v>
      </c>
      <c r="BW82" s="1" t="s">
        <v>91</v>
      </c>
      <c r="BX82" s="1" t="s">
        <v>157</v>
      </c>
      <c r="BY82" s="1" t="s">
        <v>91</v>
      </c>
      <c r="BZ82" s="1" t="s">
        <v>157</v>
      </c>
      <c r="CA82" s="1" t="s">
        <v>91</v>
      </c>
      <c r="CB82" s="1" t="s">
        <v>104</v>
      </c>
      <c r="CC82" s="1" t="s">
        <v>91</v>
      </c>
      <c r="CD82" s="1" t="s">
        <v>104</v>
      </c>
      <c r="CE82" s="4"/>
      <c r="CF82" s="4"/>
    </row>
    <row r="83" hidden="1">
      <c r="A83" s="1" t="s">
        <v>82</v>
      </c>
      <c r="B83" s="1" t="s">
        <v>116</v>
      </c>
      <c r="C83" s="1">
        <v>5.0</v>
      </c>
      <c r="D83" s="5" t="s">
        <v>480</v>
      </c>
      <c r="E83" s="1" t="s">
        <v>481</v>
      </c>
      <c r="F83" s="1">
        <v>28.0</v>
      </c>
      <c r="G83" s="1">
        <v>-0.6369</v>
      </c>
      <c r="H83" s="1" t="s">
        <v>482</v>
      </c>
      <c r="I83" s="4" t="b">
        <f>IFERROR(__xludf.DUMMYFUNCTION("IF(H83="""",,REGEXMATCH(H83,""[א-ת]""))"),FALSE)</f>
        <v>0</v>
      </c>
      <c r="J83" s="4"/>
      <c r="K83" s="4"/>
      <c r="L83" s="1">
        <v>-0.5859</v>
      </c>
      <c r="M83" s="1">
        <v>7.38</v>
      </c>
      <c r="N83" s="1">
        <v>71.43</v>
      </c>
      <c r="O83" s="1">
        <v>2.551071429</v>
      </c>
      <c r="P83" s="4"/>
      <c r="Q83" s="4"/>
      <c r="R83" s="1" t="s">
        <v>89</v>
      </c>
      <c r="S83" s="1" t="s">
        <v>481</v>
      </c>
      <c r="T83" s="1" t="s">
        <v>116</v>
      </c>
      <c r="U83" s="1">
        <v>6.0</v>
      </c>
      <c r="V83" s="5" t="s">
        <v>480</v>
      </c>
      <c r="W83" s="1" t="s">
        <v>481</v>
      </c>
      <c r="X83" s="1" t="s">
        <v>483</v>
      </c>
      <c r="Y83" s="4"/>
      <c r="Z83" s="4"/>
      <c r="AA83" s="4" t="b">
        <f>IFERROR(__xludf.DUMMYFUNCTION("IF(X83="""",,REGEXMATCH(X83,""[א-ת]""))"),FALSE)</f>
        <v>0</v>
      </c>
      <c r="AB83" s="1">
        <v>9.43</v>
      </c>
      <c r="AC83" s="1">
        <v>75.0</v>
      </c>
      <c r="AD83" s="1">
        <v>0.273720973386217</v>
      </c>
      <c r="AE83" s="1">
        <v>-0.6597</v>
      </c>
      <c r="AF83" s="1">
        <v>-0.6369</v>
      </c>
      <c r="AG83" s="1">
        <v>6.337</v>
      </c>
      <c r="AH83" s="1">
        <v>6.781</v>
      </c>
      <c r="AI83" s="1" t="b">
        <v>0</v>
      </c>
      <c r="AJ83" s="1" t="b">
        <v>0</v>
      </c>
      <c r="AK83" s="1">
        <v>94.182</v>
      </c>
      <c r="AL83" s="1">
        <v>96.508</v>
      </c>
      <c r="AM83" s="1" t="b">
        <v>0</v>
      </c>
      <c r="AN83" s="1" t="b">
        <v>0</v>
      </c>
      <c r="AO83" s="1">
        <v>8.05</v>
      </c>
      <c r="AP83" s="1">
        <v>8.53399999999999</v>
      </c>
      <c r="AQ83" s="1" t="b">
        <v>1</v>
      </c>
      <c r="AR83" s="1" t="b">
        <v>0</v>
      </c>
      <c r="AS83" s="1">
        <v>86.9179999999999</v>
      </c>
      <c r="AT83" s="1">
        <v>87.152</v>
      </c>
      <c r="AU83" s="1" t="b">
        <v>0</v>
      </c>
      <c r="AV83" s="1" t="b">
        <v>0</v>
      </c>
      <c r="AW83" s="1">
        <v>9.61399999999999</v>
      </c>
      <c r="AX83" s="1">
        <v>11.026</v>
      </c>
      <c r="AY83" s="1" t="b">
        <v>1</v>
      </c>
      <c r="AZ83" s="1" t="b">
        <v>1</v>
      </c>
      <c r="BA83" s="1">
        <v>81.25</v>
      </c>
      <c r="BB83" s="1">
        <v>77.78</v>
      </c>
      <c r="BC83" s="1" t="b">
        <v>0</v>
      </c>
      <c r="BD83" s="1" t="b">
        <v>0</v>
      </c>
      <c r="BE83" s="1">
        <v>11.34</v>
      </c>
      <c r="BF83" s="1">
        <v>13.285</v>
      </c>
      <c r="BG83" s="1" t="b">
        <v>1</v>
      </c>
      <c r="BH83" s="1" t="b">
        <v>1</v>
      </c>
      <c r="BI83" s="1">
        <v>77.78</v>
      </c>
      <c r="BJ83" s="1">
        <v>75.0</v>
      </c>
      <c r="BK83" s="1" t="b">
        <v>0</v>
      </c>
      <c r="BL83" s="1" t="b">
        <v>1</v>
      </c>
      <c r="BM83" s="1">
        <v>13.121</v>
      </c>
      <c r="BN83" s="1">
        <v>14.568</v>
      </c>
      <c r="BO83" s="1" t="b">
        <v>1</v>
      </c>
      <c r="BP83" s="1" t="b">
        <v>1</v>
      </c>
      <c r="BQ83" s="1">
        <v>75.0</v>
      </c>
      <c r="BR83" s="1">
        <v>72.027</v>
      </c>
      <c r="BS83" s="1" t="b">
        <v>0</v>
      </c>
      <c r="BT83" s="1" t="b">
        <v>1</v>
      </c>
      <c r="BU83" s="1" t="s">
        <v>105</v>
      </c>
      <c r="BV83" s="1" t="s">
        <v>105</v>
      </c>
      <c r="BW83" s="1" t="s">
        <v>91</v>
      </c>
      <c r="BX83" s="1" t="s">
        <v>105</v>
      </c>
      <c r="BY83" s="1" t="s">
        <v>104</v>
      </c>
      <c r="BZ83" s="1" t="s">
        <v>105</v>
      </c>
      <c r="CA83" s="1" t="s">
        <v>104</v>
      </c>
      <c r="CB83" s="1" t="s">
        <v>157</v>
      </c>
      <c r="CC83" s="1" t="s">
        <v>104</v>
      </c>
      <c r="CD83" s="1" t="s">
        <v>157</v>
      </c>
      <c r="CE83" s="4"/>
      <c r="CF83" s="4"/>
    </row>
    <row r="84">
      <c r="A84" s="1" t="s">
        <v>82</v>
      </c>
      <c r="B84" s="1" t="s">
        <v>111</v>
      </c>
      <c r="C84" s="1">
        <v>43.0</v>
      </c>
      <c r="D84" s="5" t="s">
        <v>484</v>
      </c>
      <c r="E84" s="1" t="s">
        <v>485</v>
      </c>
      <c r="F84" s="1">
        <v>8.0</v>
      </c>
      <c r="G84" s="1">
        <v>-0.5994</v>
      </c>
      <c r="H84" s="1" t="s">
        <v>486</v>
      </c>
      <c r="I84" s="4" t="b">
        <f>IFERROR(__xludf.DUMMYFUNCTION("IF(H84="""",,REGEXMATCH(H84,""[א-ת]""))"),FALSE)</f>
        <v>0</v>
      </c>
      <c r="J84" s="4"/>
      <c r="K84" s="4"/>
      <c r="L84" s="1">
        <v>-0.6476</v>
      </c>
      <c r="M84" s="1">
        <v>7.47</v>
      </c>
      <c r="N84" s="1">
        <v>75.0</v>
      </c>
      <c r="O84" s="1">
        <v>9.375</v>
      </c>
      <c r="P84" s="4"/>
      <c r="Q84" s="4"/>
      <c r="R84" s="1" t="s">
        <v>89</v>
      </c>
      <c r="S84" s="1" t="s">
        <v>485</v>
      </c>
      <c r="T84" s="1" t="s">
        <v>111</v>
      </c>
      <c r="U84" s="1">
        <v>44.0</v>
      </c>
      <c r="V84" s="5" t="s">
        <v>484</v>
      </c>
      <c r="W84" s="1" t="s">
        <v>485</v>
      </c>
      <c r="X84" s="1" t="s">
        <v>487</v>
      </c>
      <c r="Y84" s="1" t="s">
        <v>488</v>
      </c>
      <c r="Z84" s="4"/>
      <c r="AA84" s="4" t="b">
        <f>IFERROR(__xludf.DUMMYFUNCTION("IF(X84="""",,REGEXMATCH(X84,""[א-ת]""))"),FALSE)</f>
        <v>0</v>
      </c>
      <c r="AB84" s="1">
        <v>4.46</v>
      </c>
      <c r="AC84" s="1">
        <v>100.0</v>
      </c>
      <c r="AD84" s="1">
        <v>0.163011591624027</v>
      </c>
      <c r="AE84" s="1">
        <v>-0.6476</v>
      </c>
      <c r="AF84" s="1">
        <v>-0.5994</v>
      </c>
      <c r="AG84" s="1">
        <v>6.337</v>
      </c>
      <c r="AH84" s="1">
        <v>6.781</v>
      </c>
      <c r="AI84" s="1" t="b">
        <v>0</v>
      </c>
      <c r="AJ84" s="1" t="b">
        <v>1</v>
      </c>
      <c r="AK84" s="1">
        <v>94.182</v>
      </c>
      <c r="AL84" s="1">
        <v>96.508</v>
      </c>
      <c r="AM84" s="1" t="b">
        <v>0</v>
      </c>
      <c r="AN84" s="1" t="b">
        <v>1</v>
      </c>
      <c r="AO84" s="1">
        <v>8.05</v>
      </c>
      <c r="AP84" s="1">
        <v>8.53399999999999</v>
      </c>
      <c r="AQ84" s="1" t="b">
        <v>1</v>
      </c>
      <c r="AR84" s="1" t="b">
        <v>1</v>
      </c>
      <c r="AS84" s="1">
        <v>86.9179999999999</v>
      </c>
      <c r="AT84" s="1">
        <v>87.152</v>
      </c>
      <c r="AU84" s="1" t="b">
        <v>0</v>
      </c>
      <c r="AV84" s="1" t="b">
        <v>1</v>
      </c>
      <c r="AW84" s="1">
        <v>9.61399999999999</v>
      </c>
      <c r="AX84" s="1">
        <v>11.026</v>
      </c>
      <c r="AY84" s="1" t="b">
        <v>1</v>
      </c>
      <c r="AZ84" s="1" t="b">
        <v>1</v>
      </c>
      <c r="BA84" s="1">
        <v>81.25</v>
      </c>
      <c r="BB84" s="1">
        <v>77.78</v>
      </c>
      <c r="BC84" s="1" t="b">
        <v>0</v>
      </c>
      <c r="BD84" s="1" t="b">
        <v>1</v>
      </c>
      <c r="BE84" s="1">
        <v>11.34</v>
      </c>
      <c r="BF84" s="1">
        <v>13.285</v>
      </c>
      <c r="BG84" s="1" t="b">
        <v>1</v>
      </c>
      <c r="BH84" s="1" t="b">
        <v>1</v>
      </c>
      <c r="BI84" s="1">
        <v>77.78</v>
      </c>
      <c r="BJ84" s="1">
        <v>75.0</v>
      </c>
      <c r="BK84" s="1" t="b">
        <v>0</v>
      </c>
      <c r="BL84" s="1" t="b">
        <v>1</v>
      </c>
      <c r="BM84" s="1">
        <v>13.121</v>
      </c>
      <c r="BN84" s="1">
        <v>14.568</v>
      </c>
      <c r="BO84" s="1" t="b">
        <v>1</v>
      </c>
      <c r="BP84" s="1" t="b">
        <v>1</v>
      </c>
      <c r="BQ84" s="1">
        <v>75.0</v>
      </c>
      <c r="BR84" s="1">
        <v>72.027</v>
      </c>
      <c r="BS84" s="1" t="b">
        <v>1</v>
      </c>
      <c r="BT84" s="1" t="b">
        <v>1</v>
      </c>
      <c r="BU84" s="1" t="s">
        <v>157</v>
      </c>
      <c r="BV84" s="1" t="s">
        <v>157</v>
      </c>
      <c r="BW84" s="1" t="s">
        <v>104</v>
      </c>
      <c r="BX84" s="1" t="s">
        <v>157</v>
      </c>
      <c r="BY84" s="1" t="s">
        <v>104</v>
      </c>
      <c r="BZ84" s="1" t="s">
        <v>157</v>
      </c>
      <c r="CA84" s="1" t="s">
        <v>104</v>
      </c>
      <c r="CB84" s="1" t="s">
        <v>157</v>
      </c>
      <c r="CC84" s="1" t="s">
        <v>104</v>
      </c>
      <c r="CD84" s="1" t="s">
        <v>104</v>
      </c>
      <c r="CE84" s="4"/>
      <c r="CF84" s="4"/>
    </row>
    <row r="85" hidden="1">
      <c r="A85" s="1" t="s">
        <v>82</v>
      </c>
      <c r="B85" s="1" t="s">
        <v>123</v>
      </c>
      <c r="C85" s="1">
        <v>5.0</v>
      </c>
      <c r="D85" s="5" t="s">
        <v>489</v>
      </c>
      <c r="E85" s="1" t="s">
        <v>490</v>
      </c>
      <c r="F85" s="1">
        <v>45.0</v>
      </c>
      <c r="G85" s="1">
        <v>0.0</v>
      </c>
      <c r="H85" s="1" t="s">
        <v>491</v>
      </c>
      <c r="I85" s="4" t="b">
        <f>IFERROR(__xludf.DUMMYFUNCTION("IF(H85="""",,REGEXMATCH(H85,""[א-ת]""))"),FALSE)</f>
        <v>0</v>
      </c>
      <c r="J85" s="4"/>
      <c r="K85" s="4"/>
      <c r="L85" s="1">
        <v>0.0</v>
      </c>
      <c r="M85" s="1">
        <v>7.5</v>
      </c>
      <c r="N85" s="1">
        <v>108.89</v>
      </c>
      <c r="O85" s="1">
        <v>2.419777778</v>
      </c>
      <c r="P85" s="4"/>
      <c r="Q85" s="4"/>
      <c r="R85" s="1" t="s">
        <v>127</v>
      </c>
      <c r="S85" s="1" t="s">
        <v>490</v>
      </c>
      <c r="T85" s="1" t="s">
        <v>123</v>
      </c>
      <c r="U85" s="1">
        <v>6.0</v>
      </c>
      <c r="V85" s="5" t="s">
        <v>489</v>
      </c>
      <c r="W85" s="1" t="s">
        <v>490</v>
      </c>
      <c r="X85" s="1" t="s">
        <v>492</v>
      </c>
      <c r="Y85" s="4"/>
      <c r="Z85" s="4"/>
      <c r="AA85" s="4" t="b">
        <f>IFERROR(__xludf.DUMMYFUNCTION("IF(X85="""",,REGEXMATCH(X85,""[א-ת]""))"),FALSE)</f>
        <v>0</v>
      </c>
      <c r="AB85" s="1">
        <v>12.86</v>
      </c>
      <c r="AC85" s="1">
        <v>66.67</v>
      </c>
      <c r="AD85" s="1">
        <v>0.783383140191314</v>
      </c>
      <c r="AE85" s="1">
        <v>0.4199</v>
      </c>
      <c r="AF85" s="1">
        <v>0.0</v>
      </c>
      <c r="AG85" s="1">
        <v>6.337</v>
      </c>
      <c r="AH85" s="1">
        <v>6.781</v>
      </c>
      <c r="AI85" s="1" t="b">
        <v>0</v>
      </c>
      <c r="AJ85" s="1" t="b">
        <v>0</v>
      </c>
      <c r="AK85" s="1">
        <v>94.182</v>
      </c>
      <c r="AL85" s="1">
        <v>96.508</v>
      </c>
      <c r="AM85" s="1" t="b">
        <v>1</v>
      </c>
      <c r="AN85" s="1" t="b">
        <v>0</v>
      </c>
      <c r="AO85" s="1">
        <v>8.05</v>
      </c>
      <c r="AP85" s="1">
        <v>8.53399999999999</v>
      </c>
      <c r="AQ85" s="1" t="b">
        <v>1</v>
      </c>
      <c r="AR85" s="1" t="b">
        <v>0</v>
      </c>
      <c r="AS85" s="1">
        <v>86.9179999999999</v>
      </c>
      <c r="AT85" s="1">
        <v>87.152</v>
      </c>
      <c r="AU85" s="1" t="b">
        <v>1</v>
      </c>
      <c r="AV85" s="1" t="b">
        <v>0</v>
      </c>
      <c r="AW85" s="1">
        <v>9.61399999999999</v>
      </c>
      <c r="AX85" s="1">
        <v>11.026</v>
      </c>
      <c r="AY85" s="1" t="b">
        <v>1</v>
      </c>
      <c r="AZ85" s="1" t="b">
        <v>0</v>
      </c>
      <c r="BA85" s="1">
        <v>81.25</v>
      </c>
      <c r="BB85" s="1">
        <v>77.78</v>
      </c>
      <c r="BC85" s="1" t="b">
        <v>1</v>
      </c>
      <c r="BD85" s="1" t="b">
        <v>0</v>
      </c>
      <c r="BE85" s="1">
        <v>11.34</v>
      </c>
      <c r="BF85" s="1">
        <v>13.285</v>
      </c>
      <c r="BG85" s="1" t="b">
        <v>1</v>
      </c>
      <c r="BH85" s="1" t="b">
        <v>1</v>
      </c>
      <c r="BI85" s="1">
        <v>77.78</v>
      </c>
      <c r="BJ85" s="1">
        <v>75.0</v>
      </c>
      <c r="BK85" s="1" t="b">
        <v>1</v>
      </c>
      <c r="BL85" s="1" t="b">
        <v>0</v>
      </c>
      <c r="BM85" s="1">
        <v>13.121</v>
      </c>
      <c r="BN85" s="1">
        <v>14.568</v>
      </c>
      <c r="BO85" s="1" t="b">
        <v>1</v>
      </c>
      <c r="BP85" s="1" t="b">
        <v>1</v>
      </c>
      <c r="BQ85" s="1">
        <v>75.0</v>
      </c>
      <c r="BR85" s="1">
        <v>72.027</v>
      </c>
      <c r="BS85" s="1" t="b">
        <v>1</v>
      </c>
      <c r="BT85" s="1" t="b">
        <v>0</v>
      </c>
      <c r="BU85" s="1" t="s">
        <v>105</v>
      </c>
      <c r="BV85" s="1" t="s">
        <v>91</v>
      </c>
      <c r="BW85" s="1" t="s">
        <v>91</v>
      </c>
      <c r="BX85" s="1" t="s">
        <v>91</v>
      </c>
      <c r="BY85" s="1" t="s">
        <v>91</v>
      </c>
      <c r="BZ85" s="1" t="s">
        <v>91</v>
      </c>
      <c r="CA85" s="1" t="s">
        <v>104</v>
      </c>
      <c r="CB85" s="1" t="s">
        <v>91</v>
      </c>
      <c r="CC85" s="1" t="s">
        <v>104</v>
      </c>
      <c r="CD85" s="1" t="s">
        <v>91</v>
      </c>
      <c r="CE85" s="4"/>
      <c r="CF85" s="4"/>
    </row>
    <row r="86">
      <c r="A86" s="1" t="s">
        <v>82</v>
      </c>
      <c r="B86" s="1" t="s">
        <v>158</v>
      </c>
      <c r="C86" s="1">
        <v>7.0</v>
      </c>
      <c r="D86" s="5" t="s">
        <v>493</v>
      </c>
      <c r="E86" s="1" t="s">
        <v>494</v>
      </c>
      <c r="F86" s="1">
        <v>37.0</v>
      </c>
      <c r="G86" s="1">
        <v>0.0</v>
      </c>
      <c r="H86" s="1" t="s">
        <v>495</v>
      </c>
      <c r="I86" s="4" t="b">
        <f>IFERROR(__xludf.DUMMYFUNCTION("IF(H86="""",,REGEXMATCH(H86,""[א-ת]""))"),FALSE)</f>
        <v>0</v>
      </c>
      <c r="J86" s="4"/>
      <c r="K86" s="4"/>
      <c r="L86" s="1">
        <v>0.0</v>
      </c>
      <c r="M86" s="1">
        <v>7.52</v>
      </c>
      <c r="N86" s="1">
        <v>97.3</v>
      </c>
      <c r="O86" s="1">
        <v>2.62972973</v>
      </c>
      <c r="P86" s="4"/>
      <c r="Q86" s="4"/>
      <c r="R86" s="1" t="s">
        <v>89</v>
      </c>
      <c r="S86" s="1" t="s">
        <v>494</v>
      </c>
      <c r="T86" s="1" t="s">
        <v>158</v>
      </c>
      <c r="U86" s="1">
        <v>8.0</v>
      </c>
      <c r="V86" s="5" t="s">
        <v>493</v>
      </c>
      <c r="W86" s="1" t="s">
        <v>494</v>
      </c>
      <c r="X86" s="1" t="s">
        <v>496</v>
      </c>
      <c r="Y86" s="1" t="s">
        <v>497</v>
      </c>
      <c r="Z86" s="1" t="s">
        <v>498</v>
      </c>
      <c r="AA86" s="4" t="b">
        <f>IFERROR(__xludf.DUMMYFUNCTION("IF(X86="""",,REGEXMATCH(X86,""[א-ת]""))"),FALSE)</f>
        <v>0</v>
      </c>
      <c r="AB86" s="1">
        <v>4.7</v>
      </c>
      <c r="AC86" s="1">
        <v>81.08</v>
      </c>
      <c r="AD86" s="1">
        <v>0.0761838721095081</v>
      </c>
      <c r="AE86" s="1">
        <v>0.0</v>
      </c>
      <c r="AF86" s="1">
        <v>0.0</v>
      </c>
      <c r="AG86" s="1">
        <v>6.337</v>
      </c>
      <c r="AH86" s="1">
        <v>6.781</v>
      </c>
      <c r="AI86" s="1" t="b">
        <v>0</v>
      </c>
      <c r="AJ86" s="1" t="b">
        <v>1</v>
      </c>
      <c r="AK86" s="1">
        <v>94.182</v>
      </c>
      <c r="AL86" s="1">
        <v>96.508</v>
      </c>
      <c r="AM86" s="1" t="b">
        <v>1</v>
      </c>
      <c r="AN86" s="1" t="b">
        <v>0</v>
      </c>
      <c r="AO86" s="1">
        <v>8.05</v>
      </c>
      <c r="AP86" s="1">
        <v>8.53399999999999</v>
      </c>
      <c r="AQ86" s="1" t="b">
        <v>1</v>
      </c>
      <c r="AR86" s="1" t="b">
        <v>1</v>
      </c>
      <c r="AS86" s="1">
        <v>86.9179999999999</v>
      </c>
      <c r="AT86" s="1">
        <v>87.152</v>
      </c>
      <c r="AU86" s="1" t="b">
        <v>1</v>
      </c>
      <c r="AV86" s="1" t="b">
        <v>0</v>
      </c>
      <c r="AW86" s="1">
        <v>9.61399999999999</v>
      </c>
      <c r="AX86" s="1">
        <v>11.026</v>
      </c>
      <c r="AY86" s="1" t="b">
        <v>1</v>
      </c>
      <c r="AZ86" s="1" t="b">
        <v>1</v>
      </c>
      <c r="BA86" s="1">
        <v>81.25</v>
      </c>
      <c r="BB86" s="1">
        <v>77.78</v>
      </c>
      <c r="BC86" s="1" t="b">
        <v>1</v>
      </c>
      <c r="BD86" s="1" t="b">
        <v>1</v>
      </c>
      <c r="BE86" s="1">
        <v>11.34</v>
      </c>
      <c r="BF86" s="1">
        <v>13.285</v>
      </c>
      <c r="BG86" s="1" t="b">
        <v>1</v>
      </c>
      <c r="BH86" s="1" t="b">
        <v>1</v>
      </c>
      <c r="BI86" s="1">
        <v>77.78</v>
      </c>
      <c r="BJ86" s="1">
        <v>75.0</v>
      </c>
      <c r="BK86" s="1" t="b">
        <v>1</v>
      </c>
      <c r="BL86" s="1" t="b">
        <v>1</v>
      </c>
      <c r="BM86" s="1">
        <v>13.121</v>
      </c>
      <c r="BN86" s="1">
        <v>14.568</v>
      </c>
      <c r="BO86" s="1" t="b">
        <v>1</v>
      </c>
      <c r="BP86" s="1" t="b">
        <v>1</v>
      </c>
      <c r="BQ86" s="1">
        <v>75.0</v>
      </c>
      <c r="BR86" s="1">
        <v>72.027</v>
      </c>
      <c r="BS86" s="1" t="b">
        <v>1</v>
      </c>
      <c r="BT86" s="1" t="b">
        <v>1</v>
      </c>
      <c r="BU86" s="1" t="s">
        <v>157</v>
      </c>
      <c r="BV86" s="1" t="s">
        <v>91</v>
      </c>
      <c r="BW86" s="1" t="s">
        <v>104</v>
      </c>
      <c r="BX86" s="1" t="s">
        <v>91</v>
      </c>
      <c r="BY86" s="1" t="s">
        <v>104</v>
      </c>
      <c r="BZ86" s="1" t="s">
        <v>104</v>
      </c>
      <c r="CA86" s="1" t="s">
        <v>104</v>
      </c>
      <c r="CB86" s="1" t="s">
        <v>104</v>
      </c>
      <c r="CC86" s="1" t="s">
        <v>104</v>
      </c>
      <c r="CD86" s="1" t="s">
        <v>104</v>
      </c>
      <c r="CE86" s="4"/>
      <c r="CF86" s="4"/>
    </row>
    <row r="87" hidden="1">
      <c r="A87" s="1" t="s">
        <v>82</v>
      </c>
      <c r="B87" s="1" t="s">
        <v>139</v>
      </c>
      <c r="C87" s="1">
        <v>2.0</v>
      </c>
      <c r="D87" s="5" t="s">
        <v>499</v>
      </c>
      <c r="E87" s="1" t="s">
        <v>500</v>
      </c>
      <c r="F87" s="1">
        <v>22.0</v>
      </c>
      <c r="G87" s="1">
        <v>-0.2755</v>
      </c>
      <c r="H87" s="1" t="s">
        <v>501</v>
      </c>
      <c r="I87" s="4" t="b">
        <f>IFERROR(__xludf.DUMMYFUNCTION("IF(H87="""",,REGEXMATCH(H87,""[א-ת]""))"),FALSE)</f>
        <v>0</v>
      </c>
      <c r="J87" s="4"/>
      <c r="K87" s="4"/>
      <c r="L87" s="1">
        <v>-0.2755</v>
      </c>
      <c r="M87" s="1">
        <v>7.52</v>
      </c>
      <c r="N87" s="1">
        <v>86.36</v>
      </c>
      <c r="O87" s="1">
        <v>3.925454545</v>
      </c>
      <c r="P87" s="4"/>
      <c r="Q87" s="4"/>
      <c r="R87" s="1" t="s">
        <v>96</v>
      </c>
      <c r="S87" s="1" t="s">
        <v>500</v>
      </c>
      <c r="T87" s="1" t="s">
        <v>139</v>
      </c>
      <c r="U87" s="1">
        <v>3.0</v>
      </c>
      <c r="V87" s="5" t="s">
        <v>499</v>
      </c>
      <c r="W87" s="1" t="s">
        <v>500</v>
      </c>
      <c r="X87" s="1" t="s">
        <v>502</v>
      </c>
      <c r="Y87" s="4"/>
      <c r="Z87" s="4"/>
      <c r="AA87" s="4" t="b">
        <f>IFERROR(__xludf.DUMMYFUNCTION("IF(X87="""",,REGEXMATCH(X87,""[א-ת]""))"),FALSE)</f>
        <v>0</v>
      </c>
      <c r="AB87" s="1">
        <v>8.17</v>
      </c>
      <c r="AC87" s="1">
        <v>72.73</v>
      </c>
      <c r="AD87" s="1">
        <v>0.148994726258163</v>
      </c>
      <c r="AE87" s="1">
        <v>-0.2755</v>
      </c>
      <c r="AF87" s="1">
        <v>-0.2755</v>
      </c>
      <c r="AG87" s="1">
        <v>6.337</v>
      </c>
      <c r="AH87" s="1">
        <v>6.781</v>
      </c>
      <c r="AI87" s="1" t="b">
        <v>0</v>
      </c>
      <c r="AJ87" s="1" t="b">
        <v>0</v>
      </c>
      <c r="AK87" s="1">
        <v>94.182</v>
      </c>
      <c r="AL87" s="1">
        <v>96.508</v>
      </c>
      <c r="AM87" s="1" t="b">
        <v>0</v>
      </c>
      <c r="AN87" s="1" t="b">
        <v>0</v>
      </c>
      <c r="AO87" s="1">
        <v>8.05</v>
      </c>
      <c r="AP87" s="1">
        <v>8.53399999999999</v>
      </c>
      <c r="AQ87" s="1" t="b">
        <v>1</v>
      </c>
      <c r="AR87" s="1" t="b">
        <v>1</v>
      </c>
      <c r="AS87" s="1">
        <v>86.9179999999999</v>
      </c>
      <c r="AT87" s="1">
        <v>87.152</v>
      </c>
      <c r="AU87" s="1" t="b">
        <v>0</v>
      </c>
      <c r="AV87" s="1" t="b">
        <v>0</v>
      </c>
      <c r="AW87" s="1">
        <v>9.61399999999999</v>
      </c>
      <c r="AX87" s="1">
        <v>11.026</v>
      </c>
      <c r="AY87" s="1" t="b">
        <v>1</v>
      </c>
      <c r="AZ87" s="1" t="b">
        <v>1</v>
      </c>
      <c r="BA87" s="1">
        <v>81.25</v>
      </c>
      <c r="BB87" s="1">
        <v>77.78</v>
      </c>
      <c r="BC87" s="1" t="b">
        <v>1</v>
      </c>
      <c r="BD87" s="1" t="b">
        <v>0</v>
      </c>
      <c r="BE87" s="1">
        <v>11.34</v>
      </c>
      <c r="BF87" s="1">
        <v>13.285</v>
      </c>
      <c r="BG87" s="1" t="b">
        <v>1</v>
      </c>
      <c r="BH87" s="1" t="b">
        <v>1</v>
      </c>
      <c r="BI87" s="1">
        <v>77.78</v>
      </c>
      <c r="BJ87" s="1">
        <v>75.0</v>
      </c>
      <c r="BK87" s="1" t="b">
        <v>1</v>
      </c>
      <c r="BL87" s="1" t="b">
        <v>0</v>
      </c>
      <c r="BM87" s="1">
        <v>13.121</v>
      </c>
      <c r="BN87" s="1">
        <v>14.568</v>
      </c>
      <c r="BO87" s="1" t="b">
        <v>1</v>
      </c>
      <c r="BP87" s="1" t="b">
        <v>1</v>
      </c>
      <c r="BQ87" s="1">
        <v>75.0</v>
      </c>
      <c r="BR87" s="1">
        <v>72.027</v>
      </c>
      <c r="BS87" s="1" t="b">
        <v>1</v>
      </c>
      <c r="BT87" s="1" t="b">
        <v>1</v>
      </c>
      <c r="BU87" s="1" t="s">
        <v>105</v>
      </c>
      <c r="BV87" s="1" t="s">
        <v>105</v>
      </c>
      <c r="BW87" s="1" t="s">
        <v>104</v>
      </c>
      <c r="BX87" s="1" t="s">
        <v>105</v>
      </c>
      <c r="BY87" s="1" t="s">
        <v>104</v>
      </c>
      <c r="BZ87" s="1" t="s">
        <v>91</v>
      </c>
      <c r="CA87" s="1" t="s">
        <v>104</v>
      </c>
      <c r="CB87" s="1" t="s">
        <v>91</v>
      </c>
      <c r="CC87" s="1" t="s">
        <v>104</v>
      </c>
      <c r="CD87" s="1" t="s">
        <v>104</v>
      </c>
      <c r="CE87" s="4"/>
      <c r="CF87" s="4"/>
    </row>
    <row r="88" hidden="1">
      <c r="A88" s="1" t="s">
        <v>82</v>
      </c>
      <c r="B88" s="1" t="s">
        <v>116</v>
      </c>
      <c r="C88" s="1">
        <v>7.0</v>
      </c>
      <c r="D88" s="5" t="s">
        <v>503</v>
      </c>
      <c r="E88" s="1" t="s">
        <v>504</v>
      </c>
      <c r="F88" s="1">
        <v>16.0</v>
      </c>
      <c r="G88" s="1">
        <v>0.4019</v>
      </c>
      <c r="H88" s="1" t="s">
        <v>505</v>
      </c>
      <c r="I88" s="4" t="b">
        <f>IFERROR(__xludf.DUMMYFUNCTION("IF(H88="""",,REGEXMATCH(H88,""[א-ת]""))"),FALSE)</f>
        <v>0</v>
      </c>
      <c r="J88" s="4"/>
      <c r="K88" s="4"/>
      <c r="L88" s="1">
        <v>0.0</v>
      </c>
      <c r="M88" s="1">
        <v>7.54</v>
      </c>
      <c r="N88" s="1">
        <v>75.0</v>
      </c>
      <c r="O88" s="1">
        <v>4.6875</v>
      </c>
      <c r="P88" s="4"/>
      <c r="Q88" s="4"/>
      <c r="R88" s="1" t="s">
        <v>89</v>
      </c>
      <c r="S88" s="1" t="s">
        <v>504</v>
      </c>
      <c r="T88" s="1" t="s">
        <v>116</v>
      </c>
      <c r="U88" s="1">
        <v>8.0</v>
      </c>
      <c r="V88" s="5" t="s">
        <v>503</v>
      </c>
      <c r="W88" s="1" t="s">
        <v>504</v>
      </c>
      <c r="X88" s="1" t="s">
        <v>506</v>
      </c>
      <c r="Y88" s="4"/>
      <c r="Z88" s="4"/>
      <c r="AA88" s="4" t="b">
        <f>IFERROR(__xludf.DUMMYFUNCTION("IF(X88="""",,REGEXMATCH(X88,""[א-ת]""))"),FALSE)</f>
        <v>0</v>
      </c>
      <c r="AB88" s="1">
        <v>29.08</v>
      </c>
      <c r="AC88" s="1">
        <v>62.5</v>
      </c>
      <c r="AD88" s="1">
        <v>0.947148550930617</v>
      </c>
      <c r="AE88" s="1">
        <v>0.4019</v>
      </c>
      <c r="AF88" s="1">
        <v>0.4019</v>
      </c>
      <c r="AG88" s="1">
        <v>6.337</v>
      </c>
      <c r="AH88" s="1">
        <v>6.781</v>
      </c>
      <c r="AI88" s="1" t="b">
        <v>0</v>
      </c>
      <c r="AJ88" s="1" t="b">
        <v>0</v>
      </c>
      <c r="AK88" s="1">
        <v>94.182</v>
      </c>
      <c r="AL88" s="1">
        <v>96.508</v>
      </c>
      <c r="AM88" s="1" t="b">
        <v>0</v>
      </c>
      <c r="AN88" s="1" t="b">
        <v>0</v>
      </c>
      <c r="AO88" s="1">
        <v>8.05</v>
      </c>
      <c r="AP88" s="1">
        <v>8.53399999999999</v>
      </c>
      <c r="AQ88" s="1" t="b">
        <v>1</v>
      </c>
      <c r="AR88" s="1" t="b">
        <v>0</v>
      </c>
      <c r="AS88" s="1">
        <v>86.9179999999999</v>
      </c>
      <c r="AT88" s="1">
        <v>87.152</v>
      </c>
      <c r="AU88" s="1" t="b">
        <v>0</v>
      </c>
      <c r="AV88" s="1" t="b">
        <v>0</v>
      </c>
      <c r="AW88" s="1">
        <v>9.61399999999999</v>
      </c>
      <c r="AX88" s="1">
        <v>11.026</v>
      </c>
      <c r="AY88" s="1" t="b">
        <v>1</v>
      </c>
      <c r="AZ88" s="1" t="b">
        <v>0</v>
      </c>
      <c r="BA88" s="1">
        <v>81.25</v>
      </c>
      <c r="BB88" s="1">
        <v>77.78</v>
      </c>
      <c r="BC88" s="1" t="b">
        <v>0</v>
      </c>
      <c r="BD88" s="1" t="b">
        <v>0</v>
      </c>
      <c r="BE88" s="1">
        <v>11.34</v>
      </c>
      <c r="BF88" s="1">
        <v>13.285</v>
      </c>
      <c r="BG88" s="1" t="b">
        <v>1</v>
      </c>
      <c r="BH88" s="1" t="b">
        <v>0</v>
      </c>
      <c r="BI88" s="1">
        <v>77.78</v>
      </c>
      <c r="BJ88" s="1">
        <v>75.0</v>
      </c>
      <c r="BK88" s="1" t="b">
        <v>0</v>
      </c>
      <c r="BL88" s="1" t="b">
        <v>0</v>
      </c>
      <c r="BM88" s="1">
        <v>13.121</v>
      </c>
      <c r="BN88" s="1">
        <v>14.568</v>
      </c>
      <c r="BO88" s="1" t="b">
        <v>1</v>
      </c>
      <c r="BP88" s="1" t="b">
        <v>0</v>
      </c>
      <c r="BQ88" s="1">
        <v>75.0</v>
      </c>
      <c r="BR88" s="1">
        <v>72.027</v>
      </c>
      <c r="BS88" s="1" t="b">
        <v>1</v>
      </c>
      <c r="BT88" s="1" t="b">
        <v>0</v>
      </c>
      <c r="BU88" s="1" t="s">
        <v>105</v>
      </c>
      <c r="BV88" s="1" t="s">
        <v>105</v>
      </c>
      <c r="BW88" s="1" t="s">
        <v>91</v>
      </c>
      <c r="BX88" s="1" t="s">
        <v>105</v>
      </c>
      <c r="BY88" s="1" t="s">
        <v>91</v>
      </c>
      <c r="BZ88" s="1" t="s">
        <v>105</v>
      </c>
      <c r="CA88" s="1" t="s">
        <v>91</v>
      </c>
      <c r="CB88" s="1" t="s">
        <v>105</v>
      </c>
      <c r="CC88" s="1" t="s">
        <v>91</v>
      </c>
      <c r="CD88" s="1" t="s">
        <v>91</v>
      </c>
      <c r="CE88" s="4"/>
      <c r="CF88" s="4"/>
    </row>
    <row r="89" hidden="1">
      <c r="A89" s="1" t="s">
        <v>82</v>
      </c>
      <c r="B89" s="1" t="s">
        <v>145</v>
      </c>
      <c r="C89" s="1">
        <v>20.0</v>
      </c>
      <c r="D89" s="5" t="s">
        <v>507</v>
      </c>
      <c r="E89" s="1" t="s">
        <v>508</v>
      </c>
      <c r="F89" s="1">
        <v>27.0</v>
      </c>
      <c r="G89" s="1">
        <v>0.0</v>
      </c>
      <c r="H89" s="1" t="s">
        <v>509</v>
      </c>
      <c r="I89" s="4" t="b">
        <f>IFERROR(__xludf.DUMMYFUNCTION("IF(H89="""",,REGEXMATCH(H89,""[א-ת]""))"),FALSE)</f>
        <v>0</v>
      </c>
      <c r="J89" s="4"/>
      <c r="K89" s="1" t="s">
        <v>510</v>
      </c>
      <c r="L89" s="1">
        <v>0.0</v>
      </c>
      <c r="M89" s="1">
        <v>7.64</v>
      </c>
      <c r="N89" s="1">
        <v>70.37</v>
      </c>
      <c r="O89" s="1">
        <v>2.606296296</v>
      </c>
      <c r="P89" s="4"/>
      <c r="Q89" s="4"/>
      <c r="R89" s="1" t="s">
        <v>89</v>
      </c>
      <c r="S89" s="1" t="s">
        <v>508</v>
      </c>
      <c r="T89" s="1" t="s">
        <v>145</v>
      </c>
      <c r="U89" s="1">
        <v>21.0</v>
      </c>
      <c r="V89" s="5" t="s">
        <v>507</v>
      </c>
      <c r="W89" s="1" t="s">
        <v>508</v>
      </c>
      <c r="X89" s="1" t="s">
        <v>511</v>
      </c>
      <c r="Y89" s="4"/>
      <c r="Z89" s="4"/>
      <c r="AA89" s="4" t="b">
        <f>IFERROR(__xludf.DUMMYFUNCTION("IF(X89="""",,REGEXMATCH(X89,""[א-ת]""))"),FALSE)</f>
        <v>0</v>
      </c>
      <c r="AB89" s="1">
        <v>19.48</v>
      </c>
      <c r="AC89" s="1">
        <v>66.67</v>
      </c>
      <c r="AD89" s="1">
        <v>0.527429275539099</v>
      </c>
      <c r="AE89" s="1">
        <v>0.0</v>
      </c>
      <c r="AF89" s="1">
        <v>0.0</v>
      </c>
      <c r="AG89" s="1">
        <v>6.337</v>
      </c>
      <c r="AH89" s="1">
        <v>6.781</v>
      </c>
      <c r="AI89" s="1" t="b">
        <v>0</v>
      </c>
      <c r="AJ89" s="1" t="b">
        <v>0</v>
      </c>
      <c r="AK89" s="1">
        <v>94.182</v>
      </c>
      <c r="AL89" s="1">
        <v>96.508</v>
      </c>
      <c r="AM89" s="1" t="b">
        <v>0</v>
      </c>
      <c r="AN89" s="1" t="b">
        <v>0</v>
      </c>
      <c r="AO89" s="1">
        <v>8.05</v>
      </c>
      <c r="AP89" s="1">
        <v>8.53399999999999</v>
      </c>
      <c r="AQ89" s="1" t="b">
        <v>1</v>
      </c>
      <c r="AR89" s="1" t="b">
        <v>0</v>
      </c>
      <c r="AS89" s="1">
        <v>86.9179999999999</v>
      </c>
      <c r="AT89" s="1">
        <v>87.152</v>
      </c>
      <c r="AU89" s="1" t="b">
        <v>0</v>
      </c>
      <c r="AV89" s="1" t="b">
        <v>0</v>
      </c>
      <c r="AW89" s="1">
        <v>9.61399999999999</v>
      </c>
      <c r="AX89" s="1">
        <v>11.026</v>
      </c>
      <c r="AY89" s="1" t="b">
        <v>1</v>
      </c>
      <c r="AZ89" s="1" t="b">
        <v>0</v>
      </c>
      <c r="BA89" s="1">
        <v>81.25</v>
      </c>
      <c r="BB89" s="1">
        <v>77.78</v>
      </c>
      <c r="BC89" s="1" t="b">
        <v>0</v>
      </c>
      <c r="BD89" s="1" t="b">
        <v>0</v>
      </c>
      <c r="BE89" s="1">
        <v>11.34</v>
      </c>
      <c r="BF89" s="1">
        <v>13.285</v>
      </c>
      <c r="BG89" s="1" t="b">
        <v>1</v>
      </c>
      <c r="BH89" s="1" t="b">
        <v>0</v>
      </c>
      <c r="BI89" s="1">
        <v>77.78</v>
      </c>
      <c r="BJ89" s="1">
        <v>75.0</v>
      </c>
      <c r="BK89" s="1" t="b">
        <v>0</v>
      </c>
      <c r="BL89" s="1" t="b">
        <v>0</v>
      </c>
      <c r="BM89" s="1">
        <v>13.121</v>
      </c>
      <c r="BN89" s="1">
        <v>14.568</v>
      </c>
      <c r="BO89" s="1" t="b">
        <v>1</v>
      </c>
      <c r="BP89" s="1" t="b">
        <v>0</v>
      </c>
      <c r="BQ89" s="1">
        <v>75.0</v>
      </c>
      <c r="BR89" s="1">
        <v>72.027</v>
      </c>
      <c r="BS89" s="1" t="b">
        <v>0</v>
      </c>
      <c r="BT89" s="1" t="b">
        <v>0</v>
      </c>
      <c r="BU89" s="1" t="s">
        <v>105</v>
      </c>
      <c r="BV89" s="1" t="s">
        <v>105</v>
      </c>
      <c r="BW89" s="1" t="s">
        <v>91</v>
      </c>
      <c r="BX89" s="1" t="s">
        <v>105</v>
      </c>
      <c r="BY89" s="1" t="s">
        <v>91</v>
      </c>
      <c r="BZ89" s="1" t="s">
        <v>105</v>
      </c>
      <c r="CA89" s="1" t="s">
        <v>91</v>
      </c>
      <c r="CB89" s="1" t="s">
        <v>105</v>
      </c>
      <c r="CC89" s="1" t="s">
        <v>91</v>
      </c>
      <c r="CD89" s="1" t="s">
        <v>105</v>
      </c>
      <c r="CE89" s="4"/>
      <c r="CF89" s="4"/>
    </row>
    <row r="90" hidden="1">
      <c r="A90" s="1" t="s">
        <v>82</v>
      </c>
      <c r="B90" s="1" t="s">
        <v>152</v>
      </c>
      <c r="C90" s="1">
        <v>23.0</v>
      </c>
      <c r="D90" s="5" t="s">
        <v>512</v>
      </c>
      <c r="E90" s="1" t="s">
        <v>513</v>
      </c>
      <c r="F90" s="1">
        <v>36.0</v>
      </c>
      <c r="G90" s="1">
        <v>0.7239</v>
      </c>
      <c r="H90" s="1" t="s">
        <v>514</v>
      </c>
      <c r="I90" s="4" t="b">
        <f>IFERROR(__xludf.DUMMYFUNCTION("IF(H90="""",,REGEXMATCH(H90,""[א-ת]""))"),FALSE)</f>
        <v>0</v>
      </c>
      <c r="J90" s="4"/>
      <c r="K90" s="4"/>
      <c r="L90" s="1">
        <v>0.7208</v>
      </c>
      <c r="M90" s="1">
        <v>7.65</v>
      </c>
      <c r="N90" s="1">
        <v>100.0</v>
      </c>
      <c r="O90" s="1">
        <v>2.777777778</v>
      </c>
      <c r="P90" s="4"/>
      <c r="Q90" s="4"/>
      <c r="R90" s="1" t="s">
        <v>89</v>
      </c>
      <c r="S90" s="1" t="s">
        <v>513</v>
      </c>
      <c r="T90" s="1" t="s">
        <v>152</v>
      </c>
      <c r="U90" s="1">
        <v>24.0</v>
      </c>
      <c r="V90" s="5" t="s">
        <v>512</v>
      </c>
      <c r="W90" s="1" t="s">
        <v>513</v>
      </c>
      <c r="X90" s="1" t="s">
        <v>515</v>
      </c>
      <c r="Y90" s="4"/>
      <c r="Z90" s="4"/>
      <c r="AA90" s="4" t="b">
        <f>IFERROR(__xludf.DUMMYFUNCTION("IF(X90="""",,REGEXMATCH(X90,""[א-ת]""))"),FALSE)</f>
        <v>0</v>
      </c>
      <c r="AB90" s="1">
        <v>8.72</v>
      </c>
      <c r="AC90" s="1">
        <v>77.78</v>
      </c>
      <c r="AD90" s="1">
        <v>0.476381347027378</v>
      </c>
      <c r="AE90" s="1">
        <v>0.5667</v>
      </c>
      <c r="AF90" s="1">
        <v>0.7239</v>
      </c>
      <c r="AG90" s="1">
        <v>6.337</v>
      </c>
      <c r="AH90" s="1">
        <v>6.781</v>
      </c>
      <c r="AI90" s="1" t="b">
        <v>0</v>
      </c>
      <c r="AJ90" s="1" t="b">
        <v>0</v>
      </c>
      <c r="AK90" s="1">
        <v>94.182</v>
      </c>
      <c r="AL90" s="1">
        <v>96.508</v>
      </c>
      <c r="AM90" s="1" t="b">
        <v>1</v>
      </c>
      <c r="AN90" s="1" t="b">
        <v>0</v>
      </c>
      <c r="AO90" s="1">
        <v>8.05</v>
      </c>
      <c r="AP90" s="1">
        <v>8.53399999999999</v>
      </c>
      <c r="AQ90" s="1" t="b">
        <v>1</v>
      </c>
      <c r="AR90" s="1" t="b">
        <v>0</v>
      </c>
      <c r="AS90" s="1">
        <v>86.9179999999999</v>
      </c>
      <c r="AT90" s="1">
        <v>87.152</v>
      </c>
      <c r="AU90" s="1" t="b">
        <v>1</v>
      </c>
      <c r="AV90" s="1" t="b">
        <v>0</v>
      </c>
      <c r="AW90" s="1">
        <v>9.61399999999999</v>
      </c>
      <c r="AX90" s="1">
        <v>11.026</v>
      </c>
      <c r="AY90" s="1" t="b">
        <v>1</v>
      </c>
      <c r="AZ90" s="1" t="b">
        <v>1</v>
      </c>
      <c r="BA90" s="1">
        <v>81.25</v>
      </c>
      <c r="BB90" s="1">
        <v>77.78</v>
      </c>
      <c r="BC90" s="1" t="b">
        <v>1</v>
      </c>
      <c r="BD90" s="1" t="b">
        <v>1</v>
      </c>
      <c r="BE90" s="1">
        <v>11.34</v>
      </c>
      <c r="BF90" s="1">
        <v>13.285</v>
      </c>
      <c r="BG90" s="1" t="b">
        <v>1</v>
      </c>
      <c r="BH90" s="1" t="b">
        <v>1</v>
      </c>
      <c r="BI90" s="1">
        <v>77.78</v>
      </c>
      <c r="BJ90" s="1">
        <v>75.0</v>
      </c>
      <c r="BK90" s="1" t="b">
        <v>1</v>
      </c>
      <c r="BL90" s="1" t="b">
        <v>1</v>
      </c>
      <c r="BM90" s="1">
        <v>13.121</v>
      </c>
      <c r="BN90" s="1">
        <v>14.568</v>
      </c>
      <c r="BO90" s="1" t="b">
        <v>1</v>
      </c>
      <c r="BP90" s="1" t="b">
        <v>1</v>
      </c>
      <c r="BQ90" s="1">
        <v>75.0</v>
      </c>
      <c r="BR90" s="1">
        <v>72.027</v>
      </c>
      <c r="BS90" s="1" t="b">
        <v>1</v>
      </c>
      <c r="BT90" s="1" t="b">
        <v>1</v>
      </c>
      <c r="BU90" s="1" t="s">
        <v>105</v>
      </c>
      <c r="BV90" s="1" t="s">
        <v>91</v>
      </c>
      <c r="BW90" s="1" t="s">
        <v>91</v>
      </c>
      <c r="BX90" s="1" t="s">
        <v>91</v>
      </c>
      <c r="BY90" s="1" t="s">
        <v>104</v>
      </c>
      <c r="BZ90" s="1" t="s">
        <v>104</v>
      </c>
      <c r="CA90" s="1" t="s">
        <v>104</v>
      </c>
      <c r="CB90" s="1" t="s">
        <v>104</v>
      </c>
      <c r="CC90" s="1" t="s">
        <v>104</v>
      </c>
      <c r="CD90" s="1" t="s">
        <v>104</v>
      </c>
      <c r="CE90" s="4"/>
      <c r="CF90" s="4"/>
    </row>
    <row r="91" hidden="1">
      <c r="A91" s="1" t="s">
        <v>82</v>
      </c>
      <c r="B91" s="1" t="s">
        <v>139</v>
      </c>
      <c r="C91" s="1">
        <v>19.0</v>
      </c>
      <c r="D91" s="5" t="s">
        <v>516</v>
      </c>
      <c r="E91" s="1" t="s">
        <v>517</v>
      </c>
      <c r="F91" s="1">
        <v>36.0</v>
      </c>
      <c r="G91" s="1">
        <v>0.0</v>
      </c>
      <c r="H91" s="1" t="s">
        <v>518</v>
      </c>
      <c r="I91" s="4" t="b">
        <f>IFERROR(__xludf.DUMMYFUNCTION("IF(H91="""",,REGEXMATCH(H91,""[א-ת]""))"),TRUE)</f>
        <v>1</v>
      </c>
      <c r="J91" s="4"/>
      <c r="K91" s="4"/>
      <c r="L91" s="1">
        <v>0.4449</v>
      </c>
      <c r="M91" s="1">
        <v>7.65</v>
      </c>
      <c r="N91" s="1">
        <v>77.78</v>
      </c>
      <c r="O91" s="1">
        <v>2.160555556</v>
      </c>
      <c r="P91" s="4"/>
      <c r="Q91" s="4"/>
      <c r="R91" s="1" t="s">
        <v>96</v>
      </c>
      <c r="S91" s="1" t="s">
        <v>517</v>
      </c>
      <c r="T91" s="1" t="s">
        <v>139</v>
      </c>
      <c r="U91" s="1">
        <v>20.0</v>
      </c>
      <c r="V91" s="5" t="s">
        <v>516</v>
      </c>
      <c r="W91" s="1" t="s">
        <v>517</v>
      </c>
      <c r="X91" s="1" t="s">
        <v>519</v>
      </c>
      <c r="Y91" s="4"/>
      <c r="Z91" s="4"/>
      <c r="AA91" s="4" t="b">
        <f>IFERROR(__xludf.DUMMYFUNCTION("IF(X91="""",,REGEXMATCH(X91,""[א-ת]""))"),FALSE)</f>
        <v>0</v>
      </c>
      <c r="AB91" s="1">
        <v>10.65</v>
      </c>
      <c r="AC91" s="1">
        <v>75.0</v>
      </c>
      <c r="AD91" s="1">
        <v>0.635378961737399</v>
      </c>
      <c r="AE91" s="1">
        <v>0.0</v>
      </c>
      <c r="AF91" s="1">
        <v>0.0</v>
      </c>
      <c r="AG91" s="1">
        <v>6.337</v>
      </c>
      <c r="AH91" s="1">
        <v>6.781</v>
      </c>
      <c r="AI91" s="1" t="b">
        <v>0</v>
      </c>
      <c r="AJ91" s="1" t="b">
        <v>0</v>
      </c>
      <c r="AK91" s="1">
        <v>94.182</v>
      </c>
      <c r="AL91" s="1">
        <v>96.508</v>
      </c>
      <c r="AM91" s="1" t="b">
        <v>0</v>
      </c>
      <c r="AN91" s="1" t="b">
        <v>0</v>
      </c>
      <c r="AO91" s="1">
        <v>8.05</v>
      </c>
      <c r="AP91" s="1">
        <v>8.53399999999999</v>
      </c>
      <c r="AQ91" s="1" t="b">
        <v>1</v>
      </c>
      <c r="AR91" s="1" t="b">
        <v>0</v>
      </c>
      <c r="AS91" s="1">
        <v>86.9179999999999</v>
      </c>
      <c r="AT91" s="1">
        <v>87.152</v>
      </c>
      <c r="AU91" s="1" t="b">
        <v>0</v>
      </c>
      <c r="AV91" s="1" t="b">
        <v>0</v>
      </c>
      <c r="AW91" s="1">
        <v>9.61399999999999</v>
      </c>
      <c r="AX91" s="1">
        <v>11.026</v>
      </c>
      <c r="AY91" s="1" t="b">
        <v>1</v>
      </c>
      <c r="AZ91" s="1" t="b">
        <v>1</v>
      </c>
      <c r="BA91" s="1">
        <v>81.25</v>
      </c>
      <c r="BB91" s="1">
        <v>77.78</v>
      </c>
      <c r="BC91" s="1" t="b">
        <v>0</v>
      </c>
      <c r="BD91" s="1" t="b">
        <v>0</v>
      </c>
      <c r="BE91" s="1">
        <v>11.34</v>
      </c>
      <c r="BF91" s="1">
        <v>13.285</v>
      </c>
      <c r="BG91" s="1" t="b">
        <v>1</v>
      </c>
      <c r="BH91" s="1" t="b">
        <v>1</v>
      </c>
      <c r="BI91" s="1">
        <v>77.78</v>
      </c>
      <c r="BJ91" s="1">
        <v>75.0</v>
      </c>
      <c r="BK91" s="1" t="b">
        <v>1</v>
      </c>
      <c r="BL91" s="1" t="b">
        <v>1</v>
      </c>
      <c r="BM91" s="1">
        <v>13.121</v>
      </c>
      <c r="BN91" s="1">
        <v>14.568</v>
      </c>
      <c r="BO91" s="1" t="b">
        <v>1</v>
      </c>
      <c r="BP91" s="1" t="b">
        <v>1</v>
      </c>
      <c r="BQ91" s="1">
        <v>75.0</v>
      </c>
      <c r="BR91" s="1">
        <v>72.027</v>
      </c>
      <c r="BS91" s="1" t="b">
        <v>1</v>
      </c>
      <c r="BT91" s="1" t="b">
        <v>1</v>
      </c>
      <c r="BU91" s="1" t="s">
        <v>105</v>
      </c>
      <c r="BV91" s="1" t="s">
        <v>105</v>
      </c>
      <c r="BW91" s="1" t="s">
        <v>91</v>
      </c>
      <c r="BX91" s="1" t="s">
        <v>105</v>
      </c>
      <c r="BY91" s="1" t="s">
        <v>104</v>
      </c>
      <c r="BZ91" s="1" t="s">
        <v>105</v>
      </c>
      <c r="CA91" s="1" t="s">
        <v>104</v>
      </c>
      <c r="CB91" s="1" t="s">
        <v>104</v>
      </c>
      <c r="CC91" s="1" t="s">
        <v>104</v>
      </c>
      <c r="CD91" s="1" t="s">
        <v>104</v>
      </c>
      <c r="CE91" s="4"/>
      <c r="CF91" s="4"/>
    </row>
    <row r="92" hidden="1">
      <c r="A92" s="1" t="s">
        <v>82</v>
      </c>
      <c r="B92" s="1" t="s">
        <v>83</v>
      </c>
      <c r="C92" s="1">
        <v>4.0</v>
      </c>
      <c r="D92" s="5" t="s">
        <v>520</v>
      </c>
      <c r="E92" s="1" t="s">
        <v>521</v>
      </c>
      <c r="F92" s="1">
        <v>28.0</v>
      </c>
      <c r="G92" s="1">
        <v>0.0</v>
      </c>
      <c r="H92" s="1" t="s">
        <v>522</v>
      </c>
      <c r="I92" s="4" t="b">
        <f>IFERROR(__xludf.DUMMYFUNCTION("IF(H92="""",,REGEXMATCH(H92,""[א-ת]""))"),FALSE)</f>
        <v>0</v>
      </c>
      <c r="J92" s="4"/>
      <c r="K92" s="4"/>
      <c r="L92" s="1">
        <v>0.0</v>
      </c>
      <c r="M92" s="1">
        <v>7.68</v>
      </c>
      <c r="N92" s="1">
        <v>67.86</v>
      </c>
      <c r="O92" s="1">
        <v>2.423571429</v>
      </c>
      <c r="P92" s="4"/>
      <c r="Q92" s="4"/>
      <c r="R92" s="1" t="s">
        <v>89</v>
      </c>
      <c r="S92" s="1" t="s">
        <v>521</v>
      </c>
      <c r="T92" s="1" t="s">
        <v>83</v>
      </c>
      <c r="U92" s="1">
        <v>5.0</v>
      </c>
      <c r="V92" s="5" t="s">
        <v>520</v>
      </c>
      <c r="W92" s="1" t="s">
        <v>521</v>
      </c>
      <c r="X92" s="1" t="s">
        <v>523</v>
      </c>
      <c r="Y92" s="4"/>
      <c r="Z92" s="4"/>
      <c r="AA92" s="4" t="b">
        <f>IFERROR(__xludf.DUMMYFUNCTION("IF(X92="""",,REGEXMATCH(X92,""[א-ת]""))"),FALSE)</f>
        <v>0</v>
      </c>
      <c r="AB92" s="1">
        <v>8.11</v>
      </c>
      <c r="AC92" s="1">
        <v>71.43</v>
      </c>
      <c r="AD92" s="1">
        <v>0.535585466324899</v>
      </c>
      <c r="AE92" s="1">
        <v>0.0</v>
      </c>
      <c r="AF92" s="1">
        <v>0.0</v>
      </c>
      <c r="AG92" s="1">
        <v>6.337</v>
      </c>
      <c r="AH92" s="1">
        <v>6.781</v>
      </c>
      <c r="AI92" s="1" t="b">
        <v>0</v>
      </c>
      <c r="AJ92" s="1" t="b">
        <v>0</v>
      </c>
      <c r="AK92" s="1">
        <v>94.182</v>
      </c>
      <c r="AL92" s="1">
        <v>96.508</v>
      </c>
      <c r="AM92" s="1" t="b">
        <v>0</v>
      </c>
      <c r="AN92" s="1" t="b">
        <v>0</v>
      </c>
      <c r="AO92" s="1">
        <v>8.05</v>
      </c>
      <c r="AP92" s="1">
        <v>8.53399999999999</v>
      </c>
      <c r="AQ92" s="1" t="b">
        <v>1</v>
      </c>
      <c r="AR92" s="1" t="b">
        <v>1</v>
      </c>
      <c r="AS92" s="1">
        <v>86.9179999999999</v>
      </c>
      <c r="AT92" s="1">
        <v>87.152</v>
      </c>
      <c r="AU92" s="1" t="b">
        <v>0</v>
      </c>
      <c r="AV92" s="1" t="b">
        <v>0</v>
      </c>
      <c r="AW92" s="1">
        <v>9.61399999999999</v>
      </c>
      <c r="AX92" s="1">
        <v>11.026</v>
      </c>
      <c r="AY92" s="1" t="b">
        <v>1</v>
      </c>
      <c r="AZ92" s="1" t="b">
        <v>1</v>
      </c>
      <c r="BA92" s="1">
        <v>81.25</v>
      </c>
      <c r="BB92" s="1">
        <v>77.78</v>
      </c>
      <c r="BC92" s="1" t="b">
        <v>0</v>
      </c>
      <c r="BD92" s="1" t="b">
        <v>0</v>
      </c>
      <c r="BE92" s="1">
        <v>11.34</v>
      </c>
      <c r="BF92" s="1">
        <v>13.285</v>
      </c>
      <c r="BG92" s="1" t="b">
        <v>1</v>
      </c>
      <c r="BH92" s="1" t="b">
        <v>1</v>
      </c>
      <c r="BI92" s="1">
        <v>77.78</v>
      </c>
      <c r="BJ92" s="1">
        <v>75.0</v>
      </c>
      <c r="BK92" s="1" t="b">
        <v>0</v>
      </c>
      <c r="BL92" s="1" t="b">
        <v>0</v>
      </c>
      <c r="BM92" s="1">
        <v>13.121</v>
      </c>
      <c r="BN92" s="1">
        <v>14.568</v>
      </c>
      <c r="BO92" s="1" t="b">
        <v>1</v>
      </c>
      <c r="BP92" s="1" t="b">
        <v>1</v>
      </c>
      <c r="BQ92" s="1">
        <v>75.0</v>
      </c>
      <c r="BR92" s="1">
        <v>72.027</v>
      </c>
      <c r="BS92" s="1" t="b">
        <v>0</v>
      </c>
      <c r="BT92" s="1" t="b">
        <v>0</v>
      </c>
      <c r="BU92" s="1" t="s">
        <v>105</v>
      </c>
      <c r="BV92" s="1" t="s">
        <v>105</v>
      </c>
      <c r="BW92" s="1" t="s">
        <v>104</v>
      </c>
      <c r="BX92" s="1" t="s">
        <v>105</v>
      </c>
      <c r="BY92" s="1" t="s">
        <v>104</v>
      </c>
      <c r="BZ92" s="1" t="s">
        <v>105</v>
      </c>
      <c r="CA92" s="1" t="s">
        <v>104</v>
      </c>
      <c r="CB92" s="1" t="s">
        <v>105</v>
      </c>
      <c r="CC92" s="1" t="s">
        <v>104</v>
      </c>
      <c r="CD92" s="1" t="s">
        <v>105</v>
      </c>
      <c r="CE92" s="4"/>
      <c r="CF92" s="4"/>
    </row>
    <row r="93" hidden="1">
      <c r="A93" s="1" t="s">
        <v>82</v>
      </c>
      <c r="B93" s="1" t="s">
        <v>524</v>
      </c>
      <c r="C93" s="1">
        <v>20.0</v>
      </c>
      <c r="D93" s="5" t="s">
        <v>525</v>
      </c>
      <c r="E93" s="1" t="s">
        <v>526</v>
      </c>
      <c r="F93" s="1">
        <v>18.0</v>
      </c>
      <c r="G93" s="1">
        <v>0.0</v>
      </c>
      <c r="H93" s="1" t="s">
        <v>527</v>
      </c>
      <c r="I93" s="4" t="b">
        <f>IFERROR(__xludf.DUMMYFUNCTION("IF(H93="""",,REGEXMATCH(H93,""[א-ת]""))"),FALSE)</f>
        <v>0</v>
      </c>
      <c r="J93" s="4"/>
      <c r="K93" s="4"/>
      <c r="L93" s="1">
        <v>-0.3818</v>
      </c>
      <c r="M93" s="1">
        <v>7.77</v>
      </c>
      <c r="N93" s="1">
        <v>100.0</v>
      </c>
      <c r="O93" s="1">
        <v>5.555555556</v>
      </c>
      <c r="P93" s="4"/>
      <c r="Q93" s="4"/>
      <c r="R93" s="1" t="s">
        <v>89</v>
      </c>
      <c r="S93" s="1" t="s">
        <v>526</v>
      </c>
      <c r="T93" s="1" t="s">
        <v>524</v>
      </c>
      <c r="U93" s="1">
        <v>21.0</v>
      </c>
      <c r="V93" s="5" t="s">
        <v>525</v>
      </c>
      <c r="W93" s="1" t="s">
        <v>526</v>
      </c>
      <c r="X93" s="1" t="s">
        <v>528</v>
      </c>
      <c r="Y93" s="4"/>
      <c r="Z93" s="4"/>
      <c r="AA93" s="4" t="b">
        <f>IFERROR(__xludf.DUMMYFUNCTION("IF(X93="""",,REGEXMATCH(X93,""[א-ת]""))"),FALSE)</f>
        <v>0</v>
      </c>
      <c r="AB93" s="1">
        <v>17.44</v>
      </c>
      <c r="AC93" s="1">
        <v>83.33</v>
      </c>
      <c r="AD93" s="1">
        <v>0.375112282797952</v>
      </c>
      <c r="AE93" s="1">
        <v>0.0</v>
      </c>
      <c r="AF93" s="1">
        <v>0.0</v>
      </c>
      <c r="AG93" s="1">
        <v>6.337</v>
      </c>
      <c r="AH93" s="1">
        <v>6.781</v>
      </c>
      <c r="AI93" s="1" t="b">
        <v>0</v>
      </c>
      <c r="AJ93" s="1" t="b">
        <v>0</v>
      </c>
      <c r="AK93" s="1">
        <v>94.182</v>
      </c>
      <c r="AL93" s="1">
        <v>96.508</v>
      </c>
      <c r="AM93" s="1" t="b">
        <v>1</v>
      </c>
      <c r="AN93" s="1" t="b">
        <v>0</v>
      </c>
      <c r="AO93" s="1">
        <v>8.05</v>
      </c>
      <c r="AP93" s="1">
        <v>8.53399999999999</v>
      </c>
      <c r="AQ93" s="1" t="b">
        <v>1</v>
      </c>
      <c r="AR93" s="1" t="b">
        <v>0</v>
      </c>
      <c r="AS93" s="1">
        <v>86.9179999999999</v>
      </c>
      <c r="AT93" s="1">
        <v>87.152</v>
      </c>
      <c r="AU93" s="1" t="b">
        <v>1</v>
      </c>
      <c r="AV93" s="1" t="b">
        <v>0</v>
      </c>
      <c r="AW93" s="1">
        <v>9.61399999999999</v>
      </c>
      <c r="AX93" s="1">
        <v>11.026</v>
      </c>
      <c r="AY93" s="1" t="b">
        <v>1</v>
      </c>
      <c r="AZ93" s="1" t="b">
        <v>0</v>
      </c>
      <c r="BA93" s="1">
        <v>81.25</v>
      </c>
      <c r="BB93" s="1">
        <v>77.78</v>
      </c>
      <c r="BC93" s="1" t="b">
        <v>1</v>
      </c>
      <c r="BD93" s="1" t="b">
        <v>1</v>
      </c>
      <c r="BE93" s="1">
        <v>11.34</v>
      </c>
      <c r="BF93" s="1">
        <v>13.285</v>
      </c>
      <c r="BG93" s="1" t="b">
        <v>1</v>
      </c>
      <c r="BH93" s="1" t="b">
        <v>0</v>
      </c>
      <c r="BI93" s="1">
        <v>77.78</v>
      </c>
      <c r="BJ93" s="1">
        <v>75.0</v>
      </c>
      <c r="BK93" s="1" t="b">
        <v>1</v>
      </c>
      <c r="BL93" s="1" t="b">
        <v>1</v>
      </c>
      <c r="BM93" s="1">
        <v>13.121</v>
      </c>
      <c r="BN93" s="1">
        <v>14.568</v>
      </c>
      <c r="BO93" s="1" t="b">
        <v>1</v>
      </c>
      <c r="BP93" s="1" t="b">
        <v>0</v>
      </c>
      <c r="BQ93" s="1">
        <v>75.0</v>
      </c>
      <c r="BR93" s="1">
        <v>72.027</v>
      </c>
      <c r="BS93" s="1" t="b">
        <v>1</v>
      </c>
      <c r="BT93" s="1" t="b">
        <v>1</v>
      </c>
      <c r="BU93" s="1" t="s">
        <v>105</v>
      </c>
      <c r="BV93" s="1" t="s">
        <v>91</v>
      </c>
      <c r="BW93" s="1" t="s">
        <v>91</v>
      </c>
      <c r="BX93" s="1" t="s">
        <v>91</v>
      </c>
      <c r="BY93" s="1" t="s">
        <v>91</v>
      </c>
      <c r="BZ93" s="1" t="s">
        <v>104</v>
      </c>
      <c r="CA93" s="1" t="s">
        <v>91</v>
      </c>
      <c r="CB93" s="1" t="s">
        <v>104</v>
      </c>
      <c r="CC93" s="1" t="s">
        <v>91</v>
      </c>
      <c r="CD93" s="1" t="s">
        <v>104</v>
      </c>
      <c r="CE93" s="4"/>
      <c r="CF93" s="4"/>
    </row>
    <row r="94" hidden="1">
      <c r="A94" s="1" t="s">
        <v>82</v>
      </c>
      <c r="B94" s="1" t="s">
        <v>333</v>
      </c>
      <c r="C94" s="1">
        <v>30.0</v>
      </c>
      <c r="D94" s="5" t="s">
        <v>529</v>
      </c>
      <c r="E94" s="1" t="s">
        <v>530</v>
      </c>
      <c r="F94" s="1">
        <v>26.0</v>
      </c>
      <c r="G94" s="1">
        <v>0.6249</v>
      </c>
      <c r="H94" s="1" t="s">
        <v>531</v>
      </c>
      <c r="I94" s="4" t="b">
        <f>IFERROR(__xludf.DUMMYFUNCTION("IF(H94="""",,REGEXMATCH(H94,""[א-ת]""))"),FALSE)</f>
        <v>0</v>
      </c>
      <c r="J94" s="4"/>
      <c r="K94" s="4"/>
      <c r="L94" s="1">
        <v>0.0</v>
      </c>
      <c r="M94" s="1">
        <v>7.8</v>
      </c>
      <c r="N94" s="1">
        <v>73.08</v>
      </c>
      <c r="O94" s="1">
        <v>2.810769231</v>
      </c>
      <c r="P94" s="4"/>
      <c r="Q94" s="4"/>
      <c r="R94" s="1" t="s">
        <v>89</v>
      </c>
      <c r="S94" s="1" t="s">
        <v>530</v>
      </c>
      <c r="T94" s="1" t="s">
        <v>333</v>
      </c>
      <c r="U94" s="1">
        <v>31.0</v>
      </c>
      <c r="V94" s="5" t="s">
        <v>529</v>
      </c>
      <c r="W94" s="1" t="s">
        <v>530</v>
      </c>
      <c r="X94" s="1" t="s">
        <v>532</v>
      </c>
      <c r="Y94" s="4"/>
      <c r="Z94" s="4"/>
      <c r="AA94" s="4" t="b">
        <f>IFERROR(__xludf.DUMMYFUNCTION("IF(X94="""",,REGEXMATCH(X94,""[א-ת]""))"),FALSE)</f>
        <v>0</v>
      </c>
      <c r="AB94" s="1">
        <v>10.33</v>
      </c>
      <c r="AC94" s="1">
        <v>69.23</v>
      </c>
      <c r="AD94" s="1">
        <v>0.22691842807954</v>
      </c>
      <c r="AE94" s="1">
        <v>0.6249</v>
      </c>
      <c r="AF94" s="1">
        <v>0.6249</v>
      </c>
      <c r="AG94" s="1">
        <v>6.337</v>
      </c>
      <c r="AH94" s="1">
        <v>6.781</v>
      </c>
      <c r="AI94" s="1" t="b">
        <v>0</v>
      </c>
      <c r="AJ94" s="1" t="b">
        <v>0</v>
      </c>
      <c r="AK94" s="1">
        <v>94.182</v>
      </c>
      <c r="AL94" s="1">
        <v>96.508</v>
      </c>
      <c r="AM94" s="1" t="b">
        <v>0</v>
      </c>
      <c r="AN94" s="1" t="b">
        <v>0</v>
      </c>
      <c r="AO94" s="1">
        <v>8.05</v>
      </c>
      <c r="AP94" s="1">
        <v>8.53399999999999</v>
      </c>
      <c r="AQ94" s="1" t="b">
        <v>1</v>
      </c>
      <c r="AR94" s="1" t="b">
        <v>0</v>
      </c>
      <c r="AS94" s="1">
        <v>86.9179999999999</v>
      </c>
      <c r="AT94" s="1">
        <v>87.152</v>
      </c>
      <c r="AU94" s="1" t="b">
        <v>0</v>
      </c>
      <c r="AV94" s="1" t="b">
        <v>0</v>
      </c>
      <c r="AW94" s="1">
        <v>9.61399999999999</v>
      </c>
      <c r="AX94" s="1">
        <v>11.026</v>
      </c>
      <c r="AY94" s="1" t="b">
        <v>1</v>
      </c>
      <c r="AZ94" s="1" t="b">
        <v>1</v>
      </c>
      <c r="BA94" s="1">
        <v>81.25</v>
      </c>
      <c r="BB94" s="1">
        <v>77.78</v>
      </c>
      <c r="BC94" s="1" t="b">
        <v>0</v>
      </c>
      <c r="BD94" s="1" t="b">
        <v>0</v>
      </c>
      <c r="BE94" s="1">
        <v>11.34</v>
      </c>
      <c r="BF94" s="1">
        <v>13.285</v>
      </c>
      <c r="BG94" s="1" t="b">
        <v>1</v>
      </c>
      <c r="BH94" s="1" t="b">
        <v>1</v>
      </c>
      <c r="BI94" s="1">
        <v>77.78</v>
      </c>
      <c r="BJ94" s="1">
        <v>75.0</v>
      </c>
      <c r="BK94" s="1" t="b">
        <v>0</v>
      </c>
      <c r="BL94" s="1" t="b">
        <v>0</v>
      </c>
      <c r="BM94" s="1">
        <v>13.121</v>
      </c>
      <c r="BN94" s="1">
        <v>14.568</v>
      </c>
      <c r="BO94" s="1" t="b">
        <v>1</v>
      </c>
      <c r="BP94" s="1" t="b">
        <v>1</v>
      </c>
      <c r="BQ94" s="1">
        <v>75.0</v>
      </c>
      <c r="BR94" s="1">
        <v>72.027</v>
      </c>
      <c r="BS94" s="1" t="b">
        <v>0</v>
      </c>
      <c r="BT94" s="1" t="b">
        <v>0</v>
      </c>
      <c r="BU94" s="1" t="s">
        <v>105</v>
      </c>
      <c r="BV94" s="1" t="s">
        <v>105</v>
      </c>
      <c r="BW94" s="1" t="s">
        <v>91</v>
      </c>
      <c r="BX94" s="1" t="s">
        <v>105</v>
      </c>
      <c r="BY94" s="1" t="s">
        <v>104</v>
      </c>
      <c r="BZ94" s="1" t="s">
        <v>105</v>
      </c>
      <c r="CA94" s="1" t="s">
        <v>104</v>
      </c>
      <c r="CB94" s="1" t="s">
        <v>105</v>
      </c>
      <c r="CC94" s="1" t="s">
        <v>104</v>
      </c>
      <c r="CD94" s="1" t="s">
        <v>105</v>
      </c>
      <c r="CE94" s="4"/>
      <c r="CF94" s="4"/>
    </row>
    <row r="95" hidden="1">
      <c r="A95" s="1" t="s">
        <v>82</v>
      </c>
      <c r="B95" s="1" t="s">
        <v>145</v>
      </c>
      <c r="C95" s="1">
        <v>31.0</v>
      </c>
      <c r="D95" s="5" t="s">
        <v>533</v>
      </c>
      <c r="E95" s="1" t="s">
        <v>534</v>
      </c>
      <c r="F95" s="1">
        <v>13.0</v>
      </c>
      <c r="G95" s="1">
        <v>0.0</v>
      </c>
      <c r="H95" s="1" t="s">
        <v>535</v>
      </c>
      <c r="I95" s="4" t="b">
        <f>IFERROR(__xludf.DUMMYFUNCTION("IF(H95="""",,REGEXMATCH(H95,""[א-ת]""))"),FALSE)</f>
        <v>0</v>
      </c>
      <c r="J95" s="4"/>
      <c r="K95" s="4"/>
      <c r="L95" s="1">
        <v>0.2714</v>
      </c>
      <c r="M95" s="1">
        <v>7.93</v>
      </c>
      <c r="N95" s="1">
        <v>115.38</v>
      </c>
      <c r="O95" s="1">
        <v>8.875384615</v>
      </c>
      <c r="P95" s="4"/>
      <c r="Q95" s="4"/>
      <c r="R95" s="1" t="s">
        <v>89</v>
      </c>
      <c r="S95" s="1" t="s">
        <v>534</v>
      </c>
      <c r="T95" s="1" t="s">
        <v>145</v>
      </c>
      <c r="U95" s="1">
        <v>32.0</v>
      </c>
      <c r="V95" s="5" t="s">
        <v>533</v>
      </c>
      <c r="W95" s="1" t="s">
        <v>534</v>
      </c>
      <c r="X95" s="1" t="s">
        <v>536</v>
      </c>
      <c r="Y95" s="4"/>
      <c r="Z95" s="4"/>
      <c r="AA95" s="4" t="b">
        <f>IFERROR(__xludf.DUMMYFUNCTION("IF(X95="""",,REGEXMATCH(X95,""[א-ת]""))"),FALSE)</f>
        <v>0</v>
      </c>
      <c r="AB95" s="1">
        <v>9.75</v>
      </c>
      <c r="AC95" s="1">
        <v>107.69</v>
      </c>
      <c r="AD95" s="1">
        <v>0.603198244236624</v>
      </c>
      <c r="AE95" s="1">
        <v>0.3802</v>
      </c>
      <c r="AF95" s="1">
        <v>0.0</v>
      </c>
      <c r="AG95" s="1">
        <v>6.337</v>
      </c>
      <c r="AH95" s="1">
        <v>6.781</v>
      </c>
      <c r="AI95" s="1" t="b">
        <v>0</v>
      </c>
      <c r="AJ95" s="1" t="b">
        <v>0</v>
      </c>
      <c r="AK95" s="1">
        <v>94.182</v>
      </c>
      <c r="AL95" s="1">
        <v>96.508</v>
      </c>
      <c r="AM95" s="1" t="b">
        <v>1</v>
      </c>
      <c r="AN95" s="1" t="b">
        <v>1</v>
      </c>
      <c r="AO95" s="1">
        <v>8.05</v>
      </c>
      <c r="AP95" s="1">
        <v>8.53399999999999</v>
      </c>
      <c r="AQ95" s="1" t="b">
        <v>1</v>
      </c>
      <c r="AR95" s="1" t="b">
        <v>0</v>
      </c>
      <c r="AS95" s="1">
        <v>86.9179999999999</v>
      </c>
      <c r="AT95" s="1">
        <v>87.152</v>
      </c>
      <c r="AU95" s="1" t="b">
        <v>1</v>
      </c>
      <c r="AV95" s="1" t="b">
        <v>1</v>
      </c>
      <c r="AW95" s="1">
        <v>9.61399999999999</v>
      </c>
      <c r="AX95" s="1">
        <v>11.026</v>
      </c>
      <c r="AY95" s="1" t="b">
        <v>1</v>
      </c>
      <c r="AZ95" s="1" t="b">
        <v>1</v>
      </c>
      <c r="BA95" s="1">
        <v>81.25</v>
      </c>
      <c r="BB95" s="1">
        <v>77.78</v>
      </c>
      <c r="BC95" s="1" t="b">
        <v>1</v>
      </c>
      <c r="BD95" s="1" t="b">
        <v>1</v>
      </c>
      <c r="BE95" s="1">
        <v>11.34</v>
      </c>
      <c r="BF95" s="1">
        <v>13.285</v>
      </c>
      <c r="BG95" s="1" t="b">
        <v>1</v>
      </c>
      <c r="BH95" s="1" t="b">
        <v>1</v>
      </c>
      <c r="BI95" s="1">
        <v>77.78</v>
      </c>
      <c r="BJ95" s="1">
        <v>75.0</v>
      </c>
      <c r="BK95" s="1" t="b">
        <v>1</v>
      </c>
      <c r="BL95" s="1" t="b">
        <v>1</v>
      </c>
      <c r="BM95" s="1">
        <v>13.121</v>
      </c>
      <c r="BN95" s="1">
        <v>14.568</v>
      </c>
      <c r="BO95" s="1" t="b">
        <v>1</v>
      </c>
      <c r="BP95" s="1" t="b">
        <v>1</v>
      </c>
      <c r="BQ95" s="1">
        <v>75.0</v>
      </c>
      <c r="BR95" s="1">
        <v>72.027</v>
      </c>
      <c r="BS95" s="1" t="b">
        <v>1</v>
      </c>
      <c r="BT95" s="1" t="b">
        <v>1</v>
      </c>
      <c r="BU95" s="1" t="s">
        <v>105</v>
      </c>
      <c r="BV95" s="1" t="s">
        <v>104</v>
      </c>
      <c r="BW95" s="1" t="s">
        <v>91</v>
      </c>
      <c r="BX95" s="1" t="s">
        <v>104</v>
      </c>
      <c r="BY95" s="1" t="s">
        <v>104</v>
      </c>
      <c r="BZ95" s="1" t="s">
        <v>104</v>
      </c>
      <c r="CA95" s="1" t="s">
        <v>104</v>
      </c>
      <c r="CB95" s="1" t="s">
        <v>104</v>
      </c>
      <c r="CC95" s="1" t="s">
        <v>104</v>
      </c>
      <c r="CD95" s="1" t="s">
        <v>104</v>
      </c>
      <c r="CE95" s="4"/>
      <c r="CF95" s="4"/>
    </row>
    <row r="96" hidden="1">
      <c r="A96" s="1" t="s">
        <v>82</v>
      </c>
      <c r="B96" s="1" t="s">
        <v>158</v>
      </c>
      <c r="C96" s="1">
        <v>6.0</v>
      </c>
      <c r="D96" s="5" t="s">
        <v>537</v>
      </c>
      <c r="E96" s="1" t="s">
        <v>538</v>
      </c>
      <c r="F96" s="1">
        <v>20.0</v>
      </c>
      <c r="G96" s="1">
        <v>0.0</v>
      </c>
      <c r="H96" s="1" t="s">
        <v>539</v>
      </c>
      <c r="I96" s="4" t="b">
        <f>IFERROR(__xludf.DUMMYFUNCTION("IF(H96="""",,REGEXMATCH(H96,""[א-ת]""))"),FALSE)</f>
        <v>0</v>
      </c>
      <c r="J96" s="4"/>
      <c r="K96" s="4"/>
      <c r="L96" s="1">
        <v>0.0</v>
      </c>
      <c r="M96" s="1">
        <v>7.94</v>
      </c>
      <c r="N96" s="1">
        <v>105.0</v>
      </c>
      <c r="O96" s="1">
        <v>5.25</v>
      </c>
      <c r="P96" s="4"/>
      <c r="Q96" s="4"/>
      <c r="R96" s="1" t="s">
        <v>89</v>
      </c>
      <c r="S96" s="1" t="s">
        <v>538</v>
      </c>
      <c r="T96" s="1" t="s">
        <v>158</v>
      </c>
      <c r="U96" s="1">
        <v>7.0</v>
      </c>
      <c r="V96" s="5" t="s">
        <v>537</v>
      </c>
      <c r="W96" s="1" t="s">
        <v>538</v>
      </c>
      <c r="X96" s="1" t="s">
        <v>540</v>
      </c>
      <c r="Y96" s="4"/>
      <c r="Z96" s="4"/>
      <c r="AA96" s="4" t="b">
        <f>IFERROR(__xludf.DUMMYFUNCTION("IF(X96="""",,REGEXMATCH(X96,""[א-ת]""))"),FALSE)</f>
        <v>0</v>
      </c>
      <c r="AB96" s="1">
        <v>7.77</v>
      </c>
      <c r="AC96" s="1">
        <v>95.0</v>
      </c>
      <c r="AD96" s="1">
        <v>0.12790611613941</v>
      </c>
      <c r="AE96" s="1">
        <v>0.0</v>
      </c>
      <c r="AF96" s="1">
        <v>0.0</v>
      </c>
      <c r="AG96" s="1">
        <v>6.337</v>
      </c>
      <c r="AH96" s="1">
        <v>6.781</v>
      </c>
      <c r="AI96" s="1" t="b">
        <v>0</v>
      </c>
      <c r="AJ96" s="1" t="b">
        <v>0</v>
      </c>
      <c r="AK96" s="1">
        <v>94.182</v>
      </c>
      <c r="AL96" s="1">
        <v>96.508</v>
      </c>
      <c r="AM96" s="1" t="b">
        <v>1</v>
      </c>
      <c r="AN96" s="1" t="b">
        <v>0</v>
      </c>
      <c r="AO96" s="1">
        <v>8.05</v>
      </c>
      <c r="AP96" s="1">
        <v>8.53399999999999</v>
      </c>
      <c r="AQ96" s="1" t="b">
        <v>1</v>
      </c>
      <c r="AR96" s="1" t="b">
        <v>1</v>
      </c>
      <c r="AS96" s="1">
        <v>86.9179999999999</v>
      </c>
      <c r="AT96" s="1">
        <v>87.152</v>
      </c>
      <c r="AU96" s="1" t="b">
        <v>1</v>
      </c>
      <c r="AV96" s="1" t="b">
        <v>1</v>
      </c>
      <c r="AW96" s="1">
        <v>9.61399999999999</v>
      </c>
      <c r="AX96" s="1">
        <v>11.026</v>
      </c>
      <c r="AY96" s="1" t="b">
        <v>1</v>
      </c>
      <c r="AZ96" s="1" t="b">
        <v>1</v>
      </c>
      <c r="BA96" s="1">
        <v>81.25</v>
      </c>
      <c r="BB96" s="1">
        <v>77.78</v>
      </c>
      <c r="BC96" s="1" t="b">
        <v>1</v>
      </c>
      <c r="BD96" s="1" t="b">
        <v>1</v>
      </c>
      <c r="BE96" s="1">
        <v>11.34</v>
      </c>
      <c r="BF96" s="1">
        <v>13.285</v>
      </c>
      <c r="BG96" s="1" t="b">
        <v>1</v>
      </c>
      <c r="BH96" s="1" t="b">
        <v>1</v>
      </c>
      <c r="BI96" s="1">
        <v>77.78</v>
      </c>
      <c r="BJ96" s="1">
        <v>75.0</v>
      </c>
      <c r="BK96" s="1" t="b">
        <v>1</v>
      </c>
      <c r="BL96" s="1" t="b">
        <v>1</v>
      </c>
      <c r="BM96" s="1">
        <v>13.121</v>
      </c>
      <c r="BN96" s="1">
        <v>14.568</v>
      </c>
      <c r="BO96" s="1" t="b">
        <v>1</v>
      </c>
      <c r="BP96" s="1" t="b">
        <v>1</v>
      </c>
      <c r="BQ96" s="1">
        <v>75.0</v>
      </c>
      <c r="BR96" s="1">
        <v>72.027</v>
      </c>
      <c r="BS96" s="1" t="b">
        <v>1</v>
      </c>
      <c r="BT96" s="1" t="b">
        <v>1</v>
      </c>
      <c r="BU96" s="1" t="s">
        <v>105</v>
      </c>
      <c r="BV96" s="1" t="s">
        <v>91</v>
      </c>
      <c r="BW96" s="1" t="s">
        <v>104</v>
      </c>
      <c r="BX96" s="1" t="s">
        <v>104</v>
      </c>
      <c r="BY96" s="1" t="s">
        <v>104</v>
      </c>
      <c r="BZ96" s="1" t="s">
        <v>104</v>
      </c>
      <c r="CA96" s="1" t="s">
        <v>104</v>
      </c>
      <c r="CB96" s="1" t="s">
        <v>104</v>
      </c>
      <c r="CC96" s="1" t="s">
        <v>104</v>
      </c>
      <c r="CD96" s="1" t="s">
        <v>104</v>
      </c>
      <c r="CE96" s="4"/>
      <c r="CF96" s="4"/>
    </row>
    <row r="97" hidden="1">
      <c r="A97" s="1" t="s">
        <v>82</v>
      </c>
      <c r="B97" s="1" t="s">
        <v>139</v>
      </c>
      <c r="C97" s="1">
        <v>36.0</v>
      </c>
      <c r="D97" s="5" t="s">
        <v>541</v>
      </c>
      <c r="E97" s="1" t="s">
        <v>542</v>
      </c>
      <c r="F97" s="1">
        <v>16.0</v>
      </c>
      <c r="G97" s="1">
        <v>0.0</v>
      </c>
      <c r="H97" s="1" t="s">
        <v>543</v>
      </c>
      <c r="I97" s="4" t="b">
        <f>IFERROR(__xludf.DUMMYFUNCTION("IF(H97="""",,REGEXMATCH(H97,""[א-ת]""))"),FALSE)</f>
        <v>0</v>
      </c>
      <c r="J97" s="4"/>
      <c r="K97" s="4"/>
      <c r="L97" s="1">
        <v>0.0</v>
      </c>
      <c r="M97" s="1">
        <v>7.96</v>
      </c>
      <c r="N97" s="1">
        <v>68.75</v>
      </c>
      <c r="O97" s="1">
        <v>4.296875</v>
      </c>
      <c r="P97" s="4"/>
      <c r="Q97" s="4"/>
      <c r="R97" s="1" t="s">
        <v>96</v>
      </c>
      <c r="S97" s="1" t="s">
        <v>542</v>
      </c>
      <c r="T97" s="1" t="s">
        <v>139</v>
      </c>
      <c r="U97" s="1">
        <v>37.0</v>
      </c>
      <c r="V97" s="5" t="s">
        <v>541</v>
      </c>
      <c r="W97" s="1" t="s">
        <v>542</v>
      </c>
      <c r="X97" s="1" t="s">
        <v>544</v>
      </c>
      <c r="Y97" s="4"/>
      <c r="Z97" s="4"/>
      <c r="AA97" s="4" t="b">
        <f>IFERROR(__xludf.DUMMYFUNCTION("IF(X97="""",,REGEXMATCH(X97,""[א-ת]""))"),FALSE)</f>
        <v>0</v>
      </c>
      <c r="AB97" s="1">
        <v>26.12</v>
      </c>
      <c r="AC97" s="1">
        <v>43.75</v>
      </c>
      <c r="AD97" s="1">
        <v>0.855634875701318</v>
      </c>
      <c r="AE97" s="1">
        <v>0.0</v>
      </c>
      <c r="AF97" s="1">
        <v>0.0</v>
      </c>
      <c r="AG97" s="1">
        <v>6.337</v>
      </c>
      <c r="AH97" s="1">
        <v>6.781</v>
      </c>
      <c r="AI97" s="1" t="b">
        <v>0</v>
      </c>
      <c r="AJ97" s="1" t="b">
        <v>0</v>
      </c>
      <c r="AK97" s="1">
        <v>94.182</v>
      </c>
      <c r="AL97" s="1">
        <v>96.508</v>
      </c>
      <c r="AM97" s="1" t="b">
        <v>0</v>
      </c>
      <c r="AN97" s="1" t="b">
        <v>0</v>
      </c>
      <c r="AO97" s="1">
        <v>8.05</v>
      </c>
      <c r="AP97" s="1">
        <v>8.53399999999999</v>
      </c>
      <c r="AQ97" s="1" t="b">
        <v>1</v>
      </c>
      <c r="AR97" s="1" t="b">
        <v>0</v>
      </c>
      <c r="AS97" s="1">
        <v>86.9179999999999</v>
      </c>
      <c r="AT97" s="1">
        <v>87.152</v>
      </c>
      <c r="AU97" s="1" t="b">
        <v>0</v>
      </c>
      <c r="AV97" s="1" t="b">
        <v>0</v>
      </c>
      <c r="AW97" s="1">
        <v>9.61399999999999</v>
      </c>
      <c r="AX97" s="1">
        <v>11.026</v>
      </c>
      <c r="AY97" s="1" t="b">
        <v>1</v>
      </c>
      <c r="AZ97" s="1" t="b">
        <v>0</v>
      </c>
      <c r="BA97" s="1">
        <v>81.25</v>
      </c>
      <c r="BB97" s="1">
        <v>77.78</v>
      </c>
      <c r="BC97" s="1" t="b">
        <v>0</v>
      </c>
      <c r="BD97" s="1" t="b">
        <v>0</v>
      </c>
      <c r="BE97" s="1">
        <v>11.34</v>
      </c>
      <c r="BF97" s="1">
        <v>13.285</v>
      </c>
      <c r="BG97" s="1" t="b">
        <v>1</v>
      </c>
      <c r="BH97" s="1" t="b">
        <v>0</v>
      </c>
      <c r="BI97" s="1">
        <v>77.78</v>
      </c>
      <c r="BJ97" s="1">
        <v>75.0</v>
      </c>
      <c r="BK97" s="1" t="b">
        <v>0</v>
      </c>
      <c r="BL97" s="1" t="b">
        <v>0</v>
      </c>
      <c r="BM97" s="1">
        <v>13.121</v>
      </c>
      <c r="BN97" s="1">
        <v>14.568</v>
      </c>
      <c r="BO97" s="1" t="b">
        <v>1</v>
      </c>
      <c r="BP97" s="1" t="b">
        <v>0</v>
      </c>
      <c r="BQ97" s="1">
        <v>75.0</v>
      </c>
      <c r="BR97" s="1">
        <v>72.027</v>
      </c>
      <c r="BS97" s="1" t="b">
        <v>0</v>
      </c>
      <c r="BT97" s="1" t="b">
        <v>0</v>
      </c>
      <c r="BU97" s="1" t="s">
        <v>105</v>
      </c>
      <c r="BV97" s="1" t="s">
        <v>105</v>
      </c>
      <c r="BW97" s="1" t="s">
        <v>91</v>
      </c>
      <c r="BX97" s="1" t="s">
        <v>105</v>
      </c>
      <c r="BY97" s="1" t="s">
        <v>91</v>
      </c>
      <c r="BZ97" s="1" t="s">
        <v>105</v>
      </c>
      <c r="CA97" s="1" t="s">
        <v>91</v>
      </c>
      <c r="CB97" s="1" t="s">
        <v>105</v>
      </c>
      <c r="CC97" s="1" t="s">
        <v>91</v>
      </c>
      <c r="CD97" s="1" t="s">
        <v>105</v>
      </c>
      <c r="CE97" s="4"/>
      <c r="CF97" s="4"/>
    </row>
    <row r="98" hidden="1">
      <c r="A98" s="1" t="s">
        <v>82</v>
      </c>
      <c r="B98" s="1" t="s">
        <v>111</v>
      </c>
      <c r="C98" s="1">
        <v>62.0</v>
      </c>
      <c r="D98" s="5" t="s">
        <v>545</v>
      </c>
      <c r="E98" s="1" t="s">
        <v>546</v>
      </c>
      <c r="F98" s="1">
        <v>26.0</v>
      </c>
      <c r="G98" s="1">
        <v>-0.296</v>
      </c>
      <c r="H98" s="1" t="s">
        <v>547</v>
      </c>
      <c r="I98" s="4" t="b">
        <f>IFERROR(__xludf.DUMMYFUNCTION("IF(H98="""",,REGEXMATCH(H98,""[א-ת]""))"),FALSE)</f>
        <v>0</v>
      </c>
      <c r="J98" s="4"/>
      <c r="K98" s="4"/>
      <c r="L98" s="1">
        <v>-0.2732</v>
      </c>
      <c r="M98" s="1">
        <v>7.97</v>
      </c>
      <c r="N98" s="1">
        <v>96.15</v>
      </c>
      <c r="O98" s="1">
        <v>3.698076923</v>
      </c>
      <c r="P98" s="4"/>
      <c r="Q98" s="4"/>
      <c r="R98" s="1" t="s">
        <v>89</v>
      </c>
      <c r="S98" s="1" t="s">
        <v>546</v>
      </c>
      <c r="T98" s="1" t="s">
        <v>111</v>
      </c>
      <c r="U98" s="1">
        <v>63.0</v>
      </c>
      <c r="V98" s="5" t="s">
        <v>545</v>
      </c>
      <c r="W98" s="1" t="s">
        <v>546</v>
      </c>
      <c r="X98" s="1" t="s">
        <v>548</v>
      </c>
      <c r="Y98" s="4"/>
      <c r="Z98" s="4"/>
      <c r="AA98" s="4" t="b">
        <f>IFERROR(__xludf.DUMMYFUNCTION("IF(X98="""",,REGEXMATCH(X98,""[א-ת]""))"),FALSE)</f>
        <v>0</v>
      </c>
      <c r="AB98" s="1">
        <v>28.39</v>
      </c>
      <c r="AC98" s="1">
        <v>42.31</v>
      </c>
      <c r="AD98" s="1">
        <v>0.482639548450524</v>
      </c>
      <c r="AE98" s="1">
        <v>-0.3802</v>
      </c>
      <c r="AF98" s="1">
        <v>-0.296</v>
      </c>
      <c r="AG98" s="1">
        <v>6.337</v>
      </c>
      <c r="AH98" s="1">
        <v>6.781</v>
      </c>
      <c r="AI98" s="1" t="b">
        <v>0</v>
      </c>
      <c r="AJ98" s="1" t="b">
        <v>0</v>
      </c>
      <c r="AK98" s="1">
        <v>94.182</v>
      </c>
      <c r="AL98" s="1">
        <v>96.508</v>
      </c>
      <c r="AM98" s="1" t="b">
        <v>1</v>
      </c>
      <c r="AN98" s="1" t="b">
        <v>0</v>
      </c>
      <c r="AO98" s="1">
        <v>8.05</v>
      </c>
      <c r="AP98" s="1">
        <v>8.53399999999999</v>
      </c>
      <c r="AQ98" s="1" t="b">
        <v>1</v>
      </c>
      <c r="AR98" s="1" t="b">
        <v>0</v>
      </c>
      <c r="AS98" s="1">
        <v>86.9179999999999</v>
      </c>
      <c r="AT98" s="1">
        <v>87.152</v>
      </c>
      <c r="AU98" s="1" t="b">
        <v>1</v>
      </c>
      <c r="AV98" s="1" t="b">
        <v>0</v>
      </c>
      <c r="AW98" s="1">
        <v>9.61399999999999</v>
      </c>
      <c r="AX98" s="1">
        <v>11.026</v>
      </c>
      <c r="AY98" s="1" t="b">
        <v>1</v>
      </c>
      <c r="AZ98" s="1" t="b">
        <v>0</v>
      </c>
      <c r="BA98" s="1">
        <v>81.25</v>
      </c>
      <c r="BB98" s="1">
        <v>77.78</v>
      </c>
      <c r="BC98" s="1" t="b">
        <v>1</v>
      </c>
      <c r="BD98" s="1" t="b">
        <v>0</v>
      </c>
      <c r="BE98" s="1">
        <v>11.34</v>
      </c>
      <c r="BF98" s="1">
        <v>13.285</v>
      </c>
      <c r="BG98" s="1" t="b">
        <v>1</v>
      </c>
      <c r="BH98" s="1" t="b">
        <v>0</v>
      </c>
      <c r="BI98" s="1">
        <v>77.78</v>
      </c>
      <c r="BJ98" s="1">
        <v>75.0</v>
      </c>
      <c r="BK98" s="1" t="b">
        <v>1</v>
      </c>
      <c r="BL98" s="1" t="b">
        <v>0</v>
      </c>
      <c r="BM98" s="1">
        <v>13.121</v>
      </c>
      <c r="BN98" s="1">
        <v>14.568</v>
      </c>
      <c r="BO98" s="1" t="b">
        <v>1</v>
      </c>
      <c r="BP98" s="1" t="b">
        <v>0</v>
      </c>
      <c r="BQ98" s="1">
        <v>75.0</v>
      </c>
      <c r="BR98" s="1">
        <v>72.027</v>
      </c>
      <c r="BS98" s="1" t="b">
        <v>1</v>
      </c>
      <c r="BT98" s="1" t="b">
        <v>0</v>
      </c>
      <c r="BU98" s="1" t="s">
        <v>105</v>
      </c>
      <c r="BV98" s="1" t="s">
        <v>91</v>
      </c>
      <c r="BW98" s="1" t="s">
        <v>91</v>
      </c>
      <c r="BX98" s="1" t="s">
        <v>91</v>
      </c>
      <c r="BY98" s="1" t="s">
        <v>91</v>
      </c>
      <c r="BZ98" s="1" t="s">
        <v>91</v>
      </c>
      <c r="CA98" s="1" t="s">
        <v>91</v>
      </c>
      <c r="CB98" s="1" t="s">
        <v>91</v>
      </c>
      <c r="CC98" s="1" t="s">
        <v>91</v>
      </c>
      <c r="CD98" s="1" t="s">
        <v>91</v>
      </c>
      <c r="CE98" s="4"/>
      <c r="CF98" s="4"/>
    </row>
    <row r="99" hidden="1">
      <c r="A99" s="1" t="s">
        <v>82</v>
      </c>
      <c r="B99" s="1" t="s">
        <v>262</v>
      </c>
      <c r="C99" s="1">
        <v>20.0</v>
      </c>
      <c r="D99" s="5" t="s">
        <v>549</v>
      </c>
      <c r="E99" s="1" t="s">
        <v>550</v>
      </c>
      <c r="F99" s="1">
        <v>29.0</v>
      </c>
      <c r="G99" s="1">
        <v>0.2732</v>
      </c>
      <c r="H99" s="1" t="s">
        <v>551</v>
      </c>
      <c r="I99" s="4" t="b">
        <f>IFERROR(__xludf.DUMMYFUNCTION("IF(H99="""",,REGEXMATCH(H99,""[א-ת]""))"),FALSE)</f>
        <v>0</v>
      </c>
      <c r="J99" s="4"/>
      <c r="K99" s="4"/>
      <c r="L99" s="1">
        <v>0.3612</v>
      </c>
      <c r="M99" s="1">
        <v>8.05</v>
      </c>
      <c r="N99" s="1">
        <v>86.21</v>
      </c>
      <c r="O99" s="1">
        <v>2.972758621</v>
      </c>
      <c r="P99" s="4"/>
      <c r="Q99" s="4"/>
      <c r="R99" s="1" t="s">
        <v>96</v>
      </c>
      <c r="S99" s="1" t="s">
        <v>550</v>
      </c>
      <c r="T99" s="1" t="s">
        <v>262</v>
      </c>
      <c r="U99" s="1">
        <v>21.0</v>
      </c>
      <c r="V99" s="5" t="s">
        <v>549</v>
      </c>
      <c r="W99" s="1" t="s">
        <v>550</v>
      </c>
      <c r="X99" s="1" t="s">
        <v>552</v>
      </c>
      <c r="Y99" s="4"/>
      <c r="Z99" s="4"/>
      <c r="AA99" s="4" t="b">
        <f>IFERROR(__xludf.DUMMYFUNCTION("IF(X99="""",,REGEXMATCH(X99,""[א-ת]""))"),FALSE)</f>
        <v>0</v>
      </c>
      <c r="AB99" s="1">
        <v>16.47</v>
      </c>
      <c r="AC99" s="1">
        <v>75.86</v>
      </c>
      <c r="AD99" s="1">
        <v>0.32116930537141</v>
      </c>
      <c r="AE99" s="1">
        <v>0.3612</v>
      </c>
      <c r="AF99" s="1">
        <v>0.2732</v>
      </c>
      <c r="AG99" s="1">
        <v>6.337</v>
      </c>
      <c r="AH99" s="1">
        <v>6.781</v>
      </c>
      <c r="AI99" s="1" t="b">
        <v>0</v>
      </c>
      <c r="AJ99" s="1" t="b">
        <v>0</v>
      </c>
      <c r="AK99" s="1">
        <v>94.182</v>
      </c>
      <c r="AL99" s="1">
        <v>96.508</v>
      </c>
      <c r="AM99" s="1" t="b">
        <v>0</v>
      </c>
      <c r="AN99" s="1" t="b">
        <v>0</v>
      </c>
      <c r="AO99" s="1">
        <v>8.05</v>
      </c>
      <c r="AP99" s="1">
        <v>8.53399999999999</v>
      </c>
      <c r="AQ99" s="1" t="b">
        <v>1</v>
      </c>
      <c r="AR99" s="1" t="b">
        <v>0</v>
      </c>
      <c r="AS99" s="1">
        <v>86.9179999999999</v>
      </c>
      <c r="AT99" s="1">
        <v>87.152</v>
      </c>
      <c r="AU99" s="1" t="b">
        <v>0</v>
      </c>
      <c r="AV99" s="1" t="b">
        <v>0</v>
      </c>
      <c r="AW99" s="1">
        <v>9.61399999999999</v>
      </c>
      <c r="AX99" s="1">
        <v>11.026</v>
      </c>
      <c r="AY99" s="1" t="b">
        <v>1</v>
      </c>
      <c r="AZ99" s="1" t="b">
        <v>0</v>
      </c>
      <c r="BA99" s="1">
        <v>81.25</v>
      </c>
      <c r="BB99" s="1">
        <v>77.78</v>
      </c>
      <c r="BC99" s="1" t="b">
        <v>1</v>
      </c>
      <c r="BD99" s="1" t="b">
        <v>0</v>
      </c>
      <c r="BE99" s="1">
        <v>11.34</v>
      </c>
      <c r="BF99" s="1">
        <v>13.285</v>
      </c>
      <c r="BG99" s="1" t="b">
        <v>1</v>
      </c>
      <c r="BH99" s="1" t="b">
        <v>0</v>
      </c>
      <c r="BI99" s="1">
        <v>77.78</v>
      </c>
      <c r="BJ99" s="1">
        <v>75.0</v>
      </c>
      <c r="BK99" s="1" t="b">
        <v>1</v>
      </c>
      <c r="BL99" s="1" t="b">
        <v>1</v>
      </c>
      <c r="BM99" s="1">
        <v>13.121</v>
      </c>
      <c r="BN99" s="1">
        <v>14.568</v>
      </c>
      <c r="BO99" s="1" t="b">
        <v>1</v>
      </c>
      <c r="BP99" s="1" t="b">
        <v>0</v>
      </c>
      <c r="BQ99" s="1">
        <v>75.0</v>
      </c>
      <c r="BR99" s="1">
        <v>72.027</v>
      </c>
      <c r="BS99" s="1" t="b">
        <v>1</v>
      </c>
      <c r="BT99" s="1" t="b">
        <v>1</v>
      </c>
      <c r="BU99" s="1" t="s">
        <v>105</v>
      </c>
      <c r="BV99" s="1" t="s">
        <v>105</v>
      </c>
      <c r="BW99" s="1" t="s">
        <v>91</v>
      </c>
      <c r="BX99" s="1" t="s">
        <v>105</v>
      </c>
      <c r="BY99" s="1" t="s">
        <v>91</v>
      </c>
      <c r="BZ99" s="1" t="s">
        <v>91</v>
      </c>
      <c r="CA99" s="1" t="s">
        <v>91</v>
      </c>
      <c r="CB99" s="1" t="s">
        <v>104</v>
      </c>
      <c r="CC99" s="1" t="s">
        <v>91</v>
      </c>
      <c r="CD99" s="1" t="s">
        <v>104</v>
      </c>
      <c r="CE99" s="4"/>
      <c r="CF99" s="4"/>
    </row>
    <row r="100" hidden="1">
      <c r="A100" s="1" t="s">
        <v>82</v>
      </c>
      <c r="B100" s="1" t="s">
        <v>139</v>
      </c>
      <c r="C100" s="1">
        <v>1.0</v>
      </c>
      <c r="D100" s="5" t="s">
        <v>553</v>
      </c>
      <c r="E100" s="1" t="s">
        <v>554</v>
      </c>
      <c r="F100" s="1">
        <v>6.0</v>
      </c>
      <c r="G100" s="1">
        <v>0.0</v>
      </c>
      <c r="H100" s="1" t="s">
        <v>555</v>
      </c>
      <c r="I100" s="4" t="b">
        <f>IFERROR(__xludf.DUMMYFUNCTION("IF(H100="""",,REGEXMATCH(H100,""[א-ת]""))"),FALSE)</f>
        <v>0</v>
      </c>
      <c r="J100" s="4"/>
      <c r="K100" s="4"/>
      <c r="L100" s="1">
        <v>0.3612</v>
      </c>
      <c r="M100" s="1">
        <v>8.05</v>
      </c>
      <c r="N100" s="1">
        <v>100.0</v>
      </c>
      <c r="O100" s="1">
        <v>16.66666667</v>
      </c>
      <c r="P100" s="4"/>
      <c r="Q100" s="4"/>
      <c r="R100" s="1" t="s">
        <v>96</v>
      </c>
      <c r="S100" s="1" t="s">
        <v>554</v>
      </c>
      <c r="T100" s="1" t="s">
        <v>139</v>
      </c>
      <c r="U100" s="1">
        <v>2.0</v>
      </c>
      <c r="V100" s="5" t="s">
        <v>553</v>
      </c>
      <c r="W100" s="1" t="s">
        <v>554</v>
      </c>
      <c r="X100" s="1" t="s">
        <v>556</v>
      </c>
      <c r="Y100" s="4"/>
      <c r="Z100" s="4"/>
      <c r="AA100" s="4" t="b">
        <f>IFERROR(__xludf.DUMMYFUNCTION("IF(X100="""",,REGEXMATCH(X100,""[א-ת]""))"),FALSE)</f>
        <v>0</v>
      </c>
      <c r="AB100" s="1">
        <v>31.56</v>
      </c>
      <c r="AC100" s="1">
        <v>50.0</v>
      </c>
      <c r="AD100" s="1">
        <v>0.648914162870624</v>
      </c>
      <c r="AE100" s="1">
        <v>0.3612</v>
      </c>
      <c r="AF100" s="1">
        <v>0.0</v>
      </c>
      <c r="AG100" s="1">
        <v>6.337</v>
      </c>
      <c r="AH100" s="1">
        <v>6.781</v>
      </c>
      <c r="AI100" s="1" t="b">
        <v>0</v>
      </c>
      <c r="AJ100" s="1" t="b">
        <v>0</v>
      </c>
      <c r="AK100" s="1">
        <v>94.182</v>
      </c>
      <c r="AL100" s="1">
        <v>96.508</v>
      </c>
      <c r="AM100" s="1" t="b">
        <v>1</v>
      </c>
      <c r="AN100" s="1" t="b">
        <v>0</v>
      </c>
      <c r="AO100" s="1">
        <v>8.05</v>
      </c>
      <c r="AP100" s="1">
        <v>8.53399999999999</v>
      </c>
      <c r="AQ100" s="1" t="b">
        <v>1</v>
      </c>
      <c r="AR100" s="1" t="b">
        <v>0</v>
      </c>
      <c r="AS100" s="1">
        <v>86.9179999999999</v>
      </c>
      <c r="AT100" s="1">
        <v>87.152</v>
      </c>
      <c r="AU100" s="1" t="b">
        <v>1</v>
      </c>
      <c r="AV100" s="1" t="b">
        <v>0</v>
      </c>
      <c r="AW100" s="1">
        <v>9.61399999999999</v>
      </c>
      <c r="AX100" s="1">
        <v>11.026</v>
      </c>
      <c r="AY100" s="1" t="b">
        <v>1</v>
      </c>
      <c r="AZ100" s="1" t="b">
        <v>0</v>
      </c>
      <c r="BA100" s="1">
        <v>81.25</v>
      </c>
      <c r="BB100" s="1">
        <v>77.78</v>
      </c>
      <c r="BC100" s="1" t="b">
        <v>1</v>
      </c>
      <c r="BD100" s="1" t="b">
        <v>0</v>
      </c>
      <c r="BE100" s="1">
        <v>11.34</v>
      </c>
      <c r="BF100" s="1">
        <v>13.285</v>
      </c>
      <c r="BG100" s="1" t="b">
        <v>1</v>
      </c>
      <c r="BH100" s="1" t="b">
        <v>0</v>
      </c>
      <c r="BI100" s="1">
        <v>77.78</v>
      </c>
      <c r="BJ100" s="1">
        <v>75.0</v>
      </c>
      <c r="BK100" s="1" t="b">
        <v>1</v>
      </c>
      <c r="BL100" s="1" t="b">
        <v>0</v>
      </c>
      <c r="BM100" s="1">
        <v>13.121</v>
      </c>
      <c r="BN100" s="1">
        <v>14.568</v>
      </c>
      <c r="BO100" s="1" t="b">
        <v>1</v>
      </c>
      <c r="BP100" s="1" t="b">
        <v>0</v>
      </c>
      <c r="BQ100" s="1">
        <v>75.0</v>
      </c>
      <c r="BR100" s="1">
        <v>72.027</v>
      </c>
      <c r="BS100" s="1" t="b">
        <v>1</v>
      </c>
      <c r="BT100" s="1" t="b">
        <v>0</v>
      </c>
      <c r="BU100" s="1" t="s">
        <v>105</v>
      </c>
      <c r="BV100" s="1" t="s">
        <v>91</v>
      </c>
      <c r="BW100" s="1" t="s">
        <v>91</v>
      </c>
      <c r="BX100" s="1" t="s">
        <v>91</v>
      </c>
      <c r="BY100" s="1" t="s">
        <v>91</v>
      </c>
      <c r="BZ100" s="1" t="s">
        <v>91</v>
      </c>
      <c r="CA100" s="1" t="s">
        <v>91</v>
      </c>
      <c r="CB100" s="1" t="s">
        <v>91</v>
      </c>
      <c r="CC100" s="1" t="s">
        <v>91</v>
      </c>
      <c r="CD100" s="1" t="s">
        <v>91</v>
      </c>
      <c r="CE100" s="4"/>
      <c r="CF100" s="4"/>
    </row>
    <row r="101" hidden="1">
      <c r="A101" s="1" t="s">
        <v>82</v>
      </c>
      <c r="B101" s="1" t="s">
        <v>123</v>
      </c>
      <c r="C101" s="1">
        <v>22.0</v>
      </c>
      <c r="D101" s="5" t="s">
        <v>557</v>
      </c>
      <c r="E101" s="1" t="s">
        <v>558</v>
      </c>
      <c r="F101" s="1">
        <v>45.0</v>
      </c>
      <c r="G101" s="1">
        <v>-0.5859</v>
      </c>
      <c r="H101" s="1" t="s">
        <v>559</v>
      </c>
      <c r="I101" s="4" t="b">
        <f>IFERROR(__xludf.DUMMYFUNCTION("IF(H101="""",,REGEXMATCH(H101,""[א-ת]""))"),FALSE)</f>
        <v>0</v>
      </c>
      <c r="J101" s="4"/>
      <c r="K101" s="4"/>
      <c r="L101" s="1">
        <v>0.0</v>
      </c>
      <c r="M101" s="1">
        <v>8.19</v>
      </c>
      <c r="N101" s="1">
        <v>80.0</v>
      </c>
      <c r="O101" s="1">
        <v>1.777777778</v>
      </c>
      <c r="P101" s="4"/>
      <c r="Q101" s="4"/>
      <c r="R101" s="1" t="s">
        <v>127</v>
      </c>
      <c r="S101" s="1" t="s">
        <v>558</v>
      </c>
      <c r="T101" s="1" t="s">
        <v>123</v>
      </c>
      <c r="U101" s="1">
        <v>23.0</v>
      </c>
      <c r="V101" s="5" t="s">
        <v>557</v>
      </c>
      <c r="W101" s="1" t="s">
        <v>558</v>
      </c>
      <c r="X101" s="1" t="s">
        <v>560</v>
      </c>
      <c r="Y101" s="4"/>
      <c r="Z101" s="4"/>
      <c r="AA101" s="4" t="b">
        <f>IFERROR(__xludf.DUMMYFUNCTION("IF(X101="""",,REGEXMATCH(X101,""[א-ת]""))"),FALSE)</f>
        <v>0</v>
      </c>
      <c r="AB101" s="1">
        <v>13.12</v>
      </c>
      <c r="AC101" s="1">
        <v>73.33</v>
      </c>
      <c r="AD101" s="1">
        <v>0.431044114113972</v>
      </c>
      <c r="AE101" s="1">
        <v>0.162</v>
      </c>
      <c r="AF101" s="1">
        <v>-0.5859</v>
      </c>
      <c r="AG101" s="1">
        <v>6.337</v>
      </c>
      <c r="AH101" s="1">
        <v>6.781</v>
      </c>
      <c r="AI101" s="1" t="b">
        <v>0</v>
      </c>
      <c r="AJ101" s="1" t="b">
        <v>0</v>
      </c>
      <c r="AK101" s="1">
        <v>94.182</v>
      </c>
      <c r="AL101" s="1">
        <v>96.508</v>
      </c>
      <c r="AM101" s="1" t="b">
        <v>0</v>
      </c>
      <c r="AN101" s="1" t="b">
        <v>0</v>
      </c>
      <c r="AO101" s="1">
        <v>8.05</v>
      </c>
      <c r="AP101" s="1">
        <v>8.53399999999999</v>
      </c>
      <c r="AQ101" s="1" t="b">
        <v>0</v>
      </c>
      <c r="AR101" s="1" t="b">
        <v>0</v>
      </c>
      <c r="AS101" s="1">
        <v>86.9179999999999</v>
      </c>
      <c r="AT101" s="1">
        <v>87.152</v>
      </c>
      <c r="AU101" s="1" t="b">
        <v>0</v>
      </c>
      <c r="AV101" s="1" t="b">
        <v>0</v>
      </c>
      <c r="AW101" s="1">
        <v>9.61399999999999</v>
      </c>
      <c r="AX101" s="1">
        <v>11.026</v>
      </c>
      <c r="AY101" s="1" t="b">
        <v>1</v>
      </c>
      <c r="AZ101" s="1" t="b">
        <v>0</v>
      </c>
      <c r="BA101" s="1">
        <v>81.25</v>
      </c>
      <c r="BB101" s="1">
        <v>77.78</v>
      </c>
      <c r="BC101" s="1" t="b">
        <v>0</v>
      </c>
      <c r="BD101" s="1" t="b">
        <v>0</v>
      </c>
      <c r="BE101" s="1">
        <v>11.34</v>
      </c>
      <c r="BF101" s="1">
        <v>13.285</v>
      </c>
      <c r="BG101" s="1" t="b">
        <v>1</v>
      </c>
      <c r="BH101" s="1" t="b">
        <v>1</v>
      </c>
      <c r="BI101" s="1">
        <v>77.78</v>
      </c>
      <c r="BJ101" s="1">
        <v>75.0</v>
      </c>
      <c r="BK101" s="1" t="b">
        <v>1</v>
      </c>
      <c r="BL101" s="1" t="b">
        <v>0</v>
      </c>
      <c r="BM101" s="1">
        <v>13.121</v>
      </c>
      <c r="BN101" s="1">
        <v>14.568</v>
      </c>
      <c r="BO101" s="1" t="b">
        <v>1</v>
      </c>
      <c r="BP101" s="1" t="b">
        <v>1</v>
      </c>
      <c r="BQ101" s="1">
        <v>75.0</v>
      </c>
      <c r="BR101" s="1">
        <v>72.027</v>
      </c>
      <c r="BS101" s="1" t="b">
        <v>1</v>
      </c>
      <c r="BT101" s="1" t="b">
        <v>1</v>
      </c>
      <c r="BU101" s="1" t="s">
        <v>105</v>
      </c>
      <c r="BV101" s="1" t="s">
        <v>105</v>
      </c>
      <c r="BW101" s="1" t="s">
        <v>105</v>
      </c>
      <c r="BX101" s="1" t="s">
        <v>105</v>
      </c>
      <c r="BY101" s="1" t="s">
        <v>91</v>
      </c>
      <c r="BZ101" s="1" t="s">
        <v>105</v>
      </c>
      <c r="CA101" s="1" t="s">
        <v>104</v>
      </c>
      <c r="CB101" s="1" t="s">
        <v>91</v>
      </c>
      <c r="CC101" s="1" t="s">
        <v>104</v>
      </c>
      <c r="CD101" s="1" t="s">
        <v>104</v>
      </c>
      <c r="CE101" s="4"/>
      <c r="CF101" s="4"/>
    </row>
    <row r="102" hidden="1">
      <c r="A102" s="1" t="s">
        <v>82</v>
      </c>
      <c r="B102" s="1" t="s">
        <v>145</v>
      </c>
      <c r="C102" s="1">
        <v>25.0</v>
      </c>
      <c r="D102" s="5" t="s">
        <v>561</v>
      </c>
      <c r="E102" s="1" t="s">
        <v>562</v>
      </c>
      <c r="F102" s="1">
        <v>46.0</v>
      </c>
      <c r="G102" s="1">
        <v>-0.296</v>
      </c>
      <c r="H102" s="1" t="s">
        <v>563</v>
      </c>
      <c r="I102" s="4" t="b">
        <f>IFERROR(__xludf.DUMMYFUNCTION("IF(H102="""",,REGEXMATCH(H102,""[א-ת]""))"),FALSE)</f>
        <v>0</v>
      </c>
      <c r="J102" s="4"/>
      <c r="K102" s="4"/>
      <c r="L102" s="1">
        <v>-0.2023</v>
      </c>
      <c r="M102" s="1">
        <v>8.21</v>
      </c>
      <c r="N102" s="1">
        <v>93.48</v>
      </c>
      <c r="O102" s="1">
        <v>2.032173913</v>
      </c>
      <c r="P102" s="4"/>
      <c r="Q102" s="4"/>
      <c r="R102" s="1" t="s">
        <v>89</v>
      </c>
      <c r="S102" s="1" t="s">
        <v>562</v>
      </c>
      <c r="T102" s="1" t="s">
        <v>145</v>
      </c>
      <c r="U102" s="1">
        <v>26.0</v>
      </c>
      <c r="V102" s="5" t="s">
        <v>561</v>
      </c>
      <c r="W102" s="1" t="s">
        <v>562</v>
      </c>
      <c r="X102" s="1" t="s">
        <v>564</v>
      </c>
      <c r="Y102" s="4"/>
      <c r="Z102" s="4"/>
      <c r="AA102" s="4" t="b">
        <f>IFERROR(__xludf.DUMMYFUNCTION("IF(X102="""",,REGEXMATCH(X102,""[א-ת]""))"),FALSE)</f>
        <v>0</v>
      </c>
      <c r="AB102" s="1">
        <v>14.77</v>
      </c>
      <c r="AC102" s="1">
        <v>73.91</v>
      </c>
      <c r="AD102" s="1">
        <v>0.354715614296574</v>
      </c>
      <c r="AE102" s="1">
        <v>-0.5267</v>
      </c>
      <c r="AF102" s="1">
        <v>-0.296</v>
      </c>
      <c r="AG102" s="1">
        <v>6.337</v>
      </c>
      <c r="AH102" s="1">
        <v>6.781</v>
      </c>
      <c r="AI102" s="1" t="b">
        <v>0</v>
      </c>
      <c r="AJ102" s="1" t="b">
        <v>0</v>
      </c>
      <c r="AK102" s="1">
        <v>94.182</v>
      </c>
      <c r="AL102" s="1">
        <v>96.508</v>
      </c>
      <c r="AM102" s="1" t="b">
        <v>0</v>
      </c>
      <c r="AN102" s="1" t="b">
        <v>0</v>
      </c>
      <c r="AO102" s="1">
        <v>8.05</v>
      </c>
      <c r="AP102" s="1">
        <v>8.53399999999999</v>
      </c>
      <c r="AQ102" s="1" t="b">
        <v>0</v>
      </c>
      <c r="AR102" s="1" t="b">
        <v>0</v>
      </c>
      <c r="AS102" s="1">
        <v>86.9179999999999</v>
      </c>
      <c r="AT102" s="1">
        <v>87.152</v>
      </c>
      <c r="AU102" s="1" t="b">
        <v>1</v>
      </c>
      <c r="AV102" s="1" t="b">
        <v>0</v>
      </c>
      <c r="AW102" s="1">
        <v>9.61399999999999</v>
      </c>
      <c r="AX102" s="1">
        <v>11.026</v>
      </c>
      <c r="AY102" s="1" t="b">
        <v>1</v>
      </c>
      <c r="AZ102" s="1" t="b">
        <v>0</v>
      </c>
      <c r="BA102" s="1">
        <v>81.25</v>
      </c>
      <c r="BB102" s="1">
        <v>77.78</v>
      </c>
      <c r="BC102" s="1" t="b">
        <v>1</v>
      </c>
      <c r="BD102" s="1" t="b">
        <v>0</v>
      </c>
      <c r="BE102" s="1">
        <v>11.34</v>
      </c>
      <c r="BF102" s="1">
        <v>13.285</v>
      </c>
      <c r="BG102" s="1" t="b">
        <v>1</v>
      </c>
      <c r="BH102" s="1" t="b">
        <v>0</v>
      </c>
      <c r="BI102" s="1">
        <v>77.78</v>
      </c>
      <c r="BJ102" s="1">
        <v>75.0</v>
      </c>
      <c r="BK102" s="1" t="b">
        <v>1</v>
      </c>
      <c r="BL102" s="1" t="b">
        <v>0</v>
      </c>
      <c r="BM102" s="1">
        <v>13.121</v>
      </c>
      <c r="BN102" s="1">
        <v>14.568</v>
      </c>
      <c r="BO102" s="1" t="b">
        <v>1</v>
      </c>
      <c r="BP102" s="1" t="b">
        <v>0</v>
      </c>
      <c r="BQ102" s="1">
        <v>75.0</v>
      </c>
      <c r="BR102" s="1">
        <v>72.027</v>
      </c>
      <c r="BS102" s="1" t="b">
        <v>1</v>
      </c>
      <c r="BT102" s="1" t="b">
        <v>1</v>
      </c>
      <c r="BU102" s="1" t="s">
        <v>105</v>
      </c>
      <c r="BV102" s="1" t="s">
        <v>105</v>
      </c>
      <c r="BW102" s="1" t="s">
        <v>105</v>
      </c>
      <c r="BX102" s="1" t="s">
        <v>91</v>
      </c>
      <c r="BY102" s="1" t="s">
        <v>91</v>
      </c>
      <c r="BZ102" s="1" t="s">
        <v>91</v>
      </c>
      <c r="CA102" s="1" t="s">
        <v>91</v>
      </c>
      <c r="CB102" s="1" t="s">
        <v>91</v>
      </c>
      <c r="CC102" s="1" t="s">
        <v>91</v>
      </c>
      <c r="CD102" s="1" t="s">
        <v>104</v>
      </c>
      <c r="CE102" s="4"/>
      <c r="CF102" s="4"/>
    </row>
    <row r="103" hidden="1">
      <c r="A103" s="1" t="s">
        <v>82</v>
      </c>
      <c r="B103" s="1" t="s">
        <v>116</v>
      </c>
      <c r="C103" s="1">
        <v>1.0</v>
      </c>
      <c r="D103" s="5" t="s">
        <v>565</v>
      </c>
      <c r="E103" s="1" t="s">
        <v>566</v>
      </c>
      <c r="F103" s="1">
        <v>16.0</v>
      </c>
      <c r="G103" s="1">
        <v>-0.296</v>
      </c>
      <c r="H103" s="1" t="s">
        <v>567</v>
      </c>
      <c r="I103" s="4" t="b">
        <f>IFERROR(__xludf.DUMMYFUNCTION("IF(H103="""",,REGEXMATCH(H103,""[א-ת]""))"),FALSE)</f>
        <v>0</v>
      </c>
      <c r="J103" s="4"/>
      <c r="K103" s="4"/>
      <c r="L103" s="1">
        <v>0.4767</v>
      </c>
      <c r="M103" s="1">
        <v>8.28</v>
      </c>
      <c r="N103" s="1">
        <v>81.25</v>
      </c>
      <c r="O103" s="1">
        <v>5.078125</v>
      </c>
      <c r="P103" s="4"/>
      <c r="Q103" s="4"/>
      <c r="R103" s="1" t="s">
        <v>89</v>
      </c>
      <c r="S103" s="1" t="s">
        <v>566</v>
      </c>
      <c r="T103" s="1" t="s">
        <v>116</v>
      </c>
      <c r="U103" s="1">
        <v>2.0</v>
      </c>
      <c r="V103" s="5" t="s">
        <v>565</v>
      </c>
      <c r="W103" s="1" t="s">
        <v>566</v>
      </c>
      <c r="X103" s="1" t="s">
        <v>568</v>
      </c>
      <c r="Y103" s="4"/>
      <c r="Z103" s="4"/>
      <c r="AA103" s="4" t="b">
        <f>IFERROR(__xludf.DUMMYFUNCTION("IF(X103="""",,REGEXMATCH(X103,""[א-ת]""))"),FALSE)</f>
        <v>0</v>
      </c>
      <c r="AB103" s="1">
        <v>13.31</v>
      </c>
      <c r="AC103" s="1">
        <v>75.0</v>
      </c>
      <c r="AD103" s="1">
        <v>0.443697704299762</v>
      </c>
      <c r="AE103" s="1">
        <v>-0.296</v>
      </c>
      <c r="AF103" s="1">
        <v>-0.296</v>
      </c>
      <c r="AG103" s="1">
        <v>6.337</v>
      </c>
      <c r="AH103" s="1">
        <v>6.781</v>
      </c>
      <c r="AI103" s="1" t="b">
        <v>0</v>
      </c>
      <c r="AJ103" s="1" t="b">
        <v>0</v>
      </c>
      <c r="AK103" s="1">
        <v>94.182</v>
      </c>
      <c r="AL103" s="1">
        <v>96.508</v>
      </c>
      <c r="AM103" s="1" t="b">
        <v>0</v>
      </c>
      <c r="AN103" s="1" t="b">
        <v>0</v>
      </c>
      <c r="AO103" s="1">
        <v>8.05</v>
      </c>
      <c r="AP103" s="1">
        <v>8.53399999999999</v>
      </c>
      <c r="AQ103" s="1" t="b">
        <v>0</v>
      </c>
      <c r="AR103" s="1" t="b">
        <v>0</v>
      </c>
      <c r="AS103" s="1">
        <v>86.9179999999999</v>
      </c>
      <c r="AT103" s="1">
        <v>87.152</v>
      </c>
      <c r="AU103" s="1" t="b">
        <v>0</v>
      </c>
      <c r="AV103" s="1" t="b">
        <v>0</v>
      </c>
      <c r="AW103" s="1">
        <v>9.61399999999999</v>
      </c>
      <c r="AX103" s="1">
        <v>11.026</v>
      </c>
      <c r="AY103" s="1" t="b">
        <v>1</v>
      </c>
      <c r="AZ103" s="1" t="b">
        <v>0</v>
      </c>
      <c r="BA103" s="1">
        <v>81.25</v>
      </c>
      <c r="BB103" s="1">
        <v>77.78</v>
      </c>
      <c r="BC103" s="1" t="b">
        <v>1</v>
      </c>
      <c r="BD103" s="1" t="b">
        <v>0</v>
      </c>
      <c r="BE103" s="1">
        <v>11.34</v>
      </c>
      <c r="BF103" s="1">
        <v>13.285</v>
      </c>
      <c r="BG103" s="1" t="b">
        <v>1</v>
      </c>
      <c r="BH103" s="1" t="b">
        <v>0</v>
      </c>
      <c r="BI103" s="1">
        <v>77.78</v>
      </c>
      <c r="BJ103" s="1">
        <v>75.0</v>
      </c>
      <c r="BK103" s="1" t="b">
        <v>1</v>
      </c>
      <c r="BL103" s="1" t="b">
        <v>1</v>
      </c>
      <c r="BM103" s="1">
        <v>13.121</v>
      </c>
      <c r="BN103" s="1">
        <v>14.568</v>
      </c>
      <c r="BO103" s="1" t="b">
        <v>1</v>
      </c>
      <c r="BP103" s="1" t="b">
        <v>1</v>
      </c>
      <c r="BQ103" s="1">
        <v>75.0</v>
      </c>
      <c r="BR103" s="1">
        <v>72.027</v>
      </c>
      <c r="BS103" s="1" t="b">
        <v>1</v>
      </c>
      <c r="BT103" s="1" t="b">
        <v>1</v>
      </c>
      <c r="BU103" s="1" t="s">
        <v>105</v>
      </c>
      <c r="BV103" s="1" t="s">
        <v>105</v>
      </c>
      <c r="BW103" s="1" t="s">
        <v>105</v>
      </c>
      <c r="BX103" s="1" t="s">
        <v>105</v>
      </c>
      <c r="BY103" s="1" t="s">
        <v>91</v>
      </c>
      <c r="BZ103" s="1" t="s">
        <v>91</v>
      </c>
      <c r="CA103" s="1" t="s">
        <v>91</v>
      </c>
      <c r="CB103" s="1" t="s">
        <v>104</v>
      </c>
      <c r="CC103" s="1" t="s">
        <v>104</v>
      </c>
      <c r="CD103" s="1" t="s">
        <v>104</v>
      </c>
      <c r="CE103" s="4"/>
      <c r="CF103" s="4"/>
    </row>
    <row r="104" hidden="1">
      <c r="A104" s="1" t="s">
        <v>82</v>
      </c>
      <c r="B104" s="1" t="s">
        <v>524</v>
      </c>
      <c r="C104" s="1">
        <v>16.0</v>
      </c>
      <c r="D104" s="5" t="s">
        <v>569</v>
      </c>
      <c r="E104" s="1" t="s">
        <v>570</v>
      </c>
      <c r="F104" s="1">
        <v>31.0</v>
      </c>
      <c r="G104" s="1">
        <v>0.34</v>
      </c>
      <c r="H104" s="1" t="s">
        <v>571</v>
      </c>
      <c r="I104" s="4" t="b">
        <f>IFERROR(__xludf.DUMMYFUNCTION("IF(H104="""",,REGEXMATCH(H104,""[א-ת]""))"),FALSE)</f>
        <v>0</v>
      </c>
      <c r="J104" s="4"/>
      <c r="K104" s="4"/>
      <c r="L104" s="1">
        <v>-0.5423</v>
      </c>
      <c r="M104" s="1">
        <v>8.28</v>
      </c>
      <c r="N104" s="1">
        <v>87.1</v>
      </c>
      <c r="O104" s="1">
        <v>2.809677419</v>
      </c>
      <c r="P104" s="4"/>
      <c r="Q104" s="4"/>
      <c r="R104" s="1" t="s">
        <v>89</v>
      </c>
      <c r="S104" s="1" t="s">
        <v>570</v>
      </c>
      <c r="T104" s="1" t="s">
        <v>524</v>
      </c>
      <c r="U104" s="1">
        <v>17.0</v>
      </c>
      <c r="V104" s="5" t="s">
        <v>569</v>
      </c>
      <c r="W104" s="1" t="s">
        <v>570</v>
      </c>
      <c r="X104" s="1" t="s">
        <v>572</v>
      </c>
      <c r="Y104" s="4"/>
      <c r="Z104" s="4"/>
      <c r="AA104" s="4" t="b">
        <f>IFERROR(__xludf.DUMMYFUNCTION("IF(X104="""",,REGEXMATCH(X104,""[א-ת]""))"),FALSE)</f>
        <v>0</v>
      </c>
      <c r="AB104" s="1">
        <v>7.76</v>
      </c>
      <c r="AC104" s="1">
        <v>77.42</v>
      </c>
      <c r="AD104" s="1">
        <v>0.458394813222175</v>
      </c>
      <c r="AE104" s="1">
        <v>-0.5106</v>
      </c>
      <c r="AF104" s="1">
        <v>0.34</v>
      </c>
      <c r="AG104" s="1">
        <v>6.337</v>
      </c>
      <c r="AH104" s="1">
        <v>6.781</v>
      </c>
      <c r="AI104" s="1" t="b">
        <v>0</v>
      </c>
      <c r="AJ104" s="1" t="b">
        <v>0</v>
      </c>
      <c r="AK104" s="1">
        <v>94.182</v>
      </c>
      <c r="AL104" s="1">
        <v>96.508</v>
      </c>
      <c r="AM104" s="1" t="b">
        <v>0</v>
      </c>
      <c r="AN104" s="1" t="b">
        <v>0</v>
      </c>
      <c r="AO104" s="1">
        <v>8.05</v>
      </c>
      <c r="AP104" s="1">
        <v>8.53399999999999</v>
      </c>
      <c r="AQ104" s="1" t="b">
        <v>0</v>
      </c>
      <c r="AR104" s="1" t="b">
        <v>1</v>
      </c>
      <c r="AS104" s="1">
        <v>86.9179999999999</v>
      </c>
      <c r="AT104" s="1">
        <v>87.152</v>
      </c>
      <c r="AU104" s="1" t="b">
        <v>1</v>
      </c>
      <c r="AV104" s="1" t="b">
        <v>0</v>
      </c>
      <c r="AW104" s="1">
        <v>9.61399999999999</v>
      </c>
      <c r="AX104" s="1">
        <v>11.026</v>
      </c>
      <c r="AY104" s="1" t="b">
        <v>1</v>
      </c>
      <c r="AZ104" s="1" t="b">
        <v>1</v>
      </c>
      <c r="BA104" s="1">
        <v>81.25</v>
      </c>
      <c r="BB104" s="1">
        <v>77.78</v>
      </c>
      <c r="BC104" s="1" t="b">
        <v>1</v>
      </c>
      <c r="BD104" s="1" t="b">
        <v>0</v>
      </c>
      <c r="BE104" s="1">
        <v>11.34</v>
      </c>
      <c r="BF104" s="1">
        <v>13.285</v>
      </c>
      <c r="BG104" s="1" t="b">
        <v>1</v>
      </c>
      <c r="BH104" s="1" t="b">
        <v>1</v>
      </c>
      <c r="BI104" s="1">
        <v>77.78</v>
      </c>
      <c r="BJ104" s="1">
        <v>75.0</v>
      </c>
      <c r="BK104" s="1" t="b">
        <v>1</v>
      </c>
      <c r="BL104" s="1" t="b">
        <v>1</v>
      </c>
      <c r="BM104" s="1">
        <v>13.121</v>
      </c>
      <c r="BN104" s="1">
        <v>14.568</v>
      </c>
      <c r="BO104" s="1" t="b">
        <v>1</v>
      </c>
      <c r="BP104" s="1" t="b">
        <v>1</v>
      </c>
      <c r="BQ104" s="1">
        <v>75.0</v>
      </c>
      <c r="BR104" s="1">
        <v>72.027</v>
      </c>
      <c r="BS104" s="1" t="b">
        <v>1</v>
      </c>
      <c r="BT104" s="1" t="b">
        <v>1</v>
      </c>
      <c r="BU104" s="1" t="s">
        <v>105</v>
      </c>
      <c r="BV104" s="1" t="s">
        <v>105</v>
      </c>
      <c r="BW104" s="1" t="s">
        <v>157</v>
      </c>
      <c r="BX104" s="1" t="s">
        <v>91</v>
      </c>
      <c r="BY104" s="1" t="s">
        <v>104</v>
      </c>
      <c r="BZ104" s="1" t="s">
        <v>91</v>
      </c>
      <c r="CA104" s="1" t="s">
        <v>104</v>
      </c>
      <c r="CB104" s="1" t="s">
        <v>104</v>
      </c>
      <c r="CC104" s="1" t="s">
        <v>104</v>
      </c>
      <c r="CD104" s="1" t="s">
        <v>104</v>
      </c>
      <c r="CE104" s="4"/>
      <c r="CF104" s="4"/>
    </row>
    <row r="105" hidden="1">
      <c r="A105" s="1" t="s">
        <v>82</v>
      </c>
      <c r="B105" s="1" t="s">
        <v>92</v>
      </c>
      <c r="C105" s="1">
        <v>20.0</v>
      </c>
      <c r="D105" s="5" t="s">
        <v>573</v>
      </c>
      <c r="E105" s="1" t="s">
        <v>574</v>
      </c>
      <c r="F105" s="1">
        <v>9.0</v>
      </c>
      <c r="G105" s="1">
        <v>0.0</v>
      </c>
      <c r="H105" s="1" t="s">
        <v>575</v>
      </c>
      <c r="I105" s="4" t="b">
        <f>IFERROR(__xludf.DUMMYFUNCTION("IF(H105="""",,REGEXMATCH(H105,""[א-ת]""))"),FALSE)</f>
        <v>0</v>
      </c>
      <c r="J105" s="4"/>
      <c r="K105" s="4"/>
      <c r="L105" s="1">
        <v>-0.4019</v>
      </c>
      <c r="M105" s="1">
        <v>8.3</v>
      </c>
      <c r="N105" s="1">
        <v>77.78</v>
      </c>
      <c r="O105" s="1">
        <v>8.642222222</v>
      </c>
      <c r="P105" s="4"/>
      <c r="Q105" s="4"/>
      <c r="R105" s="1" t="s">
        <v>96</v>
      </c>
      <c r="S105" s="1" t="s">
        <v>574</v>
      </c>
      <c r="T105" s="1" t="s">
        <v>92</v>
      </c>
      <c r="U105" s="1">
        <v>21.0</v>
      </c>
      <c r="V105" s="5" t="s">
        <v>573</v>
      </c>
      <c r="W105" s="1" t="s">
        <v>574</v>
      </c>
      <c r="X105" s="1" t="s">
        <v>576</v>
      </c>
      <c r="Y105" s="4"/>
      <c r="Z105" s="4"/>
      <c r="AA105" s="4" t="b">
        <f>IFERROR(__xludf.DUMMYFUNCTION("IF(X105="""",,REGEXMATCH(X105,""[א-ת]""))"),FALSE)</f>
        <v>0</v>
      </c>
      <c r="AB105" s="1">
        <v>19.07</v>
      </c>
      <c r="AC105" s="1">
        <v>55.56</v>
      </c>
      <c r="AD105" s="1">
        <v>0.210401748982959</v>
      </c>
      <c r="AE105" s="1">
        <v>-0.4019</v>
      </c>
      <c r="AF105" s="1">
        <v>0.0</v>
      </c>
      <c r="AG105" s="1">
        <v>6.337</v>
      </c>
      <c r="AH105" s="1">
        <v>6.781</v>
      </c>
      <c r="AI105" s="1" t="b">
        <v>0</v>
      </c>
      <c r="AJ105" s="1" t="b">
        <v>0</v>
      </c>
      <c r="AK105" s="1">
        <v>94.182</v>
      </c>
      <c r="AL105" s="1">
        <v>96.508</v>
      </c>
      <c r="AM105" s="1" t="b">
        <v>0</v>
      </c>
      <c r="AN105" s="1" t="b">
        <v>0</v>
      </c>
      <c r="AO105" s="1">
        <v>8.05</v>
      </c>
      <c r="AP105" s="1">
        <v>8.53399999999999</v>
      </c>
      <c r="AQ105" s="1" t="b">
        <v>0</v>
      </c>
      <c r="AR105" s="1" t="b">
        <v>0</v>
      </c>
      <c r="AS105" s="1">
        <v>86.9179999999999</v>
      </c>
      <c r="AT105" s="1">
        <v>87.152</v>
      </c>
      <c r="AU105" s="1" t="b">
        <v>0</v>
      </c>
      <c r="AV105" s="1" t="b">
        <v>0</v>
      </c>
      <c r="AW105" s="1">
        <v>9.61399999999999</v>
      </c>
      <c r="AX105" s="1">
        <v>11.026</v>
      </c>
      <c r="AY105" s="1" t="b">
        <v>1</v>
      </c>
      <c r="AZ105" s="1" t="b">
        <v>0</v>
      </c>
      <c r="BA105" s="1">
        <v>81.25</v>
      </c>
      <c r="BB105" s="1">
        <v>77.78</v>
      </c>
      <c r="BC105" s="1" t="b">
        <v>0</v>
      </c>
      <c r="BD105" s="1" t="b">
        <v>0</v>
      </c>
      <c r="BE105" s="1">
        <v>11.34</v>
      </c>
      <c r="BF105" s="1">
        <v>13.285</v>
      </c>
      <c r="BG105" s="1" t="b">
        <v>1</v>
      </c>
      <c r="BH105" s="1" t="b">
        <v>0</v>
      </c>
      <c r="BI105" s="1">
        <v>77.78</v>
      </c>
      <c r="BJ105" s="1">
        <v>75.0</v>
      </c>
      <c r="BK105" s="1" t="b">
        <v>1</v>
      </c>
      <c r="BL105" s="1" t="b">
        <v>0</v>
      </c>
      <c r="BM105" s="1">
        <v>13.121</v>
      </c>
      <c r="BN105" s="1">
        <v>14.568</v>
      </c>
      <c r="BO105" s="1" t="b">
        <v>1</v>
      </c>
      <c r="BP105" s="1" t="b">
        <v>0</v>
      </c>
      <c r="BQ105" s="1">
        <v>75.0</v>
      </c>
      <c r="BR105" s="1">
        <v>72.027</v>
      </c>
      <c r="BS105" s="1" t="b">
        <v>1</v>
      </c>
      <c r="BT105" s="1" t="b">
        <v>0</v>
      </c>
      <c r="BU105" s="1" t="s">
        <v>105</v>
      </c>
      <c r="BV105" s="1" t="s">
        <v>105</v>
      </c>
      <c r="BW105" s="1" t="s">
        <v>105</v>
      </c>
      <c r="BX105" s="1" t="s">
        <v>105</v>
      </c>
      <c r="BY105" s="1" t="s">
        <v>91</v>
      </c>
      <c r="BZ105" s="1" t="s">
        <v>105</v>
      </c>
      <c r="CA105" s="1" t="s">
        <v>91</v>
      </c>
      <c r="CB105" s="1" t="s">
        <v>91</v>
      </c>
      <c r="CC105" s="1" t="s">
        <v>91</v>
      </c>
      <c r="CD105" s="1" t="s">
        <v>91</v>
      </c>
      <c r="CE105" s="4"/>
      <c r="CF105" s="4"/>
    </row>
    <row r="106">
      <c r="A106" s="1" t="s">
        <v>82</v>
      </c>
      <c r="B106" s="1" t="s">
        <v>152</v>
      </c>
      <c r="C106" s="1">
        <v>4.0</v>
      </c>
      <c r="D106" s="5" t="s">
        <v>577</v>
      </c>
      <c r="E106" s="1" t="s">
        <v>578</v>
      </c>
      <c r="F106" s="1">
        <v>34.0</v>
      </c>
      <c r="G106" s="1">
        <v>-0.296</v>
      </c>
      <c r="H106" s="1" t="s">
        <v>579</v>
      </c>
      <c r="I106" s="4" t="b">
        <f>IFERROR(__xludf.DUMMYFUNCTION("IF(H106="""",,REGEXMATCH(H106,""[א-ת]""))"),FALSE)</f>
        <v>0</v>
      </c>
      <c r="J106" s="4"/>
      <c r="K106" s="4"/>
      <c r="L106" s="1">
        <v>0.7059</v>
      </c>
      <c r="M106" s="1">
        <v>8.31</v>
      </c>
      <c r="N106" s="1">
        <v>91.18</v>
      </c>
      <c r="O106" s="1">
        <v>2.681764706</v>
      </c>
      <c r="P106" s="4"/>
      <c r="Q106" s="4"/>
      <c r="R106" s="1" t="s">
        <v>89</v>
      </c>
      <c r="S106" s="1" t="s">
        <v>578</v>
      </c>
      <c r="T106" s="1" t="s">
        <v>152</v>
      </c>
      <c r="U106" s="1">
        <v>5.0</v>
      </c>
      <c r="V106" s="5" t="s">
        <v>577</v>
      </c>
      <c r="W106" s="1" t="s">
        <v>578</v>
      </c>
      <c r="X106" s="1" t="s">
        <v>580</v>
      </c>
      <c r="Y106" s="1" t="s">
        <v>581</v>
      </c>
      <c r="Z106" s="1" t="s">
        <v>582</v>
      </c>
      <c r="AA106" s="4" t="b">
        <f>IFERROR(__xludf.DUMMYFUNCTION("IF(X106="""",,REGEXMATCH(X106,""[א-ת]""))"),FALSE)</f>
        <v>0</v>
      </c>
      <c r="AB106" s="1">
        <v>4.85</v>
      </c>
      <c r="AC106" s="1">
        <v>97.06</v>
      </c>
      <c r="AD106" s="1">
        <v>0.267590269827444</v>
      </c>
      <c r="AE106" s="1">
        <v>-0.3736</v>
      </c>
      <c r="AF106" s="1">
        <v>-0.296</v>
      </c>
      <c r="AG106" s="1">
        <v>6.337</v>
      </c>
      <c r="AH106" s="1">
        <v>6.781</v>
      </c>
      <c r="AI106" s="1" t="b">
        <v>0</v>
      </c>
      <c r="AJ106" s="1" t="b">
        <v>1</v>
      </c>
      <c r="AK106" s="1">
        <v>94.182</v>
      </c>
      <c r="AL106" s="1">
        <v>96.508</v>
      </c>
      <c r="AM106" s="1" t="b">
        <v>0</v>
      </c>
      <c r="AN106" s="1" t="b">
        <v>1</v>
      </c>
      <c r="AO106" s="1">
        <v>8.05</v>
      </c>
      <c r="AP106" s="1">
        <v>8.53399999999999</v>
      </c>
      <c r="AQ106" s="1" t="b">
        <v>0</v>
      </c>
      <c r="AR106" s="1" t="b">
        <v>1</v>
      </c>
      <c r="AS106" s="1">
        <v>86.9179999999999</v>
      </c>
      <c r="AT106" s="1">
        <v>87.152</v>
      </c>
      <c r="AU106" s="1" t="b">
        <v>1</v>
      </c>
      <c r="AV106" s="1" t="b">
        <v>1</v>
      </c>
      <c r="AW106" s="1">
        <v>9.61399999999999</v>
      </c>
      <c r="AX106" s="1">
        <v>11.026</v>
      </c>
      <c r="AY106" s="1" t="b">
        <v>1</v>
      </c>
      <c r="AZ106" s="1" t="b">
        <v>1</v>
      </c>
      <c r="BA106" s="1">
        <v>81.25</v>
      </c>
      <c r="BB106" s="1">
        <v>77.78</v>
      </c>
      <c r="BC106" s="1" t="b">
        <v>1</v>
      </c>
      <c r="BD106" s="1" t="b">
        <v>1</v>
      </c>
      <c r="BE106" s="1">
        <v>11.34</v>
      </c>
      <c r="BF106" s="1">
        <v>13.285</v>
      </c>
      <c r="BG106" s="1" t="b">
        <v>1</v>
      </c>
      <c r="BH106" s="1" t="b">
        <v>1</v>
      </c>
      <c r="BI106" s="1">
        <v>77.78</v>
      </c>
      <c r="BJ106" s="1">
        <v>75.0</v>
      </c>
      <c r="BK106" s="1" t="b">
        <v>1</v>
      </c>
      <c r="BL106" s="1" t="b">
        <v>1</v>
      </c>
      <c r="BM106" s="1">
        <v>13.121</v>
      </c>
      <c r="BN106" s="1">
        <v>14.568</v>
      </c>
      <c r="BO106" s="1" t="b">
        <v>1</v>
      </c>
      <c r="BP106" s="1" t="b">
        <v>1</v>
      </c>
      <c r="BQ106" s="1">
        <v>75.0</v>
      </c>
      <c r="BR106" s="1">
        <v>72.027</v>
      </c>
      <c r="BS106" s="1" t="b">
        <v>1</v>
      </c>
      <c r="BT106" s="1" t="b">
        <v>1</v>
      </c>
      <c r="BU106" s="1" t="s">
        <v>157</v>
      </c>
      <c r="BV106" s="1" t="s">
        <v>157</v>
      </c>
      <c r="BW106" s="1" t="s">
        <v>157</v>
      </c>
      <c r="BX106" s="1" t="s">
        <v>104</v>
      </c>
      <c r="BY106" s="1" t="s">
        <v>104</v>
      </c>
      <c r="BZ106" s="1" t="s">
        <v>104</v>
      </c>
      <c r="CA106" s="1" t="s">
        <v>104</v>
      </c>
      <c r="CB106" s="1" t="s">
        <v>104</v>
      </c>
      <c r="CC106" s="1" t="s">
        <v>104</v>
      </c>
      <c r="CD106" s="1" t="s">
        <v>104</v>
      </c>
      <c r="CE106" s="4"/>
      <c r="CF106" s="4"/>
    </row>
    <row r="107" hidden="1">
      <c r="A107" s="1" t="s">
        <v>82</v>
      </c>
      <c r="B107" s="1" t="s">
        <v>145</v>
      </c>
      <c r="C107" s="1">
        <v>29.0</v>
      </c>
      <c r="D107" s="5" t="s">
        <v>583</v>
      </c>
      <c r="E107" s="1" t="s">
        <v>584</v>
      </c>
      <c r="F107" s="1">
        <v>41.0</v>
      </c>
      <c r="G107" s="1">
        <v>0.0</v>
      </c>
      <c r="H107" s="1" t="s">
        <v>585</v>
      </c>
      <c r="I107" s="4" t="b">
        <f>IFERROR(__xludf.DUMMYFUNCTION("IF(H107="""",,REGEXMATCH(H107,""[א-ת]""))"),FALSE)</f>
        <v>0</v>
      </c>
      <c r="J107" s="4"/>
      <c r="K107" s="4"/>
      <c r="L107" s="1">
        <v>0.0</v>
      </c>
      <c r="M107" s="1">
        <v>8.34</v>
      </c>
      <c r="N107" s="1">
        <v>73.17</v>
      </c>
      <c r="O107" s="1">
        <v>1.784634146</v>
      </c>
      <c r="P107" s="4"/>
      <c r="Q107" s="4"/>
      <c r="R107" s="1" t="s">
        <v>89</v>
      </c>
      <c r="S107" s="1" t="s">
        <v>584</v>
      </c>
      <c r="T107" s="1" t="s">
        <v>145</v>
      </c>
      <c r="U107" s="1">
        <v>30.0</v>
      </c>
      <c r="V107" s="5" t="s">
        <v>583</v>
      </c>
      <c r="W107" s="1" t="s">
        <v>584</v>
      </c>
      <c r="X107" s="1" t="s">
        <v>586</v>
      </c>
      <c r="Y107" s="4"/>
      <c r="Z107" s="4"/>
      <c r="AA107" s="4" t="b">
        <f>IFERROR(__xludf.DUMMYFUNCTION("IF(X107="""",,REGEXMATCH(X107,""[א-ת]""))"),FALSE)</f>
        <v>0</v>
      </c>
      <c r="AB107" s="1">
        <v>17.28</v>
      </c>
      <c r="AC107" s="1">
        <v>70.73</v>
      </c>
      <c r="AD107" s="1">
        <v>0.301259029784369</v>
      </c>
      <c r="AE107" s="1">
        <v>0.0</v>
      </c>
      <c r="AF107" s="1">
        <v>0.0</v>
      </c>
      <c r="AG107" s="1">
        <v>6.337</v>
      </c>
      <c r="AH107" s="1">
        <v>6.781</v>
      </c>
      <c r="AI107" s="1" t="b">
        <v>0</v>
      </c>
      <c r="AJ107" s="1" t="b">
        <v>0</v>
      </c>
      <c r="AK107" s="1">
        <v>94.182</v>
      </c>
      <c r="AL107" s="1">
        <v>96.508</v>
      </c>
      <c r="AM107" s="1" t="b">
        <v>0</v>
      </c>
      <c r="AN107" s="1" t="b">
        <v>0</v>
      </c>
      <c r="AO107" s="1">
        <v>8.05</v>
      </c>
      <c r="AP107" s="1">
        <v>8.53399999999999</v>
      </c>
      <c r="AQ107" s="1" t="b">
        <v>0</v>
      </c>
      <c r="AR107" s="1" t="b">
        <v>0</v>
      </c>
      <c r="AS107" s="1">
        <v>86.9179999999999</v>
      </c>
      <c r="AT107" s="1">
        <v>87.152</v>
      </c>
      <c r="AU107" s="1" t="b">
        <v>0</v>
      </c>
      <c r="AV107" s="1" t="b">
        <v>0</v>
      </c>
      <c r="AW107" s="1">
        <v>9.61399999999999</v>
      </c>
      <c r="AX107" s="1">
        <v>11.026</v>
      </c>
      <c r="AY107" s="1" t="b">
        <v>1</v>
      </c>
      <c r="AZ107" s="1" t="b">
        <v>0</v>
      </c>
      <c r="BA107" s="1">
        <v>81.25</v>
      </c>
      <c r="BB107" s="1">
        <v>77.78</v>
      </c>
      <c r="BC107" s="1" t="b">
        <v>0</v>
      </c>
      <c r="BD107" s="1" t="b">
        <v>0</v>
      </c>
      <c r="BE107" s="1">
        <v>11.34</v>
      </c>
      <c r="BF107" s="1">
        <v>13.285</v>
      </c>
      <c r="BG107" s="1" t="b">
        <v>1</v>
      </c>
      <c r="BH107" s="1" t="b">
        <v>0</v>
      </c>
      <c r="BI107" s="1">
        <v>77.78</v>
      </c>
      <c r="BJ107" s="1">
        <v>75.0</v>
      </c>
      <c r="BK107" s="1" t="b">
        <v>0</v>
      </c>
      <c r="BL107" s="1" t="b">
        <v>0</v>
      </c>
      <c r="BM107" s="1">
        <v>13.121</v>
      </c>
      <c r="BN107" s="1">
        <v>14.568</v>
      </c>
      <c r="BO107" s="1" t="b">
        <v>1</v>
      </c>
      <c r="BP107" s="1" t="b">
        <v>0</v>
      </c>
      <c r="BQ107" s="1">
        <v>75.0</v>
      </c>
      <c r="BR107" s="1">
        <v>72.027</v>
      </c>
      <c r="BS107" s="1" t="b">
        <v>0</v>
      </c>
      <c r="BT107" s="1" t="b">
        <v>0</v>
      </c>
      <c r="BU107" s="1" t="s">
        <v>105</v>
      </c>
      <c r="BV107" s="1" t="s">
        <v>105</v>
      </c>
      <c r="BW107" s="1" t="s">
        <v>105</v>
      </c>
      <c r="BX107" s="1" t="s">
        <v>105</v>
      </c>
      <c r="BY107" s="1" t="s">
        <v>91</v>
      </c>
      <c r="BZ107" s="1" t="s">
        <v>105</v>
      </c>
      <c r="CA107" s="1" t="s">
        <v>91</v>
      </c>
      <c r="CB107" s="1" t="s">
        <v>105</v>
      </c>
      <c r="CC107" s="1" t="s">
        <v>91</v>
      </c>
      <c r="CD107" s="1" t="s">
        <v>105</v>
      </c>
      <c r="CE107" s="4"/>
      <c r="CF107" s="4"/>
    </row>
    <row r="108">
      <c r="A108" s="1" t="s">
        <v>82</v>
      </c>
      <c r="B108" s="1" t="s">
        <v>304</v>
      </c>
      <c r="C108" s="1">
        <v>14.0</v>
      </c>
      <c r="D108" s="5" t="s">
        <v>587</v>
      </c>
      <c r="E108" s="1" t="s">
        <v>588</v>
      </c>
      <c r="F108" s="1">
        <v>12.0</v>
      </c>
      <c r="G108" s="1">
        <v>0.0</v>
      </c>
      <c r="H108" s="1" t="s">
        <v>589</v>
      </c>
      <c r="I108" s="4" t="b">
        <f>IFERROR(__xludf.DUMMYFUNCTION("IF(H108="""",,REGEXMATCH(H108,""[א-ת]""))"),FALSE)</f>
        <v>0</v>
      </c>
      <c r="J108" s="4"/>
      <c r="K108" s="4"/>
      <c r="L108" s="1">
        <v>0.0</v>
      </c>
      <c r="M108" s="1">
        <v>8.38</v>
      </c>
      <c r="N108" s="1">
        <v>108.33</v>
      </c>
      <c r="O108" s="1">
        <v>9.0275</v>
      </c>
      <c r="P108" s="4"/>
      <c r="Q108" s="4"/>
      <c r="R108" s="1" t="s">
        <v>89</v>
      </c>
      <c r="S108" s="1" t="s">
        <v>588</v>
      </c>
      <c r="T108" s="1" t="s">
        <v>304</v>
      </c>
      <c r="U108" s="1">
        <v>15.0</v>
      </c>
      <c r="V108" s="5" t="s">
        <v>587</v>
      </c>
      <c r="W108" s="1" t="s">
        <v>588</v>
      </c>
      <c r="X108" s="1" t="s">
        <v>590</v>
      </c>
      <c r="Y108" s="1" t="s">
        <v>591</v>
      </c>
      <c r="Z108" s="1" t="s">
        <v>592</v>
      </c>
      <c r="AA108" s="4" t="b">
        <f>IFERROR(__xludf.DUMMYFUNCTION("IF(X108="""",,REGEXMATCH(X108,""[א-ת]""))"),TRUE)</f>
        <v>1</v>
      </c>
      <c r="AB108" s="1">
        <v>5.4</v>
      </c>
      <c r="AC108" s="1">
        <v>208.33</v>
      </c>
      <c r="AD108" s="1">
        <v>0.428243922636124</v>
      </c>
      <c r="AE108" s="1">
        <v>0.0</v>
      </c>
      <c r="AF108" s="1">
        <v>0.0</v>
      </c>
      <c r="AG108" s="1">
        <v>6.337</v>
      </c>
      <c r="AH108" s="1">
        <v>6.781</v>
      </c>
      <c r="AI108" s="1" t="b">
        <v>0</v>
      </c>
      <c r="AJ108" s="1" t="b">
        <v>1</v>
      </c>
      <c r="AK108" s="1">
        <v>94.182</v>
      </c>
      <c r="AL108" s="1">
        <v>96.508</v>
      </c>
      <c r="AM108" s="1" t="b">
        <v>1</v>
      </c>
      <c r="AN108" s="1" t="b">
        <v>1</v>
      </c>
      <c r="AO108" s="1">
        <v>8.05</v>
      </c>
      <c r="AP108" s="1">
        <v>8.53399999999999</v>
      </c>
      <c r="AQ108" s="1" t="b">
        <v>0</v>
      </c>
      <c r="AR108" s="1" t="b">
        <v>1</v>
      </c>
      <c r="AS108" s="1">
        <v>86.9179999999999</v>
      </c>
      <c r="AT108" s="1">
        <v>87.152</v>
      </c>
      <c r="AU108" s="1" t="b">
        <v>1</v>
      </c>
      <c r="AV108" s="1" t="b">
        <v>1</v>
      </c>
      <c r="AW108" s="1">
        <v>9.61399999999999</v>
      </c>
      <c r="AX108" s="1">
        <v>11.026</v>
      </c>
      <c r="AY108" s="1" t="b">
        <v>1</v>
      </c>
      <c r="AZ108" s="1" t="b">
        <v>1</v>
      </c>
      <c r="BA108" s="1">
        <v>81.25</v>
      </c>
      <c r="BB108" s="1">
        <v>77.78</v>
      </c>
      <c r="BC108" s="1" t="b">
        <v>1</v>
      </c>
      <c r="BD108" s="1" t="b">
        <v>1</v>
      </c>
      <c r="BE108" s="1">
        <v>11.34</v>
      </c>
      <c r="BF108" s="1">
        <v>13.285</v>
      </c>
      <c r="BG108" s="1" t="b">
        <v>1</v>
      </c>
      <c r="BH108" s="1" t="b">
        <v>1</v>
      </c>
      <c r="BI108" s="1">
        <v>77.78</v>
      </c>
      <c r="BJ108" s="1">
        <v>75.0</v>
      </c>
      <c r="BK108" s="1" t="b">
        <v>1</v>
      </c>
      <c r="BL108" s="1" t="b">
        <v>1</v>
      </c>
      <c r="BM108" s="1">
        <v>13.121</v>
      </c>
      <c r="BN108" s="1">
        <v>14.568</v>
      </c>
      <c r="BO108" s="1" t="b">
        <v>1</v>
      </c>
      <c r="BP108" s="1" t="b">
        <v>1</v>
      </c>
      <c r="BQ108" s="1">
        <v>75.0</v>
      </c>
      <c r="BR108" s="1">
        <v>72.027</v>
      </c>
      <c r="BS108" s="1" t="b">
        <v>1</v>
      </c>
      <c r="BT108" s="1" t="b">
        <v>1</v>
      </c>
      <c r="BU108" s="1" t="s">
        <v>157</v>
      </c>
      <c r="BV108" s="1" t="s">
        <v>104</v>
      </c>
      <c r="BW108" s="1" t="s">
        <v>157</v>
      </c>
      <c r="BX108" s="1" t="s">
        <v>104</v>
      </c>
      <c r="BY108" s="1" t="s">
        <v>104</v>
      </c>
      <c r="BZ108" s="1" t="s">
        <v>104</v>
      </c>
      <c r="CA108" s="1" t="s">
        <v>104</v>
      </c>
      <c r="CB108" s="1" t="s">
        <v>104</v>
      </c>
      <c r="CC108" s="1" t="s">
        <v>104</v>
      </c>
      <c r="CD108" s="1" t="s">
        <v>104</v>
      </c>
      <c r="CE108" s="4"/>
      <c r="CF108" s="4"/>
    </row>
    <row r="109" hidden="1">
      <c r="A109" s="1" t="s">
        <v>82</v>
      </c>
      <c r="B109" s="1" t="s">
        <v>98</v>
      </c>
      <c r="C109" s="1">
        <v>14.0</v>
      </c>
      <c r="D109" s="5" t="s">
        <v>593</v>
      </c>
      <c r="E109" s="1" t="s">
        <v>594</v>
      </c>
      <c r="F109" s="1">
        <v>9.0</v>
      </c>
      <c r="G109" s="1">
        <v>0.0</v>
      </c>
      <c r="H109" s="1" t="s">
        <v>595</v>
      </c>
      <c r="I109" s="4" t="b">
        <f>IFERROR(__xludf.DUMMYFUNCTION("IF(H109="""",,REGEXMATCH(H109,""[א-ת]""))"),FALSE)</f>
        <v>0</v>
      </c>
      <c r="J109" s="4"/>
      <c r="K109" s="4"/>
      <c r="L109" s="1">
        <v>0.0</v>
      </c>
      <c r="M109" s="1">
        <v>8.4</v>
      </c>
      <c r="N109" s="1">
        <v>77.78</v>
      </c>
      <c r="O109" s="1">
        <v>8.642222222</v>
      </c>
      <c r="P109" s="4"/>
      <c r="Q109" s="4"/>
      <c r="R109" s="1" t="s">
        <v>89</v>
      </c>
      <c r="S109" s="1" t="s">
        <v>594</v>
      </c>
      <c r="T109" s="1" t="s">
        <v>98</v>
      </c>
      <c r="U109" s="1">
        <v>15.0</v>
      </c>
      <c r="V109" s="5" t="s">
        <v>593</v>
      </c>
      <c r="W109" s="1" t="s">
        <v>594</v>
      </c>
      <c r="X109" s="1" t="s">
        <v>596</v>
      </c>
      <c r="Y109" s="4"/>
      <c r="Z109" s="4"/>
      <c r="AA109" s="4" t="b">
        <f>IFERROR(__xludf.DUMMYFUNCTION("IF(X109="""",,REGEXMATCH(X109,""[א-ת]""))"),FALSE)</f>
        <v>0</v>
      </c>
      <c r="AB109" s="1">
        <v>8.3</v>
      </c>
      <c r="AC109" s="1">
        <v>77.78</v>
      </c>
      <c r="AD109" s="1">
        <v>0.271371341828005</v>
      </c>
      <c r="AE109" s="1">
        <v>0.0</v>
      </c>
      <c r="AF109" s="1">
        <v>0.0</v>
      </c>
      <c r="AG109" s="1">
        <v>6.337</v>
      </c>
      <c r="AH109" s="1">
        <v>6.781</v>
      </c>
      <c r="AI109" s="1" t="b">
        <v>0</v>
      </c>
      <c r="AJ109" s="1" t="b">
        <v>0</v>
      </c>
      <c r="AK109" s="1">
        <v>94.182</v>
      </c>
      <c r="AL109" s="1">
        <v>96.508</v>
      </c>
      <c r="AM109" s="1" t="b">
        <v>0</v>
      </c>
      <c r="AN109" s="1" t="b">
        <v>0</v>
      </c>
      <c r="AO109" s="1">
        <v>8.05</v>
      </c>
      <c r="AP109" s="1">
        <v>8.53399999999999</v>
      </c>
      <c r="AQ109" s="1" t="b">
        <v>0</v>
      </c>
      <c r="AR109" s="1" t="b">
        <v>1</v>
      </c>
      <c r="AS109" s="1">
        <v>86.9179999999999</v>
      </c>
      <c r="AT109" s="1">
        <v>87.152</v>
      </c>
      <c r="AU109" s="1" t="b">
        <v>0</v>
      </c>
      <c r="AV109" s="1" t="b">
        <v>0</v>
      </c>
      <c r="AW109" s="1">
        <v>9.61399999999999</v>
      </c>
      <c r="AX109" s="1">
        <v>11.026</v>
      </c>
      <c r="AY109" s="1" t="b">
        <v>1</v>
      </c>
      <c r="AZ109" s="1" t="b">
        <v>1</v>
      </c>
      <c r="BA109" s="1">
        <v>81.25</v>
      </c>
      <c r="BB109" s="1">
        <v>77.78</v>
      </c>
      <c r="BC109" s="1" t="b">
        <v>0</v>
      </c>
      <c r="BD109" s="1" t="b">
        <v>1</v>
      </c>
      <c r="BE109" s="1">
        <v>11.34</v>
      </c>
      <c r="BF109" s="1">
        <v>13.285</v>
      </c>
      <c r="BG109" s="1" t="b">
        <v>1</v>
      </c>
      <c r="BH109" s="1" t="b">
        <v>1</v>
      </c>
      <c r="BI109" s="1">
        <v>77.78</v>
      </c>
      <c r="BJ109" s="1">
        <v>75.0</v>
      </c>
      <c r="BK109" s="1" t="b">
        <v>1</v>
      </c>
      <c r="BL109" s="1" t="b">
        <v>1</v>
      </c>
      <c r="BM109" s="1">
        <v>13.121</v>
      </c>
      <c r="BN109" s="1">
        <v>14.568</v>
      </c>
      <c r="BO109" s="1" t="b">
        <v>1</v>
      </c>
      <c r="BP109" s="1" t="b">
        <v>1</v>
      </c>
      <c r="BQ109" s="1">
        <v>75.0</v>
      </c>
      <c r="BR109" s="1">
        <v>72.027</v>
      </c>
      <c r="BS109" s="1" t="b">
        <v>1</v>
      </c>
      <c r="BT109" s="1" t="b">
        <v>1</v>
      </c>
      <c r="BU109" s="1" t="s">
        <v>105</v>
      </c>
      <c r="BV109" s="1" t="s">
        <v>105</v>
      </c>
      <c r="BW109" s="1" t="s">
        <v>157</v>
      </c>
      <c r="BX109" s="1" t="s">
        <v>105</v>
      </c>
      <c r="BY109" s="1" t="s">
        <v>104</v>
      </c>
      <c r="BZ109" s="1" t="s">
        <v>157</v>
      </c>
      <c r="CA109" s="1" t="s">
        <v>104</v>
      </c>
      <c r="CB109" s="1" t="s">
        <v>104</v>
      </c>
      <c r="CC109" s="1" t="s">
        <v>104</v>
      </c>
      <c r="CD109" s="1" t="s">
        <v>104</v>
      </c>
      <c r="CE109" s="4"/>
      <c r="CF109" s="4"/>
    </row>
    <row r="110" hidden="1">
      <c r="A110" s="1" t="s">
        <v>82</v>
      </c>
      <c r="B110" s="1" t="s">
        <v>167</v>
      </c>
      <c r="C110" s="1">
        <v>1.0</v>
      </c>
      <c r="D110" s="5" t="s">
        <v>597</v>
      </c>
      <c r="E110" s="1" t="s">
        <v>598</v>
      </c>
      <c r="F110" s="1">
        <v>41.0</v>
      </c>
      <c r="G110" s="1">
        <v>-0.5423</v>
      </c>
      <c r="H110" s="1" t="s">
        <v>599</v>
      </c>
      <c r="I110" s="4" t="b">
        <f>IFERROR(__xludf.DUMMYFUNCTION("IF(H110="""",,REGEXMATCH(H110,""[א-ת]""))"),FALSE)</f>
        <v>0</v>
      </c>
      <c r="J110" s="4"/>
      <c r="K110" s="4"/>
      <c r="L110" s="1">
        <v>-0.2732</v>
      </c>
      <c r="M110" s="1">
        <v>8.46</v>
      </c>
      <c r="N110" s="1">
        <v>73.17</v>
      </c>
      <c r="O110" s="1">
        <v>1.784634146</v>
      </c>
      <c r="P110" s="4"/>
      <c r="Q110" s="4"/>
      <c r="R110" s="1" t="s">
        <v>127</v>
      </c>
      <c r="S110" s="1" t="s">
        <v>598</v>
      </c>
      <c r="T110" s="1" t="s">
        <v>167</v>
      </c>
      <c r="U110" s="1">
        <v>2.0</v>
      </c>
      <c r="V110" s="5" t="s">
        <v>597</v>
      </c>
      <c r="W110" s="1" t="s">
        <v>598</v>
      </c>
      <c r="X110" s="1" t="s">
        <v>600</v>
      </c>
      <c r="Y110" s="4"/>
      <c r="Z110" s="4"/>
      <c r="AA110" s="4" t="b">
        <f>IFERROR(__xludf.DUMMYFUNCTION("IF(X110="""",,REGEXMATCH(X110,""[א-ת]""))"),FALSE)</f>
        <v>0</v>
      </c>
      <c r="AB110" s="1">
        <v>24.95</v>
      </c>
      <c r="AC110" s="1">
        <v>56.1</v>
      </c>
      <c r="AD110" s="1">
        <v>0.361277862561232</v>
      </c>
      <c r="AE110" s="1">
        <v>-0.7003</v>
      </c>
      <c r="AF110" s="1">
        <v>-0.5423</v>
      </c>
      <c r="AG110" s="1">
        <v>6.337</v>
      </c>
      <c r="AH110" s="1">
        <v>6.781</v>
      </c>
      <c r="AI110" s="1" t="b">
        <v>0</v>
      </c>
      <c r="AJ110" s="1" t="b">
        <v>0</v>
      </c>
      <c r="AK110" s="1">
        <v>94.182</v>
      </c>
      <c r="AL110" s="1">
        <v>96.508</v>
      </c>
      <c r="AM110" s="1" t="b">
        <v>0</v>
      </c>
      <c r="AN110" s="1" t="b">
        <v>0</v>
      </c>
      <c r="AO110" s="1">
        <v>8.05</v>
      </c>
      <c r="AP110" s="1">
        <v>8.53399999999999</v>
      </c>
      <c r="AQ110" s="1" t="b">
        <v>0</v>
      </c>
      <c r="AR110" s="1" t="b">
        <v>0</v>
      </c>
      <c r="AS110" s="1">
        <v>86.9179999999999</v>
      </c>
      <c r="AT110" s="1">
        <v>87.152</v>
      </c>
      <c r="AU110" s="1" t="b">
        <v>0</v>
      </c>
      <c r="AV110" s="1" t="b">
        <v>0</v>
      </c>
      <c r="AW110" s="1">
        <v>9.61399999999999</v>
      </c>
      <c r="AX110" s="1">
        <v>11.026</v>
      </c>
      <c r="AY110" s="1" t="b">
        <v>1</v>
      </c>
      <c r="AZ110" s="1" t="b">
        <v>0</v>
      </c>
      <c r="BA110" s="1">
        <v>81.25</v>
      </c>
      <c r="BB110" s="1">
        <v>77.78</v>
      </c>
      <c r="BC110" s="1" t="b">
        <v>0</v>
      </c>
      <c r="BD110" s="1" t="b">
        <v>0</v>
      </c>
      <c r="BE110" s="1">
        <v>11.34</v>
      </c>
      <c r="BF110" s="1">
        <v>13.285</v>
      </c>
      <c r="BG110" s="1" t="b">
        <v>1</v>
      </c>
      <c r="BH110" s="1" t="b">
        <v>0</v>
      </c>
      <c r="BI110" s="1">
        <v>77.78</v>
      </c>
      <c r="BJ110" s="1">
        <v>75.0</v>
      </c>
      <c r="BK110" s="1" t="b">
        <v>0</v>
      </c>
      <c r="BL110" s="1" t="b">
        <v>0</v>
      </c>
      <c r="BM110" s="1">
        <v>13.121</v>
      </c>
      <c r="BN110" s="1">
        <v>14.568</v>
      </c>
      <c r="BO110" s="1" t="b">
        <v>1</v>
      </c>
      <c r="BP110" s="1" t="b">
        <v>0</v>
      </c>
      <c r="BQ110" s="1">
        <v>75.0</v>
      </c>
      <c r="BR110" s="1">
        <v>72.027</v>
      </c>
      <c r="BS110" s="1" t="b">
        <v>0</v>
      </c>
      <c r="BT110" s="1" t="b">
        <v>0</v>
      </c>
      <c r="BU110" s="1" t="s">
        <v>105</v>
      </c>
      <c r="BV110" s="1" t="s">
        <v>105</v>
      </c>
      <c r="BW110" s="1" t="s">
        <v>105</v>
      </c>
      <c r="BX110" s="1" t="s">
        <v>105</v>
      </c>
      <c r="BY110" s="1" t="s">
        <v>91</v>
      </c>
      <c r="BZ110" s="1" t="s">
        <v>105</v>
      </c>
      <c r="CA110" s="1" t="s">
        <v>91</v>
      </c>
      <c r="CB110" s="1" t="s">
        <v>105</v>
      </c>
      <c r="CC110" s="1" t="s">
        <v>91</v>
      </c>
      <c r="CD110" s="1" t="s">
        <v>105</v>
      </c>
      <c r="CE110" s="4"/>
      <c r="CF110" s="4"/>
    </row>
    <row r="111" hidden="1">
      <c r="A111" s="1" t="s">
        <v>82</v>
      </c>
      <c r="B111" s="1" t="s">
        <v>167</v>
      </c>
      <c r="C111" s="1">
        <v>23.0</v>
      </c>
      <c r="D111" s="5" t="s">
        <v>601</v>
      </c>
      <c r="E111" s="1" t="s">
        <v>602</v>
      </c>
      <c r="F111" s="1">
        <v>18.0</v>
      </c>
      <c r="G111" s="1">
        <v>0.0</v>
      </c>
      <c r="H111" s="1" t="s">
        <v>603</v>
      </c>
      <c r="I111" s="4" t="b">
        <f>IFERROR(__xludf.DUMMYFUNCTION("IF(H111="""",,REGEXMATCH(H111,""[א-ת]""))"),FALSE)</f>
        <v>0</v>
      </c>
      <c r="J111" s="4"/>
      <c r="K111" s="4"/>
      <c r="L111" s="1">
        <v>0.0</v>
      </c>
      <c r="M111" s="1">
        <v>8.51</v>
      </c>
      <c r="N111" s="1">
        <v>83.33</v>
      </c>
      <c r="O111" s="1">
        <v>4.629444444</v>
      </c>
      <c r="P111" s="4"/>
      <c r="Q111" s="4"/>
      <c r="R111" s="1" t="s">
        <v>127</v>
      </c>
      <c r="S111" s="1" t="s">
        <v>602</v>
      </c>
      <c r="T111" s="1" t="s">
        <v>167</v>
      </c>
      <c r="U111" s="1">
        <v>24.0</v>
      </c>
      <c r="V111" s="5" t="s">
        <v>601</v>
      </c>
      <c r="W111" s="1" t="s">
        <v>602</v>
      </c>
      <c r="X111" s="1" t="s">
        <v>604</v>
      </c>
      <c r="Y111" s="4"/>
      <c r="Z111" s="4"/>
      <c r="AA111" s="4" t="b">
        <f>IFERROR(__xludf.DUMMYFUNCTION("IF(X111="""",,REGEXMATCH(X111,""[א-ת]""))"),FALSE)</f>
        <v>0</v>
      </c>
      <c r="AB111" s="1">
        <v>36.03</v>
      </c>
      <c r="AC111" s="1">
        <v>50.0</v>
      </c>
      <c r="AD111" s="1">
        <v>0.702459634889064</v>
      </c>
      <c r="AE111" s="1">
        <v>0.0</v>
      </c>
      <c r="AF111" s="1">
        <v>0.0</v>
      </c>
      <c r="AG111" s="1">
        <v>6.337</v>
      </c>
      <c r="AH111" s="1">
        <v>6.781</v>
      </c>
      <c r="AI111" s="1" t="b">
        <v>0</v>
      </c>
      <c r="AJ111" s="1" t="b">
        <v>0</v>
      </c>
      <c r="AK111" s="1">
        <v>94.182</v>
      </c>
      <c r="AL111" s="1">
        <v>96.508</v>
      </c>
      <c r="AM111" s="1" t="b">
        <v>0</v>
      </c>
      <c r="AN111" s="1" t="b">
        <v>0</v>
      </c>
      <c r="AO111" s="1">
        <v>8.05</v>
      </c>
      <c r="AP111" s="1">
        <v>8.53399999999999</v>
      </c>
      <c r="AQ111" s="1" t="b">
        <v>0</v>
      </c>
      <c r="AR111" s="1" t="b">
        <v>0</v>
      </c>
      <c r="AS111" s="1">
        <v>86.9179999999999</v>
      </c>
      <c r="AT111" s="1">
        <v>87.152</v>
      </c>
      <c r="AU111" s="1" t="b">
        <v>0</v>
      </c>
      <c r="AV111" s="1" t="b">
        <v>0</v>
      </c>
      <c r="AW111" s="1">
        <v>9.61399999999999</v>
      </c>
      <c r="AX111" s="1">
        <v>11.026</v>
      </c>
      <c r="AY111" s="1" t="b">
        <v>1</v>
      </c>
      <c r="AZ111" s="1" t="b">
        <v>0</v>
      </c>
      <c r="BA111" s="1">
        <v>81.25</v>
      </c>
      <c r="BB111" s="1">
        <v>77.78</v>
      </c>
      <c r="BC111" s="1" t="b">
        <v>1</v>
      </c>
      <c r="BD111" s="1" t="b">
        <v>0</v>
      </c>
      <c r="BE111" s="1">
        <v>11.34</v>
      </c>
      <c r="BF111" s="1">
        <v>13.285</v>
      </c>
      <c r="BG111" s="1" t="b">
        <v>1</v>
      </c>
      <c r="BH111" s="1" t="b">
        <v>0</v>
      </c>
      <c r="BI111" s="1">
        <v>77.78</v>
      </c>
      <c r="BJ111" s="1">
        <v>75.0</v>
      </c>
      <c r="BK111" s="1" t="b">
        <v>1</v>
      </c>
      <c r="BL111" s="1" t="b">
        <v>0</v>
      </c>
      <c r="BM111" s="1">
        <v>13.121</v>
      </c>
      <c r="BN111" s="1">
        <v>14.568</v>
      </c>
      <c r="BO111" s="1" t="b">
        <v>1</v>
      </c>
      <c r="BP111" s="1" t="b">
        <v>0</v>
      </c>
      <c r="BQ111" s="1">
        <v>75.0</v>
      </c>
      <c r="BR111" s="1">
        <v>72.027</v>
      </c>
      <c r="BS111" s="1" t="b">
        <v>1</v>
      </c>
      <c r="BT111" s="1" t="b">
        <v>0</v>
      </c>
      <c r="BU111" s="1" t="s">
        <v>105</v>
      </c>
      <c r="BV111" s="1" t="s">
        <v>105</v>
      </c>
      <c r="BW111" s="1" t="s">
        <v>105</v>
      </c>
      <c r="BX111" s="1" t="s">
        <v>105</v>
      </c>
      <c r="BY111" s="1" t="s">
        <v>91</v>
      </c>
      <c r="BZ111" s="1" t="s">
        <v>91</v>
      </c>
      <c r="CA111" s="1" t="s">
        <v>91</v>
      </c>
      <c r="CB111" s="1" t="s">
        <v>91</v>
      </c>
      <c r="CC111" s="1" t="s">
        <v>91</v>
      </c>
      <c r="CD111" s="1" t="s">
        <v>91</v>
      </c>
      <c r="CE111" s="4"/>
      <c r="CF111" s="4"/>
    </row>
    <row r="112">
      <c r="A112" s="1" t="s">
        <v>82</v>
      </c>
      <c r="B112" s="1" t="s">
        <v>304</v>
      </c>
      <c r="C112" s="1">
        <v>27.0</v>
      </c>
      <c r="D112" s="5" t="s">
        <v>605</v>
      </c>
      <c r="E112" s="1" t="s">
        <v>606</v>
      </c>
      <c r="F112" s="1">
        <v>36.0</v>
      </c>
      <c r="G112" s="1">
        <v>0.56</v>
      </c>
      <c r="H112" s="1" t="s">
        <v>607</v>
      </c>
      <c r="I112" s="4" t="b">
        <f>IFERROR(__xludf.DUMMYFUNCTION("IF(H112="""",,REGEXMATCH(H112,""[א-ת]""))"),FALSE)</f>
        <v>0</v>
      </c>
      <c r="J112" s="4"/>
      <c r="K112" s="4"/>
      <c r="L112" s="1">
        <v>0.56</v>
      </c>
      <c r="M112" s="1">
        <v>8.56</v>
      </c>
      <c r="N112" s="1">
        <v>61.11</v>
      </c>
      <c r="O112" s="1">
        <v>1.6975</v>
      </c>
      <c r="P112" s="4"/>
      <c r="Q112" s="4"/>
      <c r="R112" s="1" t="s">
        <v>89</v>
      </c>
      <c r="S112" s="1" t="s">
        <v>606</v>
      </c>
      <c r="T112" s="1" t="s">
        <v>304</v>
      </c>
      <c r="U112" s="1">
        <v>28.0</v>
      </c>
      <c r="V112" s="5" t="s">
        <v>605</v>
      </c>
      <c r="W112" s="1" t="s">
        <v>606</v>
      </c>
      <c r="X112" s="1" t="s">
        <v>608</v>
      </c>
      <c r="Y112" s="1" t="s">
        <v>609</v>
      </c>
      <c r="Z112" s="1" t="s">
        <v>610</v>
      </c>
      <c r="AA112" s="4" t="b">
        <f>IFERROR(__xludf.DUMMYFUNCTION("IF(X112="""",,REGEXMATCH(X112,""[א-ת]""))"),FALSE)</f>
        <v>0</v>
      </c>
      <c r="AB112" s="1">
        <v>3.98</v>
      </c>
      <c r="AC112" s="1">
        <v>58.33</v>
      </c>
      <c r="AD112" s="1">
        <v>0.379837173499575</v>
      </c>
      <c r="AE112" s="1">
        <v>0.4767</v>
      </c>
      <c r="AF112" s="1">
        <v>0.56</v>
      </c>
      <c r="AG112" s="1">
        <v>6.337</v>
      </c>
      <c r="AH112" s="1">
        <v>6.781</v>
      </c>
      <c r="AI112" s="1" t="b">
        <v>0</v>
      </c>
      <c r="AJ112" s="1" t="b">
        <v>1</v>
      </c>
      <c r="AK112" s="1">
        <v>94.182</v>
      </c>
      <c r="AL112" s="1">
        <v>96.508</v>
      </c>
      <c r="AM112" s="1" t="b">
        <v>0</v>
      </c>
      <c r="AN112" s="1" t="b">
        <v>0</v>
      </c>
      <c r="AO112" s="1">
        <v>8.05</v>
      </c>
      <c r="AP112" s="1">
        <v>8.53399999999999</v>
      </c>
      <c r="AQ112" s="1" t="b">
        <v>0</v>
      </c>
      <c r="AR112" s="1" t="b">
        <v>1</v>
      </c>
      <c r="AS112" s="1">
        <v>86.9179999999999</v>
      </c>
      <c r="AT112" s="1">
        <v>87.152</v>
      </c>
      <c r="AU112" s="1" t="b">
        <v>0</v>
      </c>
      <c r="AV112" s="1" t="b">
        <v>0</v>
      </c>
      <c r="AW112" s="1">
        <v>9.61399999999999</v>
      </c>
      <c r="AX112" s="1">
        <v>11.026</v>
      </c>
      <c r="AY112" s="1" t="b">
        <v>1</v>
      </c>
      <c r="AZ112" s="1" t="b">
        <v>1</v>
      </c>
      <c r="BA112" s="1">
        <v>81.25</v>
      </c>
      <c r="BB112" s="1">
        <v>77.78</v>
      </c>
      <c r="BC112" s="1" t="b">
        <v>0</v>
      </c>
      <c r="BD112" s="1" t="b">
        <v>0</v>
      </c>
      <c r="BE112" s="1">
        <v>11.34</v>
      </c>
      <c r="BF112" s="1">
        <v>13.285</v>
      </c>
      <c r="BG112" s="1" t="b">
        <v>1</v>
      </c>
      <c r="BH112" s="1" t="b">
        <v>1</v>
      </c>
      <c r="BI112" s="1">
        <v>77.78</v>
      </c>
      <c r="BJ112" s="1">
        <v>75.0</v>
      </c>
      <c r="BK112" s="1" t="b">
        <v>0</v>
      </c>
      <c r="BL112" s="1" t="b">
        <v>0</v>
      </c>
      <c r="BM112" s="1">
        <v>13.121</v>
      </c>
      <c r="BN112" s="1">
        <v>14.568</v>
      </c>
      <c r="BO112" s="1" t="b">
        <v>1</v>
      </c>
      <c r="BP112" s="1" t="b">
        <v>1</v>
      </c>
      <c r="BQ112" s="1">
        <v>75.0</v>
      </c>
      <c r="BR112" s="1">
        <v>72.027</v>
      </c>
      <c r="BS112" s="1" t="b">
        <v>0</v>
      </c>
      <c r="BT112" s="1" t="b">
        <v>0</v>
      </c>
      <c r="BU112" s="1" t="s">
        <v>157</v>
      </c>
      <c r="BV112" s="1" t="s">
        <v>105</v>
      </c>
      <c r="BW112" s="1" t="s">
        <v>157</v>
      </c>
      <c r="BX112" s="1" t="s">
        <v>105</v>
      </c>
      <c r="BY112" s="1" t="s">
        <v>104</v>
      </c>
      <c r="BZ112" s="1" t="s">
        <v>105</v>
      </c>
      <c r="CA112" s="1" t="s">
        <v>104</v>
      </c>
      <c r="CB112" s="1" t="s">
        <v>105</v>
      </c>
      <c r="CC112" s="1" t="s">
        <v>104</v>
      </c>
      <c r="CD112" s="1" t="s">
        <v>105</v>
      </c>
      <c r="CE112" s="4"/>
      <c r="CF112" s="4"/>
    </row>
    <row r="113" hidden="1">
      <c r="A113" s="1" t="s">
        <v>82</v>
      </c>
      <c r="B113" s="1" t="s">
        <v>152</v>
      </c>
      <c r="C113" s="1">
        <v>11.0</v>
      </c>
      <c r="D113" s="5" t="s">
        <v>611</v>
      </c>
      <c r="E113" s="1" t="s">
        <v>612</v>
      </c>
      <c r="F113" s="1">
        <v>35.0</v>
      </c>
      <c r="G113" s="1">
        <v>-0.6908</v>
      </c>
      <c r="H113" s="1" t="s">
        <v>613</v>
      </c>
      <c r="I113" s="4" t="b">
        <f>IFERROR(__xludf.DUMMYFUNCTION("IF(H113="""",,REGEXMATCH(H113,""[א-ת]""))"),FALSE)</f>
        <v>0</v>
      </c>
      <c r="J113" s="4"/>
      <c r="K113" s="4"/>
      <c r="L113" s="1">
        <v>0.0</v>
      </c>
      <c r="M113" s="1">
        <v>8.56</v>
      </c>
      <c r="N113" s="1">
        <v>74.29</v>
      </c>
      <c r="O113" s="1">
        <v>2.122571429</v>
      </c>
      <c r="P113" s="4"/>
      <c r="Q113" s="4"/>
      <c r="R113" s="1" t="s">
        <v>89</v>
      </c>
      <c r="S113" s="1" t="s">
        <v>612</v>
      </c>
      <c r="T113" s="1" t="s">
        <v>152</v>
      </c>
      <c r="U113" s="1">
        <v>12.0</v>
      </c>
      <c r="V113" s="5" t="s">
        <v>611</v>
      </c>
      <c r="W113" s="1" t="s">
        <v>612</v>
      </c>
      <c r="X113" s="1" t="s">
        <v>614</v>
      </c>
      <c r="Y113" s="4"/>
      <c r="Z113" s="4"/>
      <c r="AA113" s="4" t="b">
        <f>IFERROR(__xludf.DUMMYFUNCTION("IF(X113="""",,REGEXMATCH(X113,""[א-ת]""))"),TRUE)</f>
        <v>1</v>
      </c>
      <c r="AB113" s="1">
        <v>7.68</v>
      </c>
      <c r="AC113" s="1">
        <v>74.29</v>
      </c>
      <c r="AD113" s="1">
        <v>0.59565129898492</v>
      </c>
      <c r="AE113" s="1">
        <v>-0.126</v>
      </c>
      <c r="AF113" s="1">
        <v>-0.6908</v>
      </c>
      <c r="AG113" s="1">
        <v>6.337</v>
      </c>
      <c r="AH113" s="1">
        <v>6.781</v>
      </c>
      <c r="AI113" s="1" t="b">
        <v>0</v>
      </c>
      <c r="AJ113" s="1" t="b">
        <v>0</v>
      </c>
      <c r="AK113" s="1">
        <v>94.182</v>
      </c>
      <c r="AL113" s="1">
        <v>96.508</v>
      </c>
      <c r="AM113" s="1" t="b">
        <v>0</v>
      </c>
      <c r="AN113" s="1" t="b">
        <v>0</v>
      </c>
      <c r="AO113" s="1">
        <v>8.05</v>
      </c>
      <c r="AP113" s="1">
        <v>8.53399999999999</v>
      </c>
      <c r="AQ113" s="1" t="b">
        <v>0</v>
      </c>
      <c r="AR113" s="1" t="b">
        <v>1</v>
      </c>
      <c r="AS113" s="1">
        <v>86.9179999999999</v>
      </c>
      <c r="AT113" s="1">
        <v>87.152</v>
      </c>
      <c r="AU113" s="1" t="b">
        <v>0</v>
      </c>
      <c r="AV113" s="1" t="b">
        <v>0</v>
      </c>
      <c r="AW113" s="1">
        <v>9.61399999999999</v>
      </c>
      <c r="AX113" s="1">
        <v>11.026</v>
      </c>
      <c r="AY113" s="1" t="b">
        <v>1</v>
      </c>
      <c r="AZ113" s="1" t="b">
        <v>1</v>
      </c>
      <c r="BA113" s="1">
        <v>81.25</v>
      </c>
      <c r="BB113" s="1">
        <v>77.78</v>
      </c>
      <c r="BC113" s="1" t="b">
        <v>0</v>
      </c>
      <c r="BD113" s="1" t="b">
        <v>0</v>
      </c>
      <c r="BE113" s="1">
        <v>11.34</v>
      </c>
      <c r="BF113" s="1">
        <v>13.285</v>
      </c>
      <c r="BG113" s="1" t="b">
        <v>1</v>
      </c>
      <c r="BH113" s="1" t="b">
        <v>1</v>
      </c>
      <c r="BI113" s="1">
        <v>77.78</v>
      </c>
      <c r="BJ113" s="1">
        <v>75.0</v>
      </c>
      <c r="BK113" s="1" t="b">
        <v>0</v>
      </c>
      <c r="BL113" s="1" t="b">
        <v>0</v>
      </c>
      <c r="BM113" s="1">
        <v>13.121</v>
      </c>
      <c r="BN113" s="1">
        <v>14.568</v>
      </c>
      <c r="BO113" s="1" t="b">
        <v>1</v>
      </c>
      <c r="BP113" s="1" t="b">
        <v>1</v>
      </c>
      <c r="BQ113" s="1">
        <v>75.0</v>
      </c>
      <c r="BR113" s="1">
        <v>72.027</v>
      </c>
      <c r="BS113" s="1" t="b">
        <v>0</v>
      </c>
      <c r="BT113" s="1" t="b">
        <v>1</v>
      </c>
      <c r="BU113" s="1" t="s">
        <v>105</v>
      </c>
      <c r="BV113" s="1" t="s">
        <v>105</v>
      </c>
      <c r="BW113" s="1" t="s">
        <v>157</v>
      </c>
      <c r="BX113" s="1" t="s">
        <v>105</v>
      </c>
      <c r="BY113" s="1" t="s">
        <v>104</v>
      </c>
      <c r="BZ113" s="1" t="s">
        <v>105</v>
      </c>
      <c r="CA113" s="1" t="s">
        <v>104</v>
      </c>
      <c r="CB113" s="1" t="s">
        <v>105</v>
      </c>
      <c r="CC113" s="1" t="s">
        <v>104</v>
      </c>
      <c r="CD113" s="1" t="s">
        <v>157</v>
      </c>
      <c r="CE113" s="4"/>
      <c r="CF113" s="4"/>
    </row>
    <row r="114" hidden="1">
      <c r="A114" s="1" t="s">
        <v>82</v>
      </c>
      <c r="B114" s="1" t="s">
        <v>111</v>
      </c>
      <c r="C114" s="1">
        <v>66.0</v>
      </c>
      <c r="D114" s="5" t="s">
        <v>615</v>
      </c>
      <c r="E114" s="1" t="s">
        <v>616</v>
      </c>
      <c r="F114" s="1">
        <v>48.0</v>
      </c>
      <c r="G114" s="1">
        <v>-0.25</v>
      </c>
      <c r="H114" s="1" t="s">
        <v>617</v>
      </c>
      <c r="I114" s="4" t="b">
        <f>IFERROR(__xludf.DUMMYFUNCTION("IF(H114="""",,REGEXMATCH(H114,""[א-ת]""))"),FALSE)</f>
        <v>0</v>
      </c>
      <c r="J114" s="4"/>
      <c r="K114" s="4"/>
      <c r="L114" s="1">
        <v>-0.25</v>
      </c>
      <c r="M114" s="1">
        <v>8.59</v>
      </c>
      <c r="N114" s="1">
        <v>50.0</v>
      </c>
      <c r="O114" s="1">
        <v>1.041666667</v>
      </c>
      <c r="P114" s="4"/>
      <c r="Q114" s="4"/>
      <c r="R114" s="1" t="s">
        <v>89</v>
      </c>
      <c r="S114" s="1" t="s">
        <v>616</v>
      </c>
      <c r="T114" s="1" t="s">
        <v>111</v>
      </c>
      <c r="U114" s="1">
        <v>67.0</v>
      </c>
      <c r="V114" s="5" t="s">
        <v>615</v>
      </c>
      <c r="W114" s="1" t="s">
        <v>616</v>
      </c>
      <c r="X114" s="1" t="s">
        <v>618</v>
      </c>
      <c r="Y114" s="4"/>
      <c r="Z114" s="4"/>
      <c r="AA114" s="4" t="b">
        <f>IFERROR(__xludf.DUMMYFUNCTION("IF(X114="""",,REGEXMATCH(X114,""[א-ת]""))"),FALSE)</f>
        <v>0</v>
      </c>
      <c r="AB114" s="1">
        <v>46.31</v>
      </c>
      <c r="AC114" s="1">
        <v>27.08</v>
      </c>
      <c r="AD114" s="1">
        <v>0.888448237745531</v>
      </c>
      <c r="AE114" s="1">
        <v>-0.6705</v>
      </c>
      <c r="AF114" s="1">
        <v>-0.25</v>
      </c>
      <c r="AG114" s="1">
        <v>6.337</v>
      </c>
      <c r="AH114" s="1">
        <v>6.781</v>
      </c>
      <c r="AI114" s="1" t="b">
        <v>0</v>
      </c>
      <c r="AJ114" s="1" t="b">
        <v>0</v>
      </c>
      <c r="AK114" s="1">
        <v>94.182</v>
      </c>
      <c r="AL114" s="1">
        <v>96.508</v>
      </c>
      <c r="AM114" s="1" t="b">
        <v>0</v>
      </c>
      <c r="AN114" s="1" t="b">
        <v>0</v>
      </c>
      <c r="AO114" s="1">
        <v>8.05</v>
      </c>
      <c r="AP114" s="1">
        <v>8.53399999999999</v>
      </c>
      <c r="AQ114" s="1" t="b">
        <v>0</v>
      </c>
      <c r="AR114" s="1" t="b">
        <v>0</v>
      </c>
      <c r="AS114" s="1">
        <v>86.9179999999999</v>
      </c>
      <c r="AT114" s="1">
        <v>87.152</v>
      </c>
      <c r="AU114" s="1" t="b">
        <v>0</v>
      </c>
      <c r="AV114" s="1" t="b">
        <v>0</v>
      </c>
      <c r="AW114" s="1">
        <v>9.61399999999999</v>
      </c>
      <c r="AX114" s="1">
        <v>11.026</v>
      </c>
      <c r="AY114" s="1" t="b">
        <v>1</v>
      </c>
      <c r="AZ114" s="1" t="b">
        <v>0</v>
      </c>
      <c r="BA114" s="1">
        <v>81.25</v>
      </c>
      <c r="BB114" s="1">
        <v>77.78</v>
      </c>
      <c r="BC114" s="1" t="b">
        <v>0</v>
      </c>
      <c r="BD114" s="1" t="b">
        <v>0</v>
      </c>
      <c r="BE114" s="1">
        <v>11.34</v>
      </c>
      <c r="BF114" s="1">
        <v>13.285</v>
      </c>
      <c r="BG114" s="1" t="b">
        <v>1</v>
      </c>
      <c r="BH114" s="1" t="b">
        <v>0</v>
      </c>
      <c r="BI114" s="1">
        <v>77.78</v>
      </c>
      <c r="BJ114" s="1">
        <v>75.0</v>
      </c>
      <c r="BK114" s="1" t="b">
        <v>0</v>
      </c>
      <c r="BL114" s="1" t="b">
        <v>0</v>
      </c>
      <c r="BM114" s="1">
        <v>13.121</v>
      </c>
      <c r="BN114" s="1">
        <v>14.568</v>
      </c>
      <c r="BO114" s="1" t="b">
        <v>1</v>
      </c>
      <c r="BP114" s="1" t="b">
        <v>0</v>
      </c>
      <c r="BQ114" s="1">
        <v>75.0</v>
      </c>
      <c r="BR114" s="1">
        <v>72.027</v>
      </c>
      <c r="BS114" s="1" t="b">
        <v>0</v>
      </c>
      <c r="BT114" s="1" t="b">
        <v>0</v>
      </c>
      <c r="BU114" s="1" t="s">
        <v>105</v>
      </c>
      <c r="BV114" s="1" t="s">
        <v>105</v>
      </c>
      <c r="BW114" s="1" t="s">
        <v>105</v>
      </c>
      <c r="BX114" s="1" t="s">
        <v>105</v>
      </c>
      <c r="BY114" s="1" t="s">
        <v>91</v>
      </c>
      <c r="BZ114" s="1" t="s">
        <v>105</v>
      </c>
      <c r="CA114" s="1" t="s">
        <v>91</v>
      </c>
      <c r="CB114" s="1" t="s">
        <v>105</v>
      </c>
      <c r="CC114" s="1" t="s">
        <v>91</v>
      </c>
      <c r="CD114" s="1" t="s">
        <v>105</v>
      </c>
      <c r="CE114" s="4"/>
      <c r="CF114" s="4"/>
    </row>
    <row r="115" hidden="1">
      <c r="A115" s="1" t="s">
        <v>82</v>
      </c>
      <c r="B115" s="1" t="s">
        <v>98</v>
      </c>
      <c r="C115" s="1">
        <v>0.0</v>
      </c>
      <c r="D115" s="5" t="s">
        <v>619</v>
      </c>
      <c r="E115" s="1" t="s">
        <v>620</v>
      </c>
      <c r="F115" s="1">
        <v>24.0</v>
      </c>
      <c r="G115" s="1">
        <v>0.0</v>
      </c>
      <c r="H115" s="1" t="s">
        <v>621</v>
      </c>
      <c r="I115" s="4" t="b">
        <f>IFERROR(__xludf.DUMMYFUNCTION("IF(H115="""",,REGEXMATCH(H115,""[א-ת]""))"),FALSE)</f>
        <v>0</v>
      </c>
      <c r="J115" s="4"/>
      <c r="K115" s="1" t="s">
        <v>510</v>
      </c>
      <c r="L115" s="1">
        <v>0.0</v>
      </c>
      <c r="M115" s="1">
        <v>8.68</v>
      </c>
      <c r="N115" s="1">
        <v>83.33</v>
      </c>
      <c r="O115" s="1">
        <v>3.472083333</v>
      </c>
      <c r="P115" s="4"/>
      <c r="Q115" s="4"/>
      <c r="R115" s="1" t="s">
        <v>89</v>
      </c>
      <c r="S115" s="1" t="s">
        <v>620</v>
      </c>
      <c r="T115" s="1" t="s">
        <v>98</v>
      </c>
      <c r="U115" s="1">
        <v>1.0</v>
      </c>
      <c r="V115" s="5" t="s">
        <v>619</v>
      </c>
      <c r="W115" s="1" t="s">
        <v>620</v>
      </c>
      <c r="X115" s="1" t="s">
        <v>622</v>
      </c>
      <c r="Y115" s="4"/>
      <c r="Z115" s="4"/>
      <c r="AA115" s="4" t="b">
        <f>IFERROR(__xludf.DUMMYFUNCTION("IF(X115="""",,REGEXMATCH(X115,""[א-ת]""))"),FALSE)</f>
        <v>0</v>
      </c>
      <c r="AB115" s="1">
        <v>30.68</v>
      </c>
      <c r="AC115" s="1">
        <v>66.67</v>
      </c>
      <c r="AD115" s="1">
        <v>0.852404452910143</v>
      </c>
      <c r="AE115" s="1">
        <v>0.0</v>
      </c>
      <c r="AF115" s="1">
        <v>0.0</v>
      </c>
      <c r="AG115" s="1">
        <v>6.337</v>
      </c>
      <c r="AH115" s="1">
        <v>6.781</v>
      </c>
      <c r="AI115" s="1" t="b">
        <v>0</v>
      </c>
      <c r="AJ115" s="1" t="b">
        <v>0</v>
      </c>
      <c r="AK115" s="1">
        <v>94.182</v>
      </c>
      <c r="AL115" s="1">
        <v>96.508</v>
      </c>
      <c r="AM115" s="1" t="b">
        <v>0</v>
      </c>
      <c r="AN115" s="1" t="b">
        <v>0</v>
      </c>
      <c r="AO115" s="1">
        <v>8.05</v>
      </c>
      <c r="AP115" s="1">
        <v>8.53399999999999</v>
      </c>
      <c r="AQ115" s="1" t="b">
        <v>0</v>
      </c>
      <c r="AR115" s="1" t="b">
        <v>0</v>
      </c>
      <c r="AS115" s="1">
        <v>86.9179999999999</v>
      </c>
      <c r="AT115" s="1">
        <v>87.152</v>
      </c>
      <c r="AU115" s="1" t="b">
        <v>0</v>
      </c>
      <c r="AV115" s="1" t="b">
        <v>0</v>
      </c>
      <c r="AW115" s="1">
        <v>9.61399999999999</v>
      </c>
      <c r="AX115" s="1">
        <v>11.026</v>
      </c>
      <c r="AY115" s="1" t="b">
        <v>1</v>
      </c>
      <c r="AZ115" s="1" t="b">
        <v>0</v>
      </c>
      <c r="BA115" s="1">
        <v>81.25</v>
      </c>
      <c r="BB115" s="1">
        <v>77.78</v>
      </c>
      <c r="BC115" s="1" t="b">
        <v>1</v>
      </c>
      <c r="BD115" s="1" t="b">
        <v>0</v>
      </c>
      <c r="BE115" s="1">
        <v>11.34</v>
      </c>
      <c r="BF115" s="1">
        <v>13.285</v>
      </c>
      <c r="BG115" s="1" t="b">
        <v>1</v>
      </c>
      <c r="BH115" s="1" t="b">
        <v>0</v>
      </c>
      <c r="BI115" s="1">
        <v>77.78</v>
      </c>
      <c r="BJ115" s="1">
        <v>75.0</v>
      </c>
      <c r="BK115" s="1" t="b">
        <v>1</v>
      </c>
      <c r="BL115" s="1" t="b">
        <v>0</v>
      </c>
      <c r="BM115" s="1">
        <v>13.121</v>
      </c>
      <c r="BN115" s="1">
        <v>14.568</v>
      </c>
      <c r="BO115" s="1" t="b">
        <v>1</v>
      </c>
      <c r="BP115" s="1" t="b">
        <v>0</v>
      </c>
      <c r="BQ115" s="1">
        <v>75.0</v>
      </c>
      <c r="BR115" s="1">
        <v>72.027</v>
      </c>
      <c r="BS115" s="1" t="b">
        <v>1</v>
      </c>
      <c r="BT115" s="1" t="b">
        <v>0</v>
      </c>
      <c r="BU115" s="1" t="s">
        <v>105</v>
      </c>
      <c r="BV115" s="1" t="s">
        <v>105</v>
      </c>
      <c r="BW115" s="1" t="s">
        <v>105</v>
      </c>
      <c r="BX115" s="1" t="s">
        <v>105</v>
      </c>
      <c r="BY115" s="1" t="s">
        <v>91</v>
      </c>
      <c r="BZ115" s="1" t="s">
        <v>91</v>
      </c>
      <c r="CA115" s="1" t="s">
        <v>91</v>
      </c>
      <c r="CB115" s="1" t="s">
        <v>91</v>
      </c>
      <c r="CC115" s="1" t="s">
        <v>91</v>
      </c>
      <c r="CD115" s="1" t="s">
        <v>91</v>
      </c>
      <c r="CE115" s="4"/>
      <c r="CF115" s="4"/>
    </row>
    <row r="116" hidden="1">
      <c r="A116" s="1" t="s">
        <v>82</v>
      </c>
      <c r="B116" s="1" t="s">
        <v>98</v>
      </c>
      <c r="C116" s="1">
        <v>17.0</v>
      </c>
      <c r="D116" s="5" t="s">
        <v>623</v>
      </c>
      <c r="E116" s="1" t="s">
        <v>624</v>
      </c>
      <c r="F116" s="1">
        <v>51.0</v>
      </c>
      <c r="G116" s="1">
        <v>-0.0869</v>
      </c>
      <c r="H116" s="1" t="s">
        <v>625</v>
      </c>
      <c r="I116" s="4" t="b">
        <f>IFERROR(__xludf.DUMMYFUNCTION("IF(H116="""",,REGEXMATCH(H116,""[א-ת]""))"),FALSE)</f>
        <v>0</v>
      </c>
      <c r="J116" s="4"/>
      <c r="K116" s="4"/>
      <c r="L116" s="1">
        <v>0.0</v>
      </c>
      <c r="M116" s="1">
        <v>8.76</v>
      </c>
      <c r="N116" s="1">
        <v>90.2</v>
      </c>
      <c r="O116" s="1">
        <v>1.768627451</v>
      </c>
      <c r="P116" s="4"/>
      <c r="Q116" s="4"/>
      <c r="R116" s="1" t="s">
        <v>89</v>
      </c>
      <c r="S116" s="1" t="s">
        <v>624</v>
      </c>
      <c r="T116" s="1" t="s">
        <v>98</v>
      </c>
      <c r="U116" s="1">
        <v>18.0</v>
      </c>
      <c r="V116" s="5" t="s">
        <v>623</v>
      </c>
      <c r="W116" s="1" t="s">
        <v>624</v>
      </c>
      <c r="X116" s="1" t="s">
        <v>626</v>
      </c>
      <c r="Y116" s="4"/>
      <c r="Z116" s="4"/>
      <c r="AA116" s="4" t="b">
        <f>IFERROR(__xludf.DUMMYFUNCTION("IF(X116="""",,REGEXMATCH(X116,""[א-ת]""))"),FALSE)</f>
        <v>0</v>
      </c>
      <c r="AB116" s="1">
        <v>31.16</v>
      </c>
      <c r="AC116" s="1">
        <v>52.94</v>
      </c>
      <c r="AD116" s="1">
        <v>0.624010904952467</v>
      </c>
      <c r="AE116" s="1">
        <v>-0.5574</v>
      </c>
      <c r="AF116" s="1">
        <v>-0.0869</v>
      </c>
      <c r="AG116" s="1">
        <v>6.337</v>
      </c>
      <c r="AH116" s="1">
        <v>6.781</v>
      </c>
      <c r="AI116" s="1" t="b">
        <v>0</v>
      </c>
      <c r="AJ116" s="1" t="b">
        <v>0</v>
      </c>
      <c r="AK116" s="1">
        <v>94.182</v>
      </c>
      <c r="AL116" s="1">
        <v>96.508</v>
      </c>
      <c r="AM116" s="1" t="b">
        <v>0</v>
      </c>
      <c r="AN116" s="1" t="b">
        <v>0</v>
      </c>
      <c r="AO116" s="1">
        <v>8.05</v>
      </c>
      <c r="AP116" s="1">
        <v>8.53399999999999</v>
      </c>
      <c r="AQ116" s="1" t="b">
        <v>0</v>
      </c>
      <c r="AR116" s="1" t="b">
        <v>0</v>
      </c>
      <c r="AS116" s="1">
        <v>86.9179999999999</v>
      </c>
      <c r="AT116" s="1">
        <v>87.152</v>
      </c>
      <c r="AU116" s="1" t="b">
        <v>1</v>
      </c>
      <c r="AV116" s="1" t="b">
        <v>0</v>
      </c>
      <c r="AW116" s="1">
        <v>9.61399999999999</v>
      </c>
      <c r="AX116" s="1">
        <v>11.026</v>
      </c>
      <c r="AY116" s="1" t="b">
        <v>1</v>
      </c>
      <c r="AZ116" s="1" t="b">
        <v>0</v>
      </c>
      <c r="BA116" s="1">
        <v>81.25</v>
      </c>
      <c r="BB116" s="1">
        <v>77.78</v>
      </c>
      <c r="BC116" s="1" t="b">
        <v>1</v>
      </c>
      <c r="BD116" s="1" t="b">
        <v>0</v>
      </c>
      <c r="BE116" s="1">
        <v>11.34</v>
      </c>
      <c r="BF116" s="1">
        <v>13.285</v>
      </c>
      <c r="BG116" s="1" t="b">
        <v>1</v>
      </c>
      <c r="BH116" s="1" t="b">
        <v>0</v>
      </c>
      <c r="BI116" s="1">
        <v>77.78</v>
      </c>
      <c r="BJ116" s="1">
        <v>75.0</v>
      </c>
      <c r="BK116" s="1" t="b">
        <v>1</v>
      </c>
      <c r="BL116" s="1" t="b">
        <v>0</v>
      </c>
      <c r="BM116" s="1">
        <v>13.121</v>
      </c>
      <c r="BN116" s="1">
        <v>14.568</v>
      </c>
      <c r="BO116" s="1" t="b">
        <v>1</v>
      </c>
      <c r="BP116" s="1" t="b">
        <v>0</v>
      </c>
      <c r="BQ116" s="1">
        <v>75.0</v>
      </c>
      <c r="BR116" s="1">
        <v>72.027</v>
      </c>
      <c r="BS116" s="1" t="b">
        <v>1</v>
      </c>
      <c r="BT116" s="1" t="b">
        <v>0</v>
      </c>
      <c r="BU116" s="1" t="s">
        <v>105</v>
      </c>
      <c r="BV116" s="1" t="s">
        <v>105</v>
      </c>
      <c r="BW116" s="1" t="s">
        <v>105</v>
      </c>
      <c r="BX116" s="1" t="s">
        <v>91</v>
      </c>
      <c r="BY116" s="1" t="s">
        <v>91</v>
      </c>
      <c r="BZ116" s="1" t="s">
        <v>91</v>
      </c>
      <c r="CA116" s="1" t="s">
        <v>91</v>
      </c>
      <c r="CB116" s="1" t="s">
        <v>91</v>
      </c>
      <c r="CC116" s="1" t="s">
        <v>91</v>
      </c>
      <c r="CD116" s="1" t="s">
        <v>91</v>
      </c>
      <c r="CE116" s="4"/>
      <c r="CF116" s="4"/>
    </row>
    <row r="117" hidden="1">
      <c r="A117" s="1" t="s">
        <v>82</v>
      </c>
      <c r="B117" s="1" t="s">
        <v>123</v>
      </c>
      <c r="C117" s="1">
        <v>28.0</v>
      </c>
      <c r="D117" s="5" t="s">
        <v>627</v>
      </c>
      <c r="E117" s="1" t="s">
        <v>628</v>
      </c>
      <c r="F117" s="1">
        <v>15.0</v>
      </c>
      <c r="G117" s="1">
        <v>-0.8205</v>
      </c>
      <c r="H117" s="1" t="s">
        <v>629</v>
      </c>
      <c r="I117" s="4" t="b">
        <f>IFERROR(__xludf.DUMMYFUNCTION("IF(H117="""",,REGEXMATCH(H117,""[א-ת]""))"),FALSE)</f>
        <v>0</v>
      </c>
      <c r="J117" s="4"/>
      <c r="K117" s="4"/>
      <c r="L117" s="1">
        <v>0.4291</v>
      </c>
      <c r="M117" s="1">
        <v>8.84</v>
      </c>
      <c r="N117" s="1">
        <v>106.67</v>
      </c>
      <c r="O117" s="1">
        <v>7.111333333</v>
      </c>
      <c r="P117" s="4"/>
      <c r="Q117" s="4"/>
      <c r="R117" s="1" t="s">
        <v>127</v>
      </c>
      <c r="S117" s="1" t="s">
        <v>628</v>
      </c>
      <c r="T117" s="1" t="s">
        <v>123</v>
      </c>
      <c r="U117" s="1">
        <v>29.0</v>
      </c>
      <c r="V117" s="5" t="s">
        <v>627</v>
      </c>
      <c r="W117" s="1" t="s">
        <v>628</v>
      </c>
      <c r="X117" s="1" t="s">
        <v>630</v>
      </c>
      <c r="Y117" s="4"/>
      <c r="Z117" s="4"/>
      <c r="AA117" s="4" t="b">
        <f>IFERROR(__xludf.DUMMYFUNCTION("IF(X117="""",,REGEXMATCH(X117,""[א-ת]""))"),FALSE)</f>
        <v>0</v>
      </c>
      <c r="AB117" s="1">
        <v>34.71</v>
      </c>
      <c r="AC117" s="1">
        <v>33.33</v>
      </c>
      <c r="AD117" s="1">
        <v>0.708823039104605</v>
      </c>
      <c r="AE117" s="1">
        <v>-0.6322</v>
      </c>
      <c r="AF117" s="1">
        <v>-0.8205</v>
      </c>
      <c r="AG117" s="1">
        <v>6.337</v>
      </c>
      <c r="AH117" s="1">
        <v>6.781</v>
      </c>
      <c r="AI117" s="1" t="b">
        <v>0</v>
      </c>
      <c r="AJ117" s="1" t="b">
        <v>0</v>
      </c>
      <c r="AK117" s="1">
        <v>94.182</v>
      </c>
      <c r="AL117" s="1">
        <v>96.508</v>
      </c>
      <c r="AM117" s="1" t="b">
        <v>1</v>
      </c>
      <c r="AN117" s="1" t="b">
        <v>0</v>
      </c>
      <c r="AO117" s="1">
        <v>8.05</v>
      </c>
      <c r="AP117" s="1">
        <v>8.53399999999999</v>
      </c>
      <c r="AQ117" s="1" t="b">
        <v>0</v>
      </c>
      <c r="AR117" s="1" t="b">
        <v>0</v>
      </c>
      <c r="AS117" s="1">
        <v>86.9179999999999</v>
      </c>
      <c r="AT117" s="1">
        <v>87.152</v>
      </c>
      <c r="AU117" s="1" t="b">
        <v>1</v>
      </c>
      <c r="AV117" s="1" t="b">
        <v>0</v>
      </c>
      <c r="AW117" s="1">
        <v>9.61399999999999</v>
      </c>
      <c r="AX117" s="1">
        <v>11.026</v>
      </c>
      <c r="AY117" s="1" t="b">
        <v>1</v>
      </c>
      <c r="AZ117" s="1" t="b">
        <v>0</v>
      </c>
      <c r="BA117" s="1">
        <v>81.25</v>
      </c>
      <c r="BB117" s="1">
        <v>77.78</v>
      </c>
      <c r="BC117" s="1" t="b">
        <v>1</v>
      </c>
      <c r="BD117" s="1" t="b">
        <v>0</v>
      </c>
      <c r="BE117" s="1">
        <v>11.34</v>
      </c>
      <c r="BF117" s="1">
        <v>13.285</v>
      </c>
      <c r="BG117" s="1" t="b">
        <v>1</v>
      </c>
      <c r="BH117" s="1" t="b">
        <v>0</v>
      </c>
      <c r="BI117" s="1">
        <v>77.78</v>
      </c>
      <c r="BJ117" s="1">
        <v>75.0</v>
      </c>
      <c r="BK117" s="1" t="b">
        <v>1</v>
      </c>
      <c r="BL117" s="1" t="b">
        <v>0</v>
      </c>
      <c r="BM117" s="1">
        <v>13.121</v>
      </c>
      <c r="BN117" s="1">
        <v>14.568</v>
      </c>
      <c r="BO117" s="1" t="b">
        <v>1</v>
      </c>
      <c r="BP117" s="1" t="b">
        <v>0</v>
      </c>
      <c r="BQ117" s="1">
        <v>75.0</v>
      </c>
      <c r="BR117" s="1">
        <v>72.027</v>
      </c>
      <c r="BS117" s="1" t="b">
        <v>1</v>
      </c>
      <c r="BT117" s="1" t="b">
        <v>0</v>
      </c>
      <c r="BU117" s="1" t="s">
        <v>105</v>
      </c>
      <c r="BV117" s="1" t="s">
        <v>91</v>
      </c>
      <c r="BW117" s="1" t="s">
        <v>105</v>
      </c>
      <c r="BX117" s="1" t="s">
        <v>91</v>
      </c>
      <c r="BY117" s="1" t="s">
        <v>91</v>
      </c>
      <c r="BZ117" s="1" t="s">
        <v>91</v>
      </c>
      <c r="CA117" s="1" t="s">
        <v>91</v>
      </c>
      <c r="CB117" s="1" t="s">
        <v>91</v>
      </c>
      <c r="CC117" s="1" t="s">
        <v>91</v>
      </c>
      <c r="CD117" s="1" t="s">
        <v>91</v>
      </c>
      <c r="CE117" s="4"/>
      <c r="CF117" s="4"/>
    </row>
    <row r="118" hidden="1">
      <c r="A118" s="1" t="s">
        <v>82</v>
      </c>
      <c r="B118" s="1" t="s">
        <v>631</v>
      </c>
      <c r="C118" s="1">
        <v>11.0</v>
      </c>
      <c r="D118" s="5" t="s">
        <v>632</v>
      </c>
      <c r="E118" s="1" t="s">
        <v>633</v>
      </c>
      <c r="F118" s="1">
        <v>18.0</v>
      </c>
      <c r="G118" s="1">
        <v>-0.5994</v>
      </c>
      <c r="H118" s="1" t="s">
        <v>634</v>
      </c>
      <c r="I118" s="4" t="b">
        <f>IFERROR(__xludf.DUMMYFUNCTION("IF(H118="""",,REGEXMATCH(H118,""[א-ת]""))"),FALSE)</f>
        <v>0</v>
      </c>
      <c r="J118" s="4"/>
      <c r="K118" s="4"/>
      <c r="L118" s="1">
        <v>0.0</v>
      </c>
      <c r="M118" s="1">
        <v>8.84</v>
      </c>
      <c r="N118" s="1">
        <v>66.67</v>
      </c>
      <c r="O118" s="1">
        <v>3.703888889</v>
      </c>
      <c r="P118" s="4"/>
      <c r="Q118" s="4"/>
      <c r="R118" s="1" t="s">
        <v>89</v>
      </c>
      <c r="S118" s="1" t="s">
        <v>633</v>
      </c>
      <c r="T118" s="1" t="s">
        <v>631</v>
      </c>
      <c r="U118" s="1">
        <v>12.0</v>
      </c>
      <c r="V118" s="5" t="s">
        <v>632</v>
      </c>
      <c r="W118" s="1" t="s">
        <v>633</v>
      </c>
      <c r="X118" s="1" t="s">
        <v>635</v>
      </c>
      <c r="Y118" s="4"/>
      <c r="Z118" s="4"/>
      <c r="AA118" s="4" t="b">
        <f>IFERROR(__xludf.DUMMYFUNCTION("IF(X118="""",,REGEXMATCH(X118,""[א-ת]""))"),FALSE)</f>
        <v>0</v>
      </c>
      <c r="AB118" s="1">
        <v>10.88</v>
      </c>
      <c r="AC118" s="1">
        <v>61.11</v>
      </c>
      <c r="AD118" s="1">
        <v>0.354694941231848</v>
      </c>
      <c r="AE118" s="1">
        <v>0.0</v>
      </c>
      <c r="AF118" s="1">
        <v>-0.5994</v>
      </c>
      <c r="AG118" s="1">
        <v>6.337</v>
      </c>
      <c r="AH118" s="1">
        <v>6.781</v>
      </c>
      <c r="AI118" s="1" t="b">
        <v>0</v>
      </c>
      <c r="AJ118" s="1" t="b">
        <v>0</v>
      </c>
      <c r="AK118" s="1">
        <v>94.182</v>
      </c>
      <c r="AL118" s="1">
        <v>96.508</v>
      </c>
      <c r="AM118" s="1" t="b">
        <v>0</v>
      </c>
      <c r="AN118" s="1" t="b">
        <v>0</v>
      </c>
      <c r="AO118" s="1">
        <v>8.05</v>
      </c>
      <c r="AP118" s="1">
        <v>8.53399999999999</v>
      </c>
      <c r="AQ118" s="1" t="b">
        <v>0</v>
      </c>
      <c r="AR118" s="1" t="b">
        <v>0</v>
      </c>
      <c r="AS118" s="1">
        <v>86.9179999999999</v>
      </c>
      <c r="AT118" s="1">
        <v>87.152</v>
      </c>
      <c r="AU118" s="1" t="b">
        <v>0</v>
      </c>
      <c r="AV118" s="1" t="b">
        <v>0</v>
      </c>
      <c r="AW118" s="1">
        <v>9.61399999999999</v>
      </c>
      <c r="AX118" s="1">
        <v>11.026</v>
      </c>
      <c r="AY118" s="1" t="b">
        <v>1</v>
      </c>
      <c r="AZ118" s="1" t="b">
        <v>1</v>
      </c>
      <c r="BA118" s="1">
        <v>81.25</v>
      </c>
      <c r="BB118" s="1">
        <v>77.78</v>
      </c>
      <c r="BC118" s="1" t="b">
        <v>0</v>
      </c>
      <c r="BD118" s="1" t="b">
        <v>0</v>
      </c>
      <c r="BE118" s="1">
        <v>11.34</v>
      </c>
      <c r="BF118" s="1">
        <v>13.285</v>
      </c>
      <c r="BG118" s="1" t="b">
        <v>1</v>
      </c>
      <c r="BH118" s="1" t="b">
        <v>1</v>
      </c>
      <c r="BI118" s="1">
        <v>77.78</v>
      </c>
      <c r="BJ118" s="1">
        <v>75.0</v>
      </c>
      <c r="BK118" s="1" t="b">
        <v>0</v>
      </c>
      <c r="BL118" s="1" t="b">
        <v>0</v>
      </c>
      <c r="BM118" s="1">
        <v>13.121</v>
      </c>
      <c r="BN118" s="1">
        <v>14.568</v>
      </c>
      <c r="BO118" s="1" t="b">
        <v>1</v>
      </c>
      <c r="BP118" s="1" t="b">
        <v>1</v>
      </c>
      <c r="BQ118" s="1">
        <v>75.0</v>
      </c>
      <c r="BR118" s="1">
        <v>72.027</v>
      </c>
      <c r="BS118" s="1" t="b">
        <v>0</v>
      </c>
      <c r="BT118" s="1" t="b">
        <v>0</v>
      </c>
      <c r="BU118" s="1" t="s">
        <v>105</v>
      </c>
      <c r="BV118" s="1" t="s">
        <v>105</v>
      </c>
      <c r="BW118" s="1" t="s">
        <v>105</v>
      </c>
      <c r="BX118" s="1" t="s">
        <v>105</v>
      </c>
      <c r="BY118" s="1" t="s">
        <v>104</v>
      </c>
      <c r="BZ118" s="1" t="s">
        <v>105</v>
      </c>
      <c r="CA118" s="1" t="s">
        <v>104</v>
      </c>
      <c r="CB118" s="1" t="s">
        <v>105</v>
      </c>
      <c r="CC118" s="1" t="s">
        <v>104</v>
      </c>
      <c r="CD118" s="1" t="s">
        <v>105</v>
      </c>
      <c r="CE118" s="4"/>
      <c r="CF118" s="4"/>
    </row>
    <row r="119" hidden="1">
      <c r="A119" s="1" t="s">
        <v>82</v>
      </c>
      <c r="B119" s="1" t="s">
        <v>333</v>
      </c>
      <c r="C119" s="1">
        <v>5.0</v>
      </c>
      <c r="D119" s="5" t="s">
        <v>636</v>
      </c>
      <c r="E119" s="1" t="s">
        <v>637</v>
      </c>
      <c r="F119" s="1">
        <v>7.0</v>
      </c>
      <c r="G119" s="1">
        <v>-0.3612</v>
      </c>
      <c r="H119" s="1" t="s">
        <v>638</v>
      </c>
      <c r="I119" s="4" t="b">
        <f>IFERROR(__xludf.DUMMYFUNCTION("IF(H119="""",,REGEXMATCH(H119,""[א-ת]""))"),FALSE)</f>
        <v>0</v>
      </c>
      <c r="J119" s="4"/>
      <c r="K119" s="4"/>
      <c r="L119" s="1">
        <v>0.0</v>
      </c>
      <c r="M119" s="1">
        <v>9.01</v>
      </c>
      <c r="N119" s="1">
        <v>171.43</v>
      </c>
      <c r="O119" s="1">
        <v>24.49</v>
      </c>
      <c r="P119" s="4"/>
      <c r="Q119" s="4"/>
      <c r="R119" s="1" t="s">
        <v>89</v>
      </c>
      <c r="S119" s="1" t="s">
        <v>637</v>
      </c>
      <c r="T119" s="1" t="s">
        <v>333</v>
      </c>
      <c r="U119" s="1">
        <v>6.0</v>
      </c>
      <c r="V119" s="5" t="s">
        <v>636</v>
      </c>
      <c r="W119" s="1" t="s">
        <v>637</v>
      </c>
      <c r="X119" s="1" t="s">
        <v>639</v>
      </c>
      <c r="Y119" s="4"/>
      <c r="Z119" s="4"/>
      <c r="AA119" s="4" t="b">
        <f>IFERROR(__xludf.DUMMYFUNCTION("IF(X119="""",,REGEXMATCH(X119,""[א-ת]""))"),FALSE)</f>
        <v>0</v>
      </c>
      <c r="AB119" s="1">
        <v>14.4</v>
      </c>
      <c r="AC119" s="1">
        <v>100.0</v>
      </c>
      <c r="AD119" s="1">
        <v>0.802728483821367</v>
      </c>
      <c r="AE119" s="1">
        <v>0.0</v>
      </c>
      <c r="AF119" s="1">
        <v>-0.3612</v>
      </c>
      <c r="AG119" s="1">
        <v>6.337</v>
      </c>
      <c r="AH119" s="1">
        <v>6.781</v>
      </c>
      <c r="AI119" s="1" t="b">
        <v>0</v>
      </c>
      <c r="AJ119" s="1" t="b">
        <v>0</v>
      </c>
      <c r="AK119" s="1">
        <v>94.182</v>
      </c>
      <c r="AL119" s="1">
        <v>96.508</v>
      </c>
      <c r="AM119" s="1" t="b">
        <v>1</v>
      </c>
      <c r="AN119" s="1" t="b">
        <v>1</v>
      </c>
      <c r="AO119" s="1">
        <v>8.05</v>
      </c>
      <c r="AP119" s="1">
        <v>8.53399999999999</v>
      </c>
      <c r="AQ119" s="1" t="b">
        <v>0</v>
      </c>
      <c r="AR119" s="1" t="b">
        <v>0</v>
      </c>
      <c r="AS119" s="1">
        <v>86.9179999999999</v>
      </c>
      <c r="AT119" s="1">
        <v>87.152</v>
      </c>
      <c r="AU119" s="1" t="b">
        <v>1</v>
      </c>
      <c r="AV119" s="1" t="b">
        <v>1</v>
      </c>
      <c r="AW119" s="1">
        <v>9.61399999999999</v>
      </c>
      <c r="AX119" s="1">
        <v>11.026</v>
      </c>
      <c r="AY119" s="1" t="b">
        <v>1</v>
      </c>
      <c r="AZ119" s="1" t="b">
        <v>0</v>
      </c>
      <c r="BA119" s="1">
        <v>81.25</v>
      </c>
      <c r="BB119" s="1">
        <v>77.78</v>
      </c>
      <c r="BC119" s="1" t="b">
        <v>1</v>
      </c>
      <c r="BD119" s="1" t="b">
        <v>1</v>
      </c>
      <c r="BE119" s="1">
        <v>11.34</v>
      </c>
      <c r="BF119" s="1">
        <v>13.285</v>
      </c>
      <c r="BG119" s="1" t="b">
        <v>1</v>
      </c>
      <c r="BH119" s="1" t="b">
        <v>0</v>
      </c>
      <c r="BI119" s="1">
        <v>77.78</v>
      </c>
      <c r="BJ119" s="1">
        <v>75.0</v>
      </c>
      <c r="BK119" s="1" t="b">
        <v>1</v>
      </c>
      <c r="BL119" s="1" t="b">
        <v>1</v>
      </c>
      <c r="BM119" s="1">
        <v>13.121</v>
      </c>
      <c r="BN119" s="1">
        <v>14.568</v>
      </c>
      <c r="BO119" s="1" t="b">
        <v>1</v>
      </c>
      <c r="BP119" s="1" t="b">
        <v>1</v>
      </c>
      <c r="BQ119" s="1">
        <v>75.0</v>
      </c>
      <c r="BR119" s="1">
        <v>72.027</v>
      </c>
      <c r="BS119" s="1" t="b">
        <v>1</v>
      </c>
      <c r="BT119" s="1" t="b">
        <v>1</v>
      </c>
      <c r="BU119" s="1" t="s">
        <v>105</v>
      </c>
      <c r="BV119" s="1" t="s">
        <v>104</v>
      </c>
      <c r="BW119" s="1" t="s">
        <v>105</v>
      </c>
      <c r="BX119" s="1" t="s">
        <v>104</v>
      </c>
      <c r="BY119" s="1" t="s">
        <v>91</v>
      </c>
      <c r="BZ119" s="1" t="s">
        <v>104</v>
      </c>
      <c r="CA119" s="1" t="s">
        <v>91</v>
      </c>
      <c r="CB119" s="1" t="s">
        <v>104</v>
      </c>
      <c r="CC119" s="1" t="s">
        <v>104</v>
      </c>
      <c r="CD119" s="1" t="s">
        <v>104</v>
      </c>
      <c r="CE119" s="4"/>
      <c r="CF119" s="4"/>
    </row>
    <row r="120">
      <c r="A120" s="1" t="s">
        <v>82</v>
      </c>
      <c r="B120" s="1" t="s">
        <v>167</v>
      </c>
      <c r="C120" s="1">
        <v>7.0</v>
      </c>
      <c r="D120" s="5" t="s">
        <v>640</v>
      </c>
      <c r="E120" s="1" t="s">
        <v>641</v>
      </c>
      <c r="F120" s="1">
        <v>18.0</v>
      </c>
      <c r="G120" s="1">
        <v>0.0</v>
      </c>
      <c r="H120" s="1" t="s">
        <v>642</v>
      </c>
      <c r="I120" s="4" t="b">
        <f>IFERROR(__xludf.DUMMYFUNCTION("IF(H120="""",,REGEXMATCH(H120,""[א-ת]""))"),FALSE)</f>
        <v>0</v>
      </c>
      <c r="J120" s="4"/>
      <c r="K120" s="4"/>
      <c r="L120" s="1">
        <v>0.0</v>
      </c>
      <c r="M120" s="1">
        <v>9.09</v>
      </c>
      <c r="N120" s="1">
        <v>72.22</v>
      </c>
      <c r="O120" s="1">
        <v>4.012222222</v>
      </c>
      <c r="P120" s="4"/>
      <c r="Q120" s="4"/>
      <c r="R120" s="1" t="s">
        <v>127</v>
      </c>
      <c r="S120" s="1" t="s">
        <v>641</v>
      </c>
      <c r="T120" s="1" t="s">
        <v>167</v>
      </c>
      <c r="U120" s="1">
        <v>8.0</v>
      </c>
      <c r="V120" s="5" t="s">
        <v>640</v>
      </c>
      <c r="W120" s="1" t="s">
        <v>641</v>
      </c>
      <c r="X120" s="1" t="s">
        <v>643</v>
      </c>
      <c r="Y120" s="1" t="s">
        <v>644</v>
      </c>
      <c r="Z120" s="1" t="s">
        <v>645</v>
      </c>
      <c r="AA120" s="4" t="b">
        <f>IFERROR(__xludf.DUMMYFUNCTION("IF(X120="""",,REGEXMATCH(X120,""[א-ת]""))"),FALSE)</f>
        <v>0</v>
      </c>
      <c r="AB120" s="1">
        <v>6.23</v>
      </c>
      <c r="AC120" s="1">
        <v>72.22</v>
      </c>
      <c r="AD120" s="1">
        <v>0.453578525884514</v>
      </c>
      <c r="AE120" s="1">
        <v>0.0</v>
      </c>
      <c r="AF120" s="1">
        <v>0.0</v>
      </c>
      <c r="AG120" s="1">
        <v>6.337</v>
      </c>
      <c r="AH120" s="1">
        <v>6.781</v>
      </c>
      <c r="AI120" s="1" t="b">
        <v>0</v>
      </c>
      <c r="AJ120" s="1" t="b">
        <v>1</v>
      </c>
      <c r="AK120" s="1">
        <v>94.182</v>
      </c>
      <c r="AL120" s="1">
        <v>96.508</v>
      </c>
      <c r="AM120" s="1" t="b">
        <v>0</v>
      </c>
      <c r="AN120" s="1" t="b">
        <v>0</v>
      </c>
      <c r="AO120" s="1">
        <v>8.05</v>
      </c>
      <c r="AP120" s="1">
        <v>8.53399999999999</v>
      </c>
      <c r="AQ120" s="1" t="b">
        <v>0</v>
      </c>
      <c r="AR120" s="1" t="b">
        <v>1</v>
      </c>
      <c r="AS120" s="1">
        <v>86.9179999999999</v>
      </c>
      <c r="AT120" s="1">
        <v>87.152</v>
      </c>
      <c r="AU120" s="1" t="b">
        <v>0</v>
      </c>
      <c r="AV120" s="1" t="b">
        <v>0</v>
      </c>
      <c r="AW120" s="1">
        <v>9.61399999999999</v>
      </c>
      <c r="AX120" s="1">
        <v>11.026</v>
      </c>
      <c r="AY120" s="1" t="b">
        <v>1</v>
      </c>
      <c r="AZ120" s="1" t="b">
        <v>1</v>
      </c>
      <c r="BA120" s="1">
        <v>81.25</v>
      </c>
      <c r="BB120" s="1">
        <v>77.78</v>
      </c>
      <c r="BC120" s="1" t="b">
        <v>0</v>
      </c>
      <c r="BD120" s="1" t="b">
        <v>0</v>
      </c>
      <c r="BE120" s="1">
        <v>11.34</v>
      </c>
      <c r="BF120" s="1">
        <v>13.285</v>
      </c>
      <c r="BG120" s="1" t="b">
        <v>1</v>
      </c>
      <c r="BH120" s="1" t="b">
        <v>1</v>
      </c>
      <c r="BI120" s="1">
        <v>77.78</v>
      </c>
      <c r="BJ120" s="1">
        <v>75.0</v>
      </c>
      <c r="BK120" s="1" t="b">
        <v>0</v>
      </c>
      <c r="BL120" s="1" t="b">
        <v>0</v>
      </c>
      <c r="BM120" s="1">
        <v>13.121</v>
      </c>
      <c r="BN120" s="1">
        <v>14.568</v>
      </c>
      <c r="BO120" s="1" t="b">
        <v>1</v>
      </c>
      <c r="BP120" s="1" t="b">
        <v>1</v>
      </c>
      <c r="BQ120" s="1">
        <v>75.0</v>
      </c>
      <c r="BR120" s="1">
        <v>72.027</v>
      </c>
      <c r="BS120" s="1" t="b">
        <v>0</v>
      </c>
      <c r="BT120" s="1" t="b">
        <v>1</v>
      </c>
      <c r="BU120" s="1" t="s">
        <v>157</v>
      </c>
      <c r="BV120" s="1" t="s">
        <v>105</v>
      </c>
      <c r="BW120" s="1" t="s">
        <v>157</v>
      </c>
      <c r="BX120" s="1" t="s">
        <v>105</v>
      </c>
      <c r="BY120" s="1" t="s">
        <v>104</v>
      </c>
      <c r="BZ120" s="1" t="s">
        <v>105</v>
      </c>
      <c r="CA120" s="1" t="s">
        <v>104</v>
      </c>
      <c r="CB120" s="1" t="s">
        <v>105</v>
      </c>
      <c r="CC120" s="1" t="s">
        <v>104</v>
      </c>
      <c r="CD120" s="1" t="s">
        <v>157</v>
      </c>
      <c r="CE120" s="4"/>
      <c r="CF120" s="4"/>
    </row>
    <row r="121">
      <c r="A121" s="1" t="s">
        <v>82</v>
      </c>
      <c r="B121" s="1" t="s">
        <v>333</v>
      </c>
      <c r="C121" s="1">
        <v>17.0</v>
      </c>
      <c r="D121" s="5" t="s">
        <v>646</v>
      </c>
      <c r="E121" s="1" t="s">
        <v>647</v>
      </c>
      <c r="F121" s="1">
        <v>18.0</v>
      </c>
      <c r="G121" s="1">
        <v>0.0</v>
      </c>
      <c r="H121" s="1" t="s">
        <v>648</v>
      </c>
      <c r="I121" s="4" t="b">
        <f>IFERROR(__xludf.DUMMYFUNCTION("IF(H121="""",,REGEXMATCH(H121,""[א-ת]""))"),FALSE)</f>
        <v>0</v>
      </c>
      <c r="J121" s="4"/>
      <c r="K121" s="4"/>
      <c r="L121" s="1">
        <v>0.0258</v>
      </c>
      <c r="M121" s="1">
        <v>9.13</v>
      </c>
      <c r="N121" s="1">
        <v>105.56</v>
      </c>
      <c r="O121" s="1">
        <v>5.864444444</v>
      </c>
      <c r="P121" s="4"/>
      <c r="Q121" s="4"/>
      <c r="R121" s="1" t="s">
        <v>89</v>
      </c>
      <c r="S121" s="1" t="s">
        <v>647</v>
      </c>
      <c r="T121" s="1" t="s">
        <v>333</v>
      </c>
      <c r="U121" s="1">
        <v>18.0</v>
      </c>
      <c r="V121" s="5" t="s">
        <v>646</v>
      </c>
      <c r="W121" s="1" t="s">
        <v>647</v>
      </c>
      <c r="X121" s="1" t="s">
        <v>649</v>
      </c>
      <c r="Y121" s="1" t="s">
        <v>609</v>
      </c>
      <c r="Z121" s="1" t="s">
        <v>650</v>
      </c>
      <c r="AA121" s="4" t="b">
        <f>IFERROR(__xludf.DUMMYFUNCTION("IF(X121="""",,REGEXMATCH(X121,""[א-ת]""))"),FALSE)</f>
        <v>0</v>
      </c>
      <c r="AB121" s="1">
        <v>4.63</v>
      </c>
      <c r="AC121" s="1">
        <v>88.89</v>
      </c>
      <c r="AD121" s="1">
        <v>0.612912321150488</v>
      </c>
      <c r="AE121" s="1">
        <v>-0.5106</v>
      </c>
      <c r="AF121" s="1">
        <v>0.0</v>
      </c>
      <c r="AG121" s="1">
        <v>6.337</v>
      </c>
      <c r="AH121" s="1">
        <v>6.781</v>
      </c>
      <c r="AI121" s="1" t="b">
        <v>0</v>
      </c>
      <c r="AJ121" s="1" t="b">
        <v>1</v>
      </c>
      <c r="AK121" s="1">
        <v>94.182</v>
      </c>
      <c r="AL121" s="1">
        <v>96.508</v>
      </c>
      <c r="AM121" s="1" t="b">
        <v>1</v>
      </c>
      <c r="AN121" s="1" t="b">
        <v>0</v>
      </c>
      <c r="AO121" s="1">
        <v>8.05</v>
      </c>
      <c r="AP121" s="1">
        <v>8.53399999999999</v>
      </c>
      <c r="AQ121" s="1" t="b">
        <v>0</v>
      </c>
      <c r="AR121" s="1" t="b">
        <v>1</v>
      </c>
      <c r="AS121" s="1">
        <v>86.9179999999999</v>
      </c>
      <c r="AT121" s="1">
        <v>87.152</v>
      </c>
      <c r="AU121" s="1" t="b">
        <v>1</v>
      </c>
      <c r="AV121" s="1" t="b">
        <v>1</v>
      </c>
      <c r="AW121" s="1">
        <v>9.61399999999999</v>
      </c>
      <c r="AX121" s="1">
        <v>11.026</v>
      </c>
      <c r="AY121" s="1" t="b">
        <v>1</v>
      </c>
      <c r="AZ121" s="1" t="b">
        <v>1</v>
      </c>
      <c r="BA121" s="1">
        <v>81.25</v>
      </c>
      <c r="BB121" s="1">
        <v>77.78</v>
      </c>
      <c r="BC121" s="1" t="b">
        <v>1</v>
      </c>
      <c r="BD121" s="1" t="b">
        <v>1</v>
      </c>
      <c r="BE121" s="1">
        <v>11.34</v>
      </c>
      <c r="BF121" s="1">
        <v>13.285</v>
      </c>
      <c r="BG121" s="1" t="b">
        <v>1</v>
      </c>
      <c r="BH121" s="1" t="b">
        <v>1</v>
      </c>
      <c r="BI121" s="1">
        <v>77.78</v>
      </c>
      <c r="BJ121" s="1">
        <v>75.0</v>
      </c>
      <c r="BK121" s="1" t="b">
        <v>1</v>
      </c>
      <c r="BL121" s="1" t="b">
        <v>1</v>
      </c>
      <c r="BM121" s="1">
        <v>13.121</v>
      </c>
      <c r="BN121" s="1">
        <v>14.568</v>
      </c>
      <c r="BO121" s="1" t="b">
        <v>1</v>
      </c>
      <c r="BP121" s="1" t="b">
        <v>1</v>
      </c>
      <c r="BQ121" s="1">
        <v>75.0</v>
      </c>
      <c r="BR121" s="1">
        <v>72.027</v>
      </c>
      <c r="BS121" s="1" t="b">
        <v>1</v>
      </c>
      <c r="BT121" s="1" t="b">
        <v>1</v>
      </c>
      <c r="BU121" s="1" t="s">
        <v>157</v>
      </c>
      <c r="BV121" s="1" t="s">
        <v>91</v>
      </c>
      <c r="BW121" s="1" t="s">
        <v>157</v>
      </c>
      <c r="BX121" s="1" t="s">
        <v>104</v>
      </c>
      <c r="BY121" s="1" t="s">
        <v>104</v>
      </c>
      <c r="BZ121" s="1" t="s">
        <v>104</v>
      </c>
      <c r="CA121" s="1" t="s">
        <v>104</v>
      </c>
      <c r="CB121" s="1" t="s">
        <v>104</v>
      </c>
      <c r="CC121" s="1" t="s">
        <v>104</v>
      </c>
      <c r="CD121" s="1" t="s">
        <v>104</v>
      </c>
      <c r="CE121" s="4"/>
      <c r="CF121" s="4"/>
    </row>
    <row r="122">
      <c r="A122" s="1" t="s">
        <v>82</v>
      </c>
      <c r="B122" s="1" t="s">
        <v>158</v>
      </c>
      <c r="C122" s="1">
        <v>11.0</v>
      </c>
      <c r="D122" s="5" t="s">
        <v>651</v>
      </c>
      <c r="E122" s="1" t="s">
        <v>652</v>
      </c>
      <c r="F122" s="1">
        <v>9.0</v>
      </c>
      <c r="G122" s="1">
        <v>0.0</v>
      </c>
      <c r="H122" s="1" t="s">
        <v>653</v>
      </c>
      <c r="I122" s="4" t="b">
        <f>IFERROR(__xludf.DUMMYFUNCTION("IF(H122="""",,REGEXMATCH(H122,""[א-ת]""))"),FALSE)</f>
        <v>0</v>
      </c>
      <c r="J122" s="4"/>
      <c r="K122" s="4"/>
      <c r="L122" s="1">
        <v>0.0</v>
      </c>
      <c r="M122" s="1">
        <v>9.24</v>
      </c>
      <c r="N122" s="1">
        <v>88.89</v>
      </c>
      <c r="O122" s="1">
        <v>9.876666667</v>
      </c>
      <c r="P122" s="4"/>
      <c r="Q122" s="4"/>
      <c r="R122" s="1" t="s">
        <v>89</v>
      </c>
      <c r="S122" s="1" t="s">
        <v>652</v>
      </c>
      <c r="T122" s="1" t="s">
        <v>158</v>
      </c>
      <c r="U122" s="1">
        <v>12.0</v>
      </c>
      <c r="V122" s="5" t="s">
        <v>651</v>
      </c>
      <c r="W122" s="1" t="s">
        <v>652</v>
      </c>
      <c r="X122" s="1" t="s">
        <v>654</v>
      </c>
      <c r="Y122" s="1" t="s">
        <v>655</v>
      </c>
      <c r="Z122" s="4"/>
      <c r="AA122" s="4" t="b">
        <f>IFERROR(__xludf.DUMMYFUNCTION("IF(X122="""",,REGEXMATCH(X122,""[א-ת]""))"),TRUE)</f>
        <v>1</v>
      </c>
      <c r="AB122" s="1">
        <v>5.62</v>
      </c>
      <c r="AC122" s="1">
        <v>144.44</v>
      </c>
      <c r="AD122" s="1">
        <v>0.586995898119664</v>
      </c>
      <c r="AE122" s="1">
        <v>0.0</v>
      </c>
      <c r="AF122" s="1">
        <v>0.0</v>
      </c>
      <c r="AG122" s="1">
        <v>6.337</v>
      </c>
      <c r="AH122" s="1">
        <v>6.781</v>
      </c>
      <c r="AI122" s="1" t="b">
        <v>0</v>
      </c>
      <c r="AJ122" s="1" t="b">
        <v>1</v>
      </c>
      <c r="AK122" s="1">
        <v>94.182</v>
      </c>
      <c r="AL122" s="1">
        <v>96.508</v>
      </c>
      <c r="AM122" s="1" t="b">
        <v>0</v>
      </c>
      <c r="AN122" s="1" t="b">
        <v>1</v>
      </c>
      <c r="AO122" s="1">
        <v>8.05</v>
      </c>
      <c r="AP122" s="1">
        <v>8.53399999999999</v>
      </c>
      <c r="AQ122" s="1" t="b">
        <v>0</v>
      </c>
      <c r="AR122" s="1" t="b">
        <v>1</v>
      </c>
      <c r="AS122" s="1">
        <v>86.9179999999999</v>
      </c>
      <c r="AT122" s="1">
        <v>87.152</v>
      </c>
      <c r="AU122" s="1" t="b">
        <v>1</v>
      </c>
      <c r="AV122" s="1" t="b">
        <v>1</v>
      </c>
      <c r="AW122" s="1">
        <v>9.61399999999999</v>
      </c>
      <c r="AX122" s="1">
        <v>11.026</v>
      </c>
      <c r="AY122" s="1" t="b">
        <v>1</v>
      </c>
      <c r="AZ122" s="1" t="b">
        <v>1</v>
      </c>
      <c r="BA122" s="1">
        <v>81.25</v>
      </c>
      <c r="BB122" s="1">
        <v>77.78</v>
      </c>
      <c r="BC122" s="1" t="b">
        <v>1</v>
      </c>
      <c r="BD122" s="1" t="b">
        <v>1</v>
      </c>
      <c r="BE122" s="1">
        <v>11.34</v>
      </c>
      <c r="BF122" s="1">
        <v>13.285</v>
      </c>
      <c r="BG122" s="1" t="b">
        <v>1</v>
      </c>
      <c r="BH122" s="1" t="b">
        <v>1</v>
      </c>
      <c r="BI122" s="1">
        <v>77.78</v>
      </c>
      <c r="BJ122" s="1">
        <v>75.0</v>
      </c>
      <c r="BK122" s="1" t="b">
        <v>1</v>
      </c>
      <c r="BL122" s="1" t="b">
        <v>1</v>
      </c>
      <c r="BM122" s="1">
        <v>13.121</v>
      </c>
      <c r="BN122" s="1">
        <v>14.568</v>
      </c>
      <c r="BO122" s="1" t="b">
        <v>1</v>
      </c>
      <c r="BP122" s="1" t="b">
        <v>1</v>
      </c>
      <c r="BQ122" s="1">
        <v>75.0</v>
      </c>
      <c r="BR122" s="1">
        <v>72.027</v>
      </c>
      <c r="BS122" s="1" t="b">
        <v>1</v>
      </c>
      <c r="BT122" s="1" t="b">
        <v>1</v>
      </c>
      <c r="BU122" s="1" t="s">
        <v>157</v>
      </c>
      <c r="BV122" s="1" t="s">
        <v>157</v>
      </c>
      <c r="BW122" s="1" t="s">
        <v>157</v>
      </c>
      <c r="BX122" s="1" t="s">
        <v>104</v>
      </c>
      <c r="BY122" s="1" t="s">
        <v>104</v>
      </c>
      <c r="BZ122" s="1" t="s">
        <v>104</v>
      </c>
      <c r="CA122" s="1" t="s">
        <v>104</v>
      </c>
      <c r="CB122" s="1" t="s">
        <v>104</v>
      </c>
      <c r="CC122" s="1" t="s">
        <v>104</v>
      </c>
      <c r="CD122" s="1" t="s">
        <v>104</v>
      </c>
      <c r="CE122" s="4"/>
      <c r="CF122" s="4"/>
    </row>
    <row r="123" hidden="1">
      <c r="A123" s="1" t="s">
        <v>82</v>
      </c>
      <c r="B123" s="1" t="s">
        <v>111</v>
      </c>
      <c r="C123" s="1">
        <v>48.0</v>
      </c>
      <c r="D123" s="5" t="s">
        <v>656</v>
      </c>
      <c r="E123" s="1" t="s">
        <v>657</v>
      </c>
      <c r="F123" s="1">
        <v>45.0</v>
      </c>
      <c r="G123" s="1">
        <v>0.0</v>
      </c>
      <c r="H123" s="1" t="s">
        <v>658</v>
      </c>
      <c r="I123" s="4" t="b">
        <f>IFERROR(__xludf.DUMMYFUNCTION("IF(H123="""",,REGEXMATCH(H123,""[א-ת]""))"),FALSE)</f>
        <v>0</v>
      </c>
      <c r="J123" s="4"/>
      <c r="K123" s="4"/>
      <c r="L123" s="1">
        <v>0.5719</v>
      </c>
      <c r="M123" s="1">
        <v>9.26</v>
      </c>
      <c r="N123" s="1">
        <v>77.78</v>
      </c>
      <c r="O123" s="1">
        <v>1.728444444</v>
      </c>
      <c r="P123" s="4"/>
      <c r="Q123" s="4"/>
      <c r="R123" s="1" t="s">
        <v>89</v>
      </c>
      <c r="S123" s="1" t="s">
        <v>657</v>
      </c>
      <c r="T123" s="1" t="s">
        <v>111</v>
      </c>
      <c r="U123" s="1">
        <v>49.0</v>
      </c>
      <c r="V123" s="5" t="s">
        <v>656</v>
      </c>
      <c r="W123" s="1" t="s">
        <v>657</v>
      </c>
      <c r="X123" s="1" t="s">
        <v>659</v>
      </c>
      <c r="Y123" s="4"/>
      <c r="Z123" s="4"/>
      <c r="AA123" s="4" t="b">
        <f>IFERROR(__xludf.DUMMYFUNCTION("IF(X123="""",,REGEXMATCH(X123,""[א-ת]""))"),TRUE)</f>
        <v>1</v>
      </c>
      <c r="AB123" s="1">
        <v>21.02</v>
      </c>
      <c r="AC123" s="1">
        <v>60.0</v>
      </c>
      <c r="AD123" s="1">
        <v>0.577317075297585</v>
      </c>
      <c r="AE123" s="1">
        <v>0.0</v>
      </c>
      <c r="AF123" s="1">
        <v>0.0</v>
      </c>
      <c r="AG123" s="1">
        <v>6.337</v>
      </c>
      <c r="AH123" s="1">
        <v>6.781</v>
      </c>
      <c r="AI123" s="1" t="b">
        <v>0</v>
      </c>
      <c r="AJ123" s="1" t="b">
        <v>0</v>
      </c>
      <c r="AK123" s="1">
        <v>94.182</v>
      </c>
      <c r="AL123" s="1">
        <v>96.508</v>
      </c>
      <c r="AM123" s="1" t="b">
        <v>0</v>
      </c>
      <c r="AN123" s="1" t="b">
        <v>0</v>
      </c>
      <c r="AO123" s="1">
        <v>8.05</v>
      </c>
      <c r="AP123" s="1">
        <v>8.53399999999999</v>
      </c>
      <c r="AQ123" s="1" t="b">
        <v>0</v>
      </c>
      <c r="AR123" s="1" t="b">
        <v>0</v>
      </c>
      <c r="AS123" s="1">
        <v>86.9179999999999</v>
      </c>
      <c r="AT123" s="1">
        <v>87.152</v>
      </c>
      <c r="AU123" s="1" t="b">
        <v>0</v>
      </c>
      <c r="AV123" s="1" t="b">
        <v>0</v>
      </c>
      <c r="AW123" s="1">
        <v>9.61399999999999</v>
      </c>
      <c r="AX123" s="1">
        <v>11.026</v>
      </c>
      <c r="AY123" s="1" t="b">
        <v>1</v>
      </c>
      <c r="AZ123" s="1" t="b">
        <v>0</v>
      </c>
      <c r="BA123" s="1">
        <v>81.25</v>
      </c>
      <c r="BB123" s="1">
        <v>77.78</v>
      </c>
      <c r="BC123" s="1" t="b">
        <v>0</v>
      </c>
      <c r="BD123" s="1" t="b">
        <v>0</v>
      </c>
      <c r="BE123" s="1">
        <v>11.34</v>
      </c>
      <c r="BF123" s="1">
        <v>13.285</v>
      </c>
      <c r="BG123" s="1" t="b">
        <v>1</v>
      </c>
      <c r="BH123" s="1" t="b">
        <v>0</v>
      </c>
      <c r="BI123" s="1">
        <v>77.78</v>
      </c>
      <c r="BJ123" s="1">
        <v>75.0</v>
      </c>
      <c r="BK123" s="1" t="b">
        <v>1</v>
      </c>
      <c r="BL123" s="1" t="b">
        <v>0</v>
      </c>
      <c r="BM123" s="1">
        <v>13.121</v>
      </c>
      <c r="BN123" s="1">
        <v>14.568</v>
      </c>
      <c r="BO123" s="1" t="b">
        <v>1</v>
      </c>
      <c r="BP123" s="1" t="b">
        <v>0</v>
      </c>
      <c r="BQ123" s="1">
        <v>75.0</v>
      </c>
      <c r="BR123" s="1">
        <v>72.027</v>
      </c>
      <c r="BS123" s="1" t="b">
        <v>1</v>
      </c>
      <c r="BT123" s="1" t="b">
        <v>0</v>
      </c>
      <c r="BU123" s="1" t="s">
        <v>105</v>
      </c>
      <c r="BV123" s="1" t="s">
        <v>105</v>
      </c>
      <c r="BW123" s="1" t="s">
        <v>105</v>
      </c>
      <c r="BX123" s="1" t="s">
        <v>105</v>
      </c>
      <c r="BY123" s="1" t="s">
        <v>91</v>
      </c>
      <c r="BZ123" s="1" t="s">
        <v>105</v>
      </c>
      <c r="CA123" s="1" t="s">
        <v>91</v>
      </c>
      <c r="CB123" s="1" t="s">
        <v>91</v>
      </c>
      <c r="CC123" s="1" t="s">
        <v>91</v>
      </c>
      <c r="CD123" s="1" t="s">
        <v>91</v>
      </c>
      <c r="CE123" s="4"/>
      <c r="CF123" s="4"/>
    </row>
    <row r="124" hidden="1">
      <c r="A124" s="1" t="s">
        <v>82</v>
      </c>
      <c r="B124" s="1" t="s">
        <v>123</v>
      </c>
      <c r="C124" s="1">
        <v>19.0</v>
      </c>
      <c r="D124" s="5" t="s">
        <v>660</v>
      </c>
      <c r="E124" s="1" t="s">
        <v>661</v>
      </c>
      <c r="F124" s="1">
        <v>36.0</v>
      </c>
      <c r="G124" s="1">
        <v>-0.3182</v>
      </c>
      <c r="H124" s="1" t="s">
        <v>662</v>
      </c>
      <c r="I124" s="4" t="b">
        <f>IFERROR(__xludf.DUMMYFUNCTION("IF(H124="""",,REGEXMATCH(H124,""[א-ת]""))"),FALSE)</f>
        <v>0</v>
      </c>
      <c r="J124" s="4"/>
      <c r="K124" s="4"/>
      <c r="L124" s="1">
        <v>-0.4404</v>
      </c>
      <c r="M124" s="1">
        <v>9.29</v>
      </c>
      <c r="N124" s="1">
        <v>80.56</v>
      </c>
      <c r="O124" s="1">
        <v>2.237777778</v>
      </c>
      <c r="P124" s="4"/>
      <c r="Q124" s="4"/>
      <c r="R124" s="1" t="s">
        <v>127</v>
      </c>
      <c r="S124" s="1" t="s">
        <v>661</v>
      </c>
      <c r="T124" s="1" t="s">
        <v>123</v>
      </c>
      <c r="U124" s="1">
        <v>20.0</v>
      </c>
      <c r="V124" s="5" t="s">
        <v>660</v>
      </c>
      <c r="W124" s="1" t="s">
        <v>661</v>
      </c>
      <c r="X124" s="1" t="s">
        <v>663</v>
      </c>
      <c r="Y124" s="4"/>
      <c r="Z124" s="4"/>
      <c r="AA124" s="4" t="b">
        <f>IFERROR(__xludf.DUMMYFUNCTION("IF(X124="""",,REGEXMATCH(X124,""[א-ת]""))"),TRUE)</f>
        <v>1</v>
      </c>
      <c r="AB124" s="1">
        <v>11.05</v>
      </c>
      <c r="AC124" s="1">
        <v>77.78</v>
      </c>
      <c r="AD124" s="1">
        <v>0.371012777884778</v>
      </c>
      <c r="AE124" s="1">
        <v>-0.25</v>
      </c>
      <c r="AF124" s="1">
        <v>-0.3182</v>
      </c>
      <c r="AG124" s="1">
        <v>6.337</v>
      </c>
      <c r="AH124" s="1">
        <v>6.781</v>
      </c>
      <c r="AI124" s="1" t="b">
        <v>0</v>
      </c>
      <c r="AJ124" s="1" t="b">
        <v>0</v>
      </c>
      <c r="AK124" s="1">
        <v>94.182</v>
      </c>
      <c r="AL124" s="1">
        <v>96.508</v>
      </c>
      <c r="AM124" s="1" t="b">
        <v>0</v>
      </c>
      <c r="AN124" s="1" t="b">
        <v>0</v>
      </c>
      <c r="AO124" s="1">
        <v>8.05</v>
      </c>
      <c r="AP124" s="1">
        <v>8.53399999999999</v>
      </c>
      <c r="AQ124" s="1" t="b">
        <v>0</v>
      </c>
      <c r="AR124" s="1" t="b">
        <v>0</v>
      </c>
      <c r="AS124" s="1">
        <v>86.9179999999999</v>
      </c>
      <c r="AT124" s="1">
        <v>87.152</v>
      </c>
      <c r="AU124" s="1" t="b">
        <v>0</v>
      </c>
      <c r="AV124" s="1" t="b">
        <v>0</v>
      </c>
      <c r="AW124" s="1">
        <v>9.61399999999999</v>
      </c>
      <c r="AX124" s="1">
        <v>11.026</v>
      </c>
      <c r="AY124" s="1" t="b">
        <v>1</v>
      </c>
      <c r="AZ124" s="1" t="b">
        <v>0</v>
      </c>
      <c r="BA124" s="1">
        <v>81.25</v>
      </c>
      <c r="BB124" s="1">
        <v>77.78</v>
      </c>
      <c r="BC124" s="1" t="b">
        <v>0</v>
      </c>
      <c r="BD124" s="1" t="b">
        <v>1</v>
      </c>
      <c r="BE124" s="1">
        <v>11.34</v>
      </c>
      <c r="BF124" s="1">
        <v>13.285</v>
      </c>
      <c r="BG124" s="1" t="b">
        <v>1</v>
      </c>
      <c r="BH124" s="1" t="b">
        <v>1</v>
      </c>
      <c r="BI124" s="1">
        <v>77.78</v>
      </c>
      <c r="BJ124" s="1">
        <v>75.0</v>
      </c>
      <c r="BK124" s="1" t="b">
        <v>1</v>
      </c>
      <c r="BL124" s="1" t="b">
        <v>1</v>
      </c>
      <c r="BM124" s="1">
        <v>13.121</v>
      </c>
      <c r="BN124" s="1">
        <v>14.568</v>
      </c>
      <c r="BO124" s="1" t="b">
        <v>1</v>
      </c>
      <c r="BP124" s="1" t="b">
        <v>1</v>
      </c>
      <c r="BQ124" s="1">
        <v>75.0</v>
      </c>
      <c r="BR124" s="1">
        <v>72.027</v>
      </c>
      <c r="BS124" s="1" t="b">
        <v>1</v>
      </c>
      <c r="BT124" s="1" t="b">
        <v>1</v>
      </c>
      <c r="BU124" s="1" t="s">
        <v>105</v>
      </c>
      <c r="BV124" s="1" t="s">
        <v>105</v>
      </c>
      <c r="BW124" s="1" t="s">
        <v>105</v>
      </c>
      <c r="BX124" s="1" t="s">
        <v>105</v>
      </c>
      <c r="BY124" s="1" t="s">
        <v>91</v>
      </c>
      <c r="BZ124" s="1" t="s">
        <v>157</v>
      </c>
      <c r="CA124" s="1" t="s">
        <v>104</v>
      </c>
      <c r="CB124" s="1" t="s">
        <v>104</v>
      </c>
      <c r="CC124" s="1" t="s">
        <v>104</v>
      </c>
      <c r="CD124" s="1" t="s">
        <v>104</v>
      </c>
      <c r="CE124" s="4"/>
      <c r="CF124" s="4"/>
    </row>
    <row r="125" hidden="1">
      <c r="A125" s="1" t="s">
        <v>82</v>
      </c>
      <c r="B125" s="1" t="s">
        <v>167</v>
      </c>
      <c r="C125" s="1">
        <v>18.0</v>
      </c>
      <c r="D125" s="5" t="s">
        <v>664</v>
      </c>
      <c r="E125" s="1" t="s">
        <v>665</v>
      </c>
      <c r="F125" s="1">
        <v>26.0</v>
      </c>
      <c r="G125" s="1">
        <v>-0.2732</v>
      </c>
      <c r="H125" s="1" t="s">
        <v>666</v>
      </c>
      <c r="I125" s="4" t="b">
        <f>IFERROR(__xludf.DUMMYFUNCTION("IF(H125="""",,REGEXMATCH(H125,""[א-ת]""))"),FALSE)</f>
        <v>0</v>
      </c>
      <c r="J125" s="4"/>
      <c r="K125" s="4"/>
      <c r="L125" s="1">
        <v>-0.4588</v>
      </c>
      <c r="M125" s="1">
        <v>9.34</v>
      </c>
      <c r="N125" s="1">
        <v>84.62</v>
      </c>
      <c r="O125" s="1">
        <v>3.254615385</v>
      </c>
      <c r="P125" s="4"/>
      <c r="Q125" s="4"/>
      <c r="R125" s="1" t="s">
        <v>127</v>
      </c>
      <c r="S125" s="1" t="s">
        <v>665</v>
      </c>
      <c r="T125" s="1" t="s">
        <v>167</v>
      </c>
      <c r="U125" s="1">
        <v>19.0</v>
      </c>
      <c r="V125" s="5" t="s">
        <v>664</v>
      </c>
      <c r="W125" s="1" t="s">
        <v>665</v>
      </c>
      <c r="X125" s="1" t="s">
        <v>667</v>
      </c>
      <c r="Y125" s="4"/>
      <c r="Z125" s="4"/>
      <c r="AA125" s="4" t="b">
        <f>IFERROR(__xludf.DUMMYFUNCTION("IF(X125="""",,REGEXMATCH(X125,""[א-ת]""))"),FALSE)</f>
        <v>0</v>
      </c>
      <c r="AB125" s="1">
        <v>16.14</v>
      </c>
      <c r="AC125" s="1">
        <v>42.31</v>
      </c>
      <c r="AD125" s="1">
        <v>0.811066344696473</v>
      </c>
      <c r="AE125" s="1">
        <v>-0.2732</v>
      </c>
      <c r="AF125" s="1">
        <v>-0.2732</v>
      </c>
      <c r="AG125" s="1">
        <v>6.337</v>
      </c>
      <c r="AH125" s="1">
        <v>6.781</v>
      </c>
      <c r="AI125" s="1" t="b">
        <v>0</v>
      </c>
      <c r="AJ125" s="1" t="b">
        <v>0</v>
      </c>
      <c r="AK125" s="1">
        <v>94.182</v>
      </c>
      <c r="AL125" s="1">
        <v>96.508</v>
      </c>
      <c r="AM125" s="1" t="b">
        <v>0</v>
      </c>
      <c r="AN125" s="1" t="b">
        <v>0</v>
      </c>
      <c r="AO125" s="1">
        <v>8.05</v>
      </c>
      <c r="AP125" s="1">
        <v>8.53399999999999</v>
      </c>
      <c r="AQ125" s="1" t="b">
        <v>0</v>
      </c>
      <c r="AR125" s="1" t="b">
        <v>0</v>
      </c>
      <c r="AS125" s="1">
        <v>86.9179999999999</v>
      </c>
      <c r="AT125" s="1">
        <v>87.152</v>
      </c>
      <c r="AU125" s="1" t="b">
        <v>0</v>
      </c>
      <c r="AV125" s="1" t="b">
        <v>0</v>
      </c>
      <c r="AW125" s="1">
        <v>9.61399999999999</v>
      </c>
      <c r="AX125" s="1">
        <v>11.026</v>
      </c>
      <c r="AY125" s="1" t="b">
        <v>1</v>
      </c>
      <c r="AZ125" s="1" t="b">
        <v>0</v>
      </c>
      <c r="BA125" s="1">
        <v>81.25</v>
      </c>
      <c r="BB125" s="1">
        <v>77.78</v>
      </c>
      <c r="BC125" s="1" t="b">
        <v>1</v>
      </c>
      <c r="BD125" s="1" t="b">
        <v>0</v>
      </c>
      <c r="BE125" s="1">
        <v>11.34</v>
      </c>
      <c r="BF125" s="1">
        <v>13.285</v>
      </c>
      <c r="BG125" s="1" t="b">
        <v>1</v>
      </c>
      <c r="BH125" s="1" t="b">
        <v>0</v>
      </c>
      <c r="BI125" s="1">
        <v>77.78</v>
      </c>
      <c r="BJ125" s="1">
        <v>75.0</v>
      </c>
      <c r="BK125" s="1" t="b">
        <v>1</v>
      </c>
      <c r="BL125" s="1" t="b">
        <v>0</v>
      </c>
      <c r="BM125" s="1">
        <v>13.121</v>
      </c>
      <c r="BN125" s="1">
        <v>14.568</v>
      </c>
      <c r="BO125" s="1" t="b">
        <v>1</v>
      </c>
      <c r="BP125" s="1" t="b">
        <v>0</v>
      </c>
      <c r="BQ125" s="1">
        <v>75.0</v>
      </c>
      <c r="BR125" s="1">
        <v>72.027</v>
      </c>
      <c r="BS125" s="1" t="b">
        <v>1</v>
      </c>
      <c r="BT125" s="1" t="b">
        <v>0</v>
      </c>
      <c r="BU125" s="1" t="s">
        <v>105</v>
      </c>
      <c r="BV125" s="1" t="s">
        <v>105</v>
      </c>
      <c r="BW125" s="1" t="s">
        <v>105</v>
      </c>
      <c r="BX125" s="1" t="s">
        <v>105</v>
      </c>
      <c r="BY125" s="1" t="s">
        <v>91</v>
      </c>
      <c r="BZ125" s="1" t="s">
        <v>91</v>
      </c>
      <c r="CA125" s="1" t="s">
        <v>91</v>
      </c>
      <c r="CB125" s="1" t="s">
        <v>91</v>
      </c>
      <c r="CC125" s="1" t="s">
        <v>91</v>
      </c>
      <c r="CD125" s="1" t="s">
        <v>91</v>
      </c>
      <c r="CE125" s="4"/>
      <c r="CF125" s="4"/>
    </row>
    <row r="126" hidden="1">
      <c r="A126" s="1" t="s">
        <v>82</v>
      </c>
      <c r="B126" s="1" t="s">
        <v>197</v>
      </c>
      <c r="C126" s="1">
        <v>2.0</v>
      </c>
      <c r="D126" s="5" t="s">
        <v>668</v>
      </c>
      <c r="E126" s="1" t="s">
        <v>669</v>
      </c>
      <c r="F126" s="1">
        <v>36.0</v>
      </c>
      <c r="G126" s="1">
        <v>0.8916</v>
      </c>
      <c r="H126" s="1" t="s">
        <v>670</v>
      </c>
      <c r="I126" s="4" t="b">
        <f>IFERROR(__xludf.DUMMYFUNCTION("IF(H126="""",,REGEXMATCH(H126,""[א-ת]""))"),FALSE)</f>
        <v>0</v>
      </c>
      <c r="J126" s="4"/>
      <c r="K126" s="4"/>
      <c r="L126" s="1">
        <v>0.9337</v>
      </c>
      <c r="M126" s="1">
        <v>9.4</v>
      </c>
      <c r="N126" s="1">
        <v>63.89</v>
      </c>
      <c r="O126" s="1">
        <v>1.774722222</v>
      </c>
      <c r="P126" s="4"/>
      <c r="Q126" s="4"/>
      <c r="R126" s="1" t="s">
        <v>89</v>
      </c>
      <c r="S126" s="1" t="s">
        <v>669</v>
      </c>
      <c r="T126" s="1" t="s">
        <v>197</v>
      </c>
      <c r="U126" s="1">
        <v>3.0</v>
      </c>
      <c r="V126" s="5" t="s">
        <v>668</v>
      </c>
      <c r="W126" s="1" t="s">
        <v>669</v>
      </c>
      <c r="X126" s="1" t="s">
        <v>671</v>
      </c>
      <c r="Y126" s="4"/>
      <c r="Z126" s="4"/>
      <c r="AA126" s="4" t="b">
        <f>IFERROR(__xludf.DUMMYFUNCTION("IF(X126="""",,REGEXMATCH(X126,""[א-ת]""))"),FALSE)</f>
        <v>0</v>
      </c>
      <c r="AB126" s="1">
        <v>14.62</v>
      </c>
      <c r="AC126" s="1">
        <v>66.67</v>
      </c>
      <c r="AD126" s="1">
        <v>0.658253529453387</v>
      </c>
      <c r="AE126" s="1">
        <v>0.8779</v>
      </c>
      <c r="AF126" s="1">
        <v>0.8916</v>
      </c>
      <c r="AG126" s="1">
        <v>6.337</v>
      </c>
      <c r="AH126" s="1">
        <v>6.781</v>
      </c>
      <c r="AI126" s="1" t="b">
        <v>0</v>
      </c>
      <c r="AJ126" s="1" t="b">
        <v>0</v>
      </c>
      <c r="AK126" s="1">
        <v>94.182</v>
      </c>
      <c r="AL126" s="1">
        <v>96.508</v>
      </c>
      <c r="AM126" s="1" t="b">
        <v>0</v>
      </c>
      <c r="AN126" s="1" t="b">
        <v>0</v>
      </c>
      <c r="AO126" s="1">
        <v>8.05</v>
      </c>
      <c r="AP126" s="1">
        <v>8.53399999999999</v>
      </c>
      <c r="AQ126" s="1" t="b">
        <v>0</v>
      </c>
      <c r="AR126" s="1" t="b">
        <v>0</v>
      </c>
      <c r="AS126" s="1">
        <v>86.9179999999999</v>
      </c>
      <c r="AT126" s="1">
        <v>87.152</v>
      </c>
      <c r="AU126" s="1" t="b">
        <v>0</v>
      </c>
      <c r="AV126" s="1" t="b">
        <v>0</v>
      </c>
      <c r="AW126" s="1">
        <v>9.61399999999999</v>
      </c>
      <c r="AX126" s="1">
        <v>11.026</v>
      </c>
      <c r="AY126" s="1" t="b">
        <v>1</v>
      </c>
      <c r="AZ126" s="1" t="b">
        <v>0</v>
      </c>
      <c r="BA126" s="1">
        <v>81.25</v>
      </c>
      <c r="BB126" s="1">
        <v>77.78</v>
      </c>
      <c r="BC126" s="1" t="b">
        <v>0</v>
      </c>
      <c r="BD126" s="1" t="b">
        <v>0</v>
      </c>
      <c r="BE126" s="1">
        <v>11.34</v>
      </c>
      <c r="BF126" s="1">
        <v>13.285</v>
      </c>
      <c r="BG126" s="1" t="b">
        <v>1</v>
      </c>
      <c r="BH126" s="1" t="b">
        <v>0</v>
      </c>
      <c r="BI126" s="1">
        <v>77.78</v>
      </c>
      <c r="BJ126" s="1">
        <v>75.0</v>
      </c>
      <c r="BK126" s="1" t="b">
        <v>0</v>
      </c>
      <c r="BL126" s="1" t="b">
        <v>0</v>
      </c>
      <c r="BM126" s="1">
        <v>13.121</v>
      </c>
      <c r="BN126" s="1">
        <v>14.568</v>
      </c>
      <c r="BO126" s="1" t="b">
        <v>1</v>
      </c>
      <c r="BP126" s="1" t="b">
        <v>0</v>
      </c>
      <c r="BQ126" s="1">
        <v>75.0</v>
      </c>
      <c r="BR126" s="1">
        <v>72.027</v>
      </c>
      <c r="BS126" s="1" t="b">
        <v>0</v>
      </c>
      <c r="BT126" s="1" t="b">
        <v>0</v>
      </c>
      <c r="BU126" s="1" t="s">
        <v>105</v>
      </c>
      <c r="BV126" s="1" t="s">
        <v>105</v>
      </c>
      <c r="BW126" s="1" t="s">
        <v>105</v>
      </c>
      <c r="BX126" s="1" t="s">
        <v>105</v>
      </c>
      <c r="BY126" s="1" t="s">
        <v>91</v>
      </c>
      <c r="BZ126" s="1" t="s">
        <v>105</v>
      </c>
      <c r="CA126" s="1" t="s">
        <v>91</v>
      </c>
      <c r="CB126" s="1" t="s">
        <v>105</v>
      </c>
      <c r="CC126" s="1" t="s">
        <v>91</v>
      </c>
      <c r="CD126" s="1" t="s">
        <v>105</v>
      </c>
      <c r="CE126" s="4"/>
      <c r="CF126" s="4"/>
    </row>
    <row r="127">
      <c r="A127" s="1" t="s">
        <v>82</v>
      </c>
      <c r="B127" s="1" t="s">
        <v>111</v>
      </c>
      <c r="C127" s="1">
        <v>1.0</v>
      </c>
      <c r="D127" s="5" t="s">
        <v>672</v>
      </c>
      <c r="E127" s="1" t="s">
        <v>673</v>
      </c>
      <c r="F127" s="1">
        <v>14.0</v>
      </c>
      <c r="G127" s="1">
        <v>-0.3818</v>
      </c>
      <c r="H127" s="1" t="s">
        <v>674</v>
      </c>
      <c r="I127" s="4" t="b">
        <f>IFERROR(__xludf.DUMMYFUNCTION("IF(H127="""",,REGEXMATCH(H127,""[א-ת]""))"),FALSE)</f>
        <v>0</v>
      </c>
      <c r="J127" s="4"/>
      <c r="K127" s="4"/>
      <c r="L127" s="1">
        <v>-0.34</v>
      </c>
      <c r="M127" s="1">
        <v>9.42</v>
      </c>
      <c r="N127" s="1">
        <v>57.14</v>
      </c>
      <c r="O127" s="1">
        <v>4.081428571</v>
      </c>
      <c r="P127" s="4"/>
      <c r="Q127" s="4"/>
      <c r="R127" s="1" t="s">
        <v>89</v>
      </c>
      <c r="S127" s="1" t="s">
        <v>673</v>
      </c>
      <c r="T127" s="1" t="s">
        <v>111</v>
      </c>
      <c r="U127" s="1">
        <v>2.0</v>
      </c>
      <c r="V127" s="5" t="s">
        <v>672</v>
      </c>
      <c r="W127" s="1" t="s">
        <v>673</v>
      </c>
      <c r="X127" s="1" t="s">
        <v>675</v>
      </c>
      <c r="Y127" s="1" t="s">
        <v>676</v>
      </c>
      <c r="Z127" s="4"/>
      <c r="AA127" s="4" t="b">
        <f>IFERROR(__xludf.DUMMYFUNCTION("IF(X127="""",,REGEXMATCH(X127,""[א-ת]""))"),TRUE)</f>
        <v>1</v>
      </c>
      <c r="AB127" s="1">
        <v>4.15</v>
      </c>
      <c r="AC127" s="1">
        <v>150.0</v>
      </c>
      <c r="AD127" s="1">
        <v>0.27510830886547</v>
      </c>
      <c r="AE127" s="1">
        <v>-0.3818</v>
      </c>
      <c r="AF127" s="1">
        <v>-0.3818</v>
      </c>
      <c r="AG127" s="1">
        <v>6.337</v>
      </c>
      <c r="AH127" s="1">
        <v>6.781</v>
      </c>
      <c r="AI127" s="1" t="b">
        <v>0</v>
      </c>
      <c r="AJ127" s="1" t="b">
        <v>1</v>
      </c>
      <c r="AK127" s="1">
        <v>94.182</v>
      </c>
      <c r="AL127" s="1">
        <v>96.508</v>
      </c>
      <c r="AM127" s="1" t="b">
        <v>0</v>
      </c>
      <c r="AN127" s="1" t="b">
        <v>1</v>
      </c>
      <c r="AO127" s="1">
        <v>8.05</v>
      </c>
      <c r="AP127" s="1">
        <v>8.53399999999999</v>
      </c>
      <c r="AQ127" s="1" t="b">
        <v>0</v>
      </c>
      <c r="AR127" s="1" t="b">
        <v>1</v>
      </c>
      <c r="AS127" s="1">
        <v>86.9179999999999</v>
      </c>
      <c r="AT127" s="1">
        <v>87.152</v>
      </c>
      <c r="AU127" s="1" t="b">
        <v>0</v>
      </c>
      <c r="AV127" s="1" t="b">
        <v>1</v>
      </c>
      <c r="AW127" s="1">
        <v>9.61399999999999</v>
      </c>
      <c r="AX127" s="1">
        <v>11.026</v>
      </c>
      <c r="AY127" s="1" t="b">
        <v>1</v>
      </c>
      <c r="AZ127" s="1" t="b">
        <v>1</v>
      </c>
      <c r="BA127" s="1">
        <v>81.25</v>
      </c>
      <c r="BB127" s="1">
        <v>77.78</v>
      </c>
      <c r="BC127" s="1" t="b">
        <v>0</v>
      </c>
      <c r="BD127" s="1" t="b">
        <v>1</v>
      </c>
      <c r="BE127" s="1">
        <v>11.34</v>
      </c>
      <c r="BF127" s="1">
        <v>13.285</v>
      </c>
      <c r="BG127" s="1" t="b">
        <v>1</v>
      </c>
      <c r="BH127" s="1" t="b">
        <v>1</v>
      </c>
      <c r="BI127" s="1">
        <v>77.78</v>
      </c>
      <c r="BJ127" s="1">
        <v>75.0</v>
      </c>
      <c r="BK127" s="1" t="b">
        <v>0</v>
      </c>
      <c r="BL127" s="1" t="b">
        <v>1</v>
      </c>
      <c r="BM127" s="1">
        <v>13.121</v>
      </c>
      <c r="BN127" s="1">
        <v>14.568</v>
      </c>
      <c r="BO127" s="1" t="b">
        <v>1</v>
      </c>
      <c r="BP127" s="1" t="b">
        <v>1</v>
      </c>
      <c r="BQ127" s="1">
        <v>75.0</v>
      </c>
      <c r="BR127" s="1">
        <v>72.027</v>
      </c>
      <c r="BS127" s="1" t="b">
        <v>0</v>
      </c>
      <c r="BT127" s="1" t="b">
        <v>1</v>
      </c>
      <c r="BU127" s="1" t="s">
        <v>157</v>
      </c>
      <c r="BV127" s="1" t="s">
        <v>157</v>
      </c>
      <c r="BW127" s="1" t="s">
        <v>157</v>
      </c>
      <c r="BX127" s="1" t="s">
        <v>157</v>
      </c>
      <c r="BY127" s="1" t="s">
        <v>104</v>
      </c>
      <c r="BZ127" s="1" t="s">
        <v>157</v>
      </c>
      <c r="CA127" s="1" t="s">
        <v>104</v>
      </c>
      <c r="CB127" s="1" t="s">
        <v>157</v>
      </c>
      <c r="CC127" s="1" t="s">
        <v>104</v>
      </c>
      <c r="CD127" s="1" t="s">
        <v>157</v>
      </c>
      <c r="CE127" s="4"/>
      <c r="CF127" s="4"/>
    </row>
    <row r="128" hidden="1">
      <c r="A128" s="1" t="s">
        <v>82</v>
      </c>
      <c r="B128" s="1" t="s">
        <v>139</v>
      </c>
      <c r="C128" s="1">
        <v>21.0</v>
      </c>
      <c r="D128" s="5" t="s">
        <v>677</v>
      </c>
      <c r="E128" s="1" t="s">
        <v>678</v>
      </c>
      <c r="F128" s="1">
        <v>27.0</v>
      </c>
      <c r="G128" s="1">
        <v>0.5719</v>
      </c>
      <c r="H128" s="1" t="s">
        <v>679</v>
      </c>
      <c r="I128" s="4" t="b">
        <f>IFERROR(__xludf.DUMMYFUNCTION("IF(H128="""",,REGEXMATCH(H128,""[א-ת]""))"),FALSE)</f>
        <v>0</v>
      </c>
      <c r="J128" s="4"/>
      <c r="K128" s="4"/>
      <c r="L128" s="1">
        <v>0.2244</v>
      </c>
      <c r="M128" s="1">
        <v>9.49</v>
      </c>
      <c r="N128" s="1">
        <v>62.96</v>
      </c>
      <c r="O128" s="1">
        <v>2.331851852</v>
      </c>
      <c r="P128" s="4"/>
      <c r="Q128" s="4"/>
      <c r="R128" s="1" t="s">
        <v>96</v>
      </c>
      <c r="S128" s="1" t="s">
        <v>678</v>
      </c>
      <c r="T128" s="1" t="s">
        <v>139</v>
      </c>
      <c r="U128" s="1">
        <v>22.0</v>
      </c>
      <c r="V128" s="5" t="s">
        <v>677</v>
      </c>
      <c r="W128" s="1" t="s">
        <v>678</v>
      </c>
      <c r="X128" s="1" t="s">
        <v>680</v>
      </c>
      <c r="Y128" s="4"/>
      <c r="Z128" s="4"/>
      <c r="AA128" s="4" t="b">
        <f>IFERROR(__xludf.DUMMYFUNCTION("IF(X128="""",,REGEXMATCH(X128,""[א-ת]""))"),FALSE)</f>
        <v>0</v>
      </c>
      <c r="AB128" s="1">
        <v>22.75</v>
      </c>
      <c r="AC128" s="1">
        <v>59.26</v>
      </c>
      <c r="AD128" s="1">
        <v>0.407363783320661</v>
      </c>
      <c r="AE128" s="1">
        <v>0.6114</v>
      </c>
      <c r="AF128" s="1">
        <v>0.5719</v>
      </c>
      <c r="AG128" s="1">
        <v>6.337</v>
      </c>
      <c r="AH128" s="1">
        <v>6.781</v>
      </c>
      <c r="AI128" s="1" t="b">
        <v>0</v>
      </c>
      <c r="AJ128" s="1" t="b">
        <v>0</v>
      </c>
      <c r="AK128" s="1">
        <v>94.182</v>
      </c>
      <c r="AL128" s="1">
        <v>96.508</v>
      </c>
      <c r="AM128" s="1" t="b">
        <v>0</v>
      </c>
      <c r="AN128" s="1" t="b">
        <v>0</v>
      </c>
      <c r="AO128" s="1">
        <v>8.05</v>
      </c>
      <c r="AP128" s="1">
        <v>8.53399999999999</v>
      </c>
      <c r="AQ128" s="1" t="b">
        <v>0</v>
      </c>
      <c r="AR128" s="1" t="b">
        <v>0</v>
      </c>
      <c r="AS128" s="1">
        <v>86.9179999999999</v>
      </c>
      <c r="AT128" s="1">
        <v>87.152</v>
      </c>
      <c r="AU128" s="1" t="b">
        <v>0</v>
      </c>
      <c r="AV128" s="1" t="b">
        <v>0</v>
      </c>
      <c r="AW128" s="1">
        <v>9.61399999999999</v>
      </c>
      <c r="AX128" s="1">
        <v>11.026</v>
      </c>
      <c r="AY128" s="1" t="b">
        <v>1</v>
      </c>
      <c r="AZ128" s="1" t="b">
        <v>0</v>
      </c>
      <c r="BA128" s="1">
        <v>81.25</v>
      </c>
      <c r="BB128" s="1">
        <v>77.78</v>
      </c>
      <c r="BC128" s="1" t="b">
        <v>0</v>
      </c>
      <c r="BD128" s="1" t="b">
        <v>0</v>
      </c>
      <c r="BE128" s="1">
        <v>11.34</v>
      </c>
      <c r="BF128" s="1">
        <v>13.285</v>
      </c>
      <c r="BG128" s="1" t="b">
        <v>1</v>
      </c>
      <c r="BH128" s="1" t="b">
        <v>0</v>
      </c>
      <c r="BI128" s="1">
        <v>77.78</v>
      </c>
      <c r="BJ128" s="1">
        <v>75.0</v>
      </c>
      <c r="BK128" s="1" t="b">
        <v>0</v>
      </c>
      <c r="BL128" s="1" t="b">
        <v>0</v>
      </c>
      <c r="BM128" s="1">
        <v>13.121</v>
      </c>
      <c r="BN128" s="1">
        <v>14.568</v>
      </c>
      <c r="BO128" s="1" t="b">
        <v>1</v>
      </c>
      <c r="BP128" s="1" t="b">
        <v>0</v>
      </c>
      <c r="BQ128" s="1">
        <v>75.0</v>
      </c>
      <c r="BR128" s="1">
        <v>72.027</v>
      </c>
      <c r="BS128" s="1" t="b">
        <v>0</v>
      </c>
      <c r="BT128" s="1" t="b">
        <v>0</v>
      </c>
      <c r="BU128" s="1" t="s">
        <v>105</v>
      </c>
      <c r="BV128" s="1" t="s">
        <v>105</v>
      </c>
      <c r="BW128" s="1" t="s">
        <v>105</v>
      </c>
      <c r="BX128" s="1" t="s">
        <v>105</v>
      </c>
      <c r="BY128" s="1" t="s">
        <v>91</v>
      </c>
      <c r="BZ128" s="1" t="s">
        <v>105</v>
      </c>
      <c r="CA128" s="1" t="s">
        <v>91</v>
      </c>
      <c r="CB128" s="1" t="s">
        <v>105</v>
      </c>
      <c r="CC128" s="1" t="s">
        <v>91</v>
      </c>
      <c r="CD128" s="1" t="s">
        <v>105</v>
      </c>
      <c r="CE128" s="4"/>
      <c r="CF128" s="4"/>
    </row>
    <row r="129">
      <c r="A129" s="1" t="s">
        <v>82</v>
      </c>
      <c r="B129" s="1" t="s">
        <v>251</v>
      </c>
      <c r="C129" s="1">
        <v>31.0</v>
      </c>
      <c r="D129" s="5" t="s">
        <v>681</v>
      </c>
      <c r="E129" s="1" t="s">
        <v>682</v>
      </c>
      <c r="F129" s="1">
        <v>23.0</v>
      </c>
      <c r="G129" s="1">
        <v>0.0</v>
      </c>
      <c r="H129" s="1" t="s">
        <v>683</v>
      </c>
      <c r="I129" s="4" t="b">
        <f>IFERROR(__xludf.DUMMYFUNCTION("IF(H129="""",,REGEXMATCH(H129,""[א-ת]""))"),FALSE)</f>
        <v>0</v>
      </c>
      <c r="J129" s="4"/>
      <c r="K129" s="4"/>
      <c r="L129" s="1">
        <v>0.0</v>
      </c>
      <c r="M129" s="1">
        <v>9.58</v>
      </c>
      <c r="N129" s="1">
        <v>86.96</v>
      </c>
      <c r="O129" s="1">
        <v>3.780869565</v>
      </c>
      <c r="P129" s="4"/>
      <c r="Q129" s="4"/>
      <c r="R129" s="1" t="s">
        <v>89</v>
      </c>
      <c r="S129" s="1" t="s">
        <v>682</v>
      </c>
      <c r="T129" s="1" t="s">
        <v>251</v>
      </c>
      <c r="U129" s="1">
        <v>32.0</v>
      </c>
      <c r="V129" s="5" t="s">
        <v>681</v>
      </c>
      <c r="W129" s="1" t="s">
        <v>682</v>
      </c>
      <c r="X129" s="1" t="s">
        <v>684</v>
      </c>
      <c r="Y129" s="1" t="s">
        <v>685</v>
      </c>
      <c r="Z129" s="1" t="s">
        <v>686</v>
      </c>
      <c r="AA129" s="4" t="b">
        <f>IFERROR(__xludf.DUMMYFUNCTION("IF(X129="""",,REGEXMATCH(X129,""[א-ת]""))"),TRUE)</f>
        <v>1</v>
      </c>
      <c r="AB129" s="1">
        <v>4.94</v>
      </c>
      <c r="AC129" s="1">
        <v>86.96</v>
      </c>
      <c r="AD129" s="1">
        <v>0.451340722842952</v>
      </c>
      <c r="AE129" s="1">
        <v>0.0</v>
      </c>
      <c r="AF129" s="1">
        <v>0.0</v>
      </c>
      <c r="AG129" s="1">
        <v>6.337</v>
      </c>
      <c r="AH129" s="1">
        <v>6.781</v>
      </c>
      <c r="AI129" s="1" t="b">
        <v>0</v>
      </c>
      <c r="AJ129" s="1" t="b">
        <v>1</v>
      </c>
      <c r="AK129" s="1">
        <v>94.182</v>
      </c>
      <c r="AL129" s="1">
        <v>96.508</v>
      </c>
      <c r="AM129" s="1" t="b">
        <v>0</v>
      </c>
      <c r="AN129" s="1" t="b">
        <v>0</v>
      </c>
      <c r="AO129" s="1">
        <v>8.05</v>
      </c>
      <c r="AP129" s="1">
        <v>8.53399999999999</v>
      </c>
      <c r="AQ129" s="1" t="b">
        <v>0</v>
      </c>
      <c r="AR129" s="1" t="b">
        <v>1</v>
      </c>
      <c r="AS129" s="1">
        <v>86.9179999999999</v>
      </c>
      <c r="AT129" s="1">
        <v>87.152</v>
      </c>
      <c r="AU129" s="1" t="b">
        <v>1</v>
      </c>
      <c r="AV129" s="1" t="b">
        <v>0</v>
      </c>
      <c r="AW129" s="1">
        <v>9.61399999999999</v>
      </c>
      <c r="AX129" s="1">
        <v>11.026</v>
      </c>
      <c r="AY129" s="1" t="b">
        <v>1</v>
      </c>
      <c r="AZ129" s="1" t="b">
        <v>1</v>
      </c>
      <c r="BA129" s="1">
        <v>81.25</v>
      </c>
      <c r="BB129" s="1">
        <v>77.78</v>
      </c>
      <c r="BC129" s="1" t="b">
        <v>1</v>
      </c>
      <c r="BD129" s="1" t="b">
        <v>1</v>
      </c>
      <c r="BE129" s="1">
        <v>11.34</v>
      </c>
      <c r="BF129" s="1">
        <v>13.285</v>
      </c>
      <c r="BG129" s="1" t="b">
        <v>1</v>
      </c>
      <c r="BH129" s="1" t="b">
        <v>1</v>
      </c>
      <c r="BI129" s="1">
        <v>77.78</v>
      </c>
      <c r="BJ129" s="1">
        <v>75.0</v>
      </c>
      <c r="BK129" s="1" t="b">
        <v>1</v>
      </c>
      <c r="BL129" s="1" t="b">
        <v>1</v>
      </c>
      <c r="BM129" s="1">
        <v>13.121</v>
      </c>
      <c r="BN129" s="1">
        <v>14.568</v>
      </c>
      <c r="BO129" s="1" t="b">
        <v>1</v>
      </c>
      <c r="BP129" s="1" t="b">
        <v>1</v>
      </c>
      <c r="BQ129" s="1">
        <v>75.0</v>
      </c>
      <c r="BR129" s="1">
        <v>72.027</v>
      </c>
      <c r="BS129" s="1" t="b">
        <v>1</v>
      </c>
      <c r="BT129" s="1" t="b">
        <v>1</v>
      </c>
      <c r="BU129" s="1" t="s">
        <v>157</v>
      </c>
      <c r="BV129" s="1" t="s">
        <v>105</v>
      </c>
      <c r="BW129" s="1" t="s">
        <v>157</v>
      </c>
      <c r="BX129" s="1" t="s">
        <v>91</v>
      </c>
      <c r="BY129" s="1" t="s">
        <v>104</v>
      </c>
      <c r="BZ129" s="1" t="s">
        <v>104</v>
      </c>
      <c r="CA129" s="1" t="s">
        <v>104</v>
      </c>
      <c r="CB129" s="1" t="s">
        <v>104</v>
      </c>
      <c r="CC129" s="1" t="s">
        <v>104</v>
      </c>
      <c r="CD129" s="1" t="s">
        <v>104</v>
      </c>
      <c r="CE129" s="4"/>
      <c r="CF129" s="4"/>
    </row>
    <row r="130" hidden="1">
      <c r="A130" s="1" t="s">
        <v>82</v>
      </c>
      <c r="B130" s="1" t="s">
        <v>158</v>
      </c>
      <c r="C130" s="1">
        <v>8.0</v>
      </c>
      <c r="D130" s="5" t="s">
        <v>687</v>
      </c>
      <c r="E130" s="1" t="s">
        <v>688</v>
      </c>
      <c r="F130" s="1">
        <v>48.0</v>
      </c>
      <c r="G130" s="1">
        <v>-0.25</v>
      </c>
      <c r="H130" s="1" t="s">
        <v>689</v>
      </c>
      <c r="I130" s="4" t="b">
        <f>IFERROR(__xludf.DUMMYFUNCTION("IF(H130="""",,REGEXMATCH(H130,""[א-ת]""))"),FALSE)</f>
        <v>0</v>
      </c>
      <c r="J130" s="4"/>
      <c r="K130" s="4"/>
      <c r="L130" s="1">
        <v>0.0</v>
      </c>
      <c r="M130" s="1">
        <v>9.59</v>
      </c>
      <c r="N130" s="1">
        <v>93.75</v>
      </c>
      <c r="O130" s="1">
        <v>1.953125</v>
      </c>
      <c r="P130" s="4"/>
      <c r="Q130" s="4"/>
      <c r="R130" s="1" t="s">
        <v>89</v>
      </c>
      <c r="S130" s="1" t="s">
        <v>688</v>
      </c>
      <c r="T130" s="1" t="s">
        <v>158</v>
      </c>
      <c r="U130" s="1">
        <v>9.0</v>
      </c>
      <c r="V130" s="5" t="s">
        <v>687</v>
      </c>
      <c r="W130" s="1" t="s">
        <v>688</v>
      </c>
      <c r="X130" s="1" t="s">
        <v>690</v>
      </c>
      <c r="Y130" s="4"/>
      <c r="Z130" s="4"/>
      <c r="AA130" s="4" t="b">
        <f>IFERROR(__xludf.DUMMYFUNCTION("IF(X130="""",,REGEXMATCH(X130,""[א-ת]""))"),FALSE)</f>
        <v>0</v>
      </c>
      <c r="AB130" s="1">
        <v>17.49</v>
      </c>
      <c r="AC130" s="1">
        <v>56.25</v>
      </c>
      <c r="AD130" s="1">
        <v>0.332967241555513</v>
      </c>
      <c r="AE130" s="1">
        <v>-0.25</v>
      </c>
      <c r="AF130" s="1">
        <v>-0.25</v>
      </c>
      <c r="AG130" s="1">
        <v>6.337</v>
      </c>
      <c r="AH130" s="1">
        <v>6.781</v>
      </c>
      <c r="AI130" s="1" t="b">
        <v>0</v>
      </c>
      <c r="AJ130" s="1" t="b">
        <v>0</v>
      </c>
      <c r="AK130" s="1">
        <v>94.182</v>
      </c>
      <c r="AL130" s="1">
        <v>96.508</v>
      </c>
      <c r="AM130" s="1" t="b">
        <v>0</v>
      </c>
      <c r="AN130" s="1" t="b">
        <v>0</v>
      </c>
      <c r="AO130" s="1">
        <v>8.05</v>
      </c>
      <c r="AP130" s="1">
        <v>8.53399999999999</v>
      </c>
      <c r="AQ130" s="1" t="b">
        <v>0</v>
      </c>
      <c r="AR130" s="1" t="b">
        <v>0</v>
      </c>
      <c r="AS130" s="1">
        <v>86.9179999999999</v>
      </c>
      <c r="AT130" s="1">
        <v>87.152</v>
      </c>
      <c r="AU130" s="1" t="b">
        <v>1</v>
      </c>
      <c r="AV130" s="1" t="b">
        <v>0</v>
      </c>
      <c r="AW130" s="1">
        <v>9.61399999999999</v>
      </c>
      <c r="AX130" s="1">
        <v>11.026</v>
      </c>
      <c r="AY130" s="1" t="b">
        <v>1</v>
      </c>
      <c r="AZ130" s="1" t="b">
        <v>0</v>
      </c>
      <c r="BA130" s="1">
        <v>81.25</v>
      </c>
      <c r="BB130" s="1">
        <v>77.78</v>
      </c>
      <c r="BC130" s="1" t="b">
        <v>1</v>
      </c>
      <c r="BD130" s="1" t="b">
        <v>0</v>
      </c>
      <c r="BE130" s="1">
        <v>11.34</v>
      </c>
      <c r="BF130" s="1">
        <v>13.285</v>
      </c>
      <c r="BG130" s="1" t="b">
        <v>1</v>
      </c>
      <c r="BH130" s="1" t="b">
        <v>0</v>
      </c>
      <c r="BI130" s="1">
        <v>77.78</v>
      </c>
      <c r="BJ130" s="1">
        <v>75.0</v>
      </c>
      <c r="BK130" s="1" t="b">
        <v>1</v>
      </c>
      <c r="BL130" s="1" t="b">
        <v>0</v>
      </c>
      <c r="BM130" s="1">
        <v>13.121</v>
      </c>
      <c r="BN130" s="1">
        <v>14.568</v>
      </c>
      <c r="BO130" s="1" t="b">
        <v>1</v>
      </c>
      <c r="BP130" s="1" t="b">
        <v>0</v>
      </c>
      <c r="BQ130" s="1">
        <v>75.0</v>
      </c>
      <c r="BR130" s="1">
        <v>72.027</v>
      </c>
      <c r="BS130" s="1" t="b">
        <v>1</v>
      </c>
      <c r="BT130" s="1" t="b">
        <v>0</v>
      </c>
      <c r="BU130" s="1" t="s">
        <v>105</v>
      </c>
      <c r="BV130" s="1" t="s">
        <v>105</v>
      </c>
      <c r="BW130" s="1" t="s">
        <v>105</v>
      </c>
      <c r="BX130" s="1" t="s">
        <v>91</v>
      </c>
      <c r="BY130" s="1" t="s">
        <v>91</v>
      </c>
      <c r="BZ130" s="1" t="s">
        <v>91</v>
      </c>
      <c r="CA130" s="1" t="s">
        <v>91</v>
      </c>
      <c r="CB130" s="1" t="s">
        <v>91</v>
      </c>
      <c r="CC130" s="1" t="s">
        <v>91</v>
      </c>
      <c r="CD130" s="1" t="s">
        <v>91</v>
      </c>
      <c r="CE130" s="4"/>
      <c r="CF130" s="4"/>
    </row>
    <row r="131" hidden="1">
      <c r="A131" s="1" t="s">
        <v>82</v>
      </c>
      <c r="B131" s="1" t="s">
        <v>111</v>
      </c>
      <c r="C131" s="1">
        <v>54.0</v>
      </c>
      <c r="D131" s="5" t="s">
        <v>691</v>
      </c>
      <c r="E131" s="1" t="s">
        <v>692</v>
      </c>
      <c r="F131" s="1">
        <v>23.0</v>
      </c>
      <c r="G131" s="1">
        <v>-0.8225</v>
      </c>
      <c r="H131" s="1" t="s">
        <v>693</v>
      </c>
      <c r="I131" s="4" t="b">
        <f>IFERROR(__xludf.DUMMYFUNCTION("IF(H131="""",,REGEXMATCH(H131,""[א-ת]""))"),FALSE)</f>
        <v>0</v>
      </c>
      <c r="J131" s="4"/>
      <c r="K131" s="4"/>
      <c r="L131" s="1">
        <v>-0.8205</v>
      </c>
      <c r="M131" s="1">
        <v>9.59</v>
      </c>
      <c r="N131" s="1">
        <v>82.61</v>
      </c>
      <c r="O131" s="1">
        <v>3.59173913</v>
      </c>
      <c r="P131" s="4"/>
      <c r="Q131" s="4"/>
      <c r="R131" s="1" t="s">
        <v>89</v>
      </c>
      <c r="S131" s="1" t="s">
        <v>692</v>
      </c>
      <c r="T131" s="1" t="s">
        <v>111</v>
      </c>
      <c r="U131" s="1">
        <v>55.0</v>
      </c>
      <c r="V131" s="5" t="s">
        <v>691</v>
      </c>
      <c r="W131" s="1" t="s">
        <v>692</v>
      </c>
      <c r="X131" s="1" t="s">
        <v>694</v>
      </c>
      <c r="Y131" s="4"/>
      <c r="Z131" s="4"/>
      <c r="AA131" s="4" t="b">
        <f>IFERROR(__xludf.DUMMYFUNCTION("IF(X131="""",,REGEXMATCH(X131,""[א-ת]""))"),FALSE)</f>
        <v>0</v>
      </c>
      <c r="AB131" s="1">
        <v>14.35</v>
      </c>
      <c r="AC131" s="1">
        <v>73.91</v>
      </c>
      <c r="AD131" s="1">
        <v>0.3555782014433</v>
      </c>
      <c r="AE131" s="1">
        <v>-0.9013</v>
      </c>
      <c r="AF131" s="1">
        <v>-0.8225</v>
      </c>
      <c r="AG131" s="1">
        <v>6.337</v>
      </c>
      <c r="AH131" s="1">
        <v>6.781</v>
      </c>
      <c r="AI131" s="1" t="b">
        <v>0</v>
      </c>
      <c r="AJ131" s="1" t="b">
        <v>0</v>
      </c>
      <c r="AK131" s="1">
        <v>94.182</v>
      </c>
      <c r="AL131" s="1">
        <v>96.508</v>
      </c>
      <c r="AM131" s="1" t="b">
        <v>0</v>
      </c>
      <c r="AN131" s="1" t="b">
        <v>0</v>
      </c>
      <c r="AO131" s="1">
        <v>8.05</v>
      </c>
      <c r="AP131" s="1">
        <v>8.53399999999999</v>
      </c>
      <c r="AQ131" s="1" t="b">
        <v>0</v>
      </c>
      <c r="AR131" s="1" t="b">
        <v>0</v>
      </c>
      <c r="AS131" s="1">
        <v>86.9179999999999</v>
      </c>
      <c r="AT131" s="1">
        <v>87.152</v>
      </c>
      <c r="AU131" s="1" t="b">
        <v>0</v>
      </c>
      <c r="AV131" s="1" t="b">
        <v>0</v>
      </c>
      <c r="AW131" s="1">
        <v>9.61399999999999</v>
      </c>
      <c r="AX131" s="1">
        <v>11.026</v>
      </c>
      <c r="AY131" s="1" t="b">
        <v>1</v>
      </c>
      <c r="AZ131" s="1" t="b">
        <v>0</v>
      </c>
      <c r="BA131" s="1">
        <v>81.25</v>
      </c>
      <c r="BB131" s="1">
        <v>77.78</v>
      </c>
      <c r="BC131" s="1" t="b">
        <v>1</v>
      </c>
      <c r="BD131" s="1" t="b">
        <v>0</v>
      </c>
      <c r="BE131" s="1">
        <v>11.34</v>
      </c>
      <c r="BF131" s="1">
        <v>13.285</v>
      </c>
      <c r="BG131" s="1" t="b">
        <v>1</v>
      </c>
      <c r="BH131" s="1" t="b">
        <v>0</v>
      </c>
      <c r="BI131" s="1">
        <v>77.78</v>
      </c>
      <c r="BJ131" s="1">
        <v>75.0</v>
      </c>
      <c r="BK131" s="1" t="b">
        <v>1</v>
      </c>
      <c r="BL131" s="1" t="b">
        <v>0</v>
      </c>
      <c r="BM131" s="1">
        <v>13.121</v>
      </c>
      <c r="BN131" s="1">
        <v>14.568</v>
      </c>
      <c r="BO131" s="1" t="b">
        <v>1</v>
      </c>
      <c r="BP131" s="1" t="b">
        <v>1</v>
      </c>
      <c r="BQ131" s="1">
        <v>75.0</v>
      </c>
      <c r="BR131" s="1">
        <v>72.027</v>
      </c>
      <c r="BS131" s="1" t="b">
        <v>1</v>
      </c>
      <c r="BT131" s="1" t="b">
        <v>1</v>
      </c>
      <c r="BU131" s="1" t="s">
        <v>105</v>
      </c>
      <c r="BV131" s="1" t="s">
        <v>105</v>
      </c>
      <c r="BW131" s="1" t="s">
        <v>105</v>
      </c>
      <c r="BX131" s="1" t="s">
        <v>105</v>
      </c>
      <c r="BY131" s="1" t="s">
        <v>91</v>
      </c>
      <c r="BZ131" s="1" t="s">
        <v>91</v>
      </c>
      <c r="CA131" s="1" t="s">
        <v>91</v>
      </c>
      <c r="CB131" s="1" t="s">
        <v>91</v>
      </c>
      <c r="CC131" s="1" t="s">
        <v>104</v>
      </c>
      <c r="CD131" s="1" t="s">
        <v>104</v>
      </c>
      <c r="CE131" s="4"/>
      <c r="CF131" s="4"/>
    </row>
    <row r="132" hidden="1">
      <c r="A132" s="1" t="s">
        <v>82</v>
      </c>
      <c r="B132" s="1" t="s">
        <v>139</v>
      </c>
      <c r="C132" s="1">
        <v>34.0</v>
      </c>
      <c r="D132" s="5" t="s">
        <v>695</v>
      </c>
      <c r="E132" s="1" t="s">
        <v>696</v>
      </c>
      <c r="F132" s="1">
        <v>50.0</v>
      </c>
      <c r="G132" s="1">
        <v>-0.0869</v>
      </c>
      <c r="H132" s="1" t="s">
        <v>697</v>
      </c>
      <c r="I132" s="4" t="b">
        <f>IFERROR(__xludf.DUMMYFUNCTION("IF(H132="""",,REGEXMATCH(H132,""[א-ת]""))"),FALSE)</f>
        <v>0</v>
      </c>
      <c r="J132" s="4"/>
      <c r="K132" s="4"/>
      <c r="L132" s="1">
        <v>-0.6808</v>
      </c>
      <c r="M132" s="1">
        <v>9.62</v>
      </c>
      <c r="N132" s="1">
        <v>64.0</v>
      </c>
      <c r="O132" s="1">
        <v>1.28</v>
      </c>
      <c r="P132" s="4"/>
      <c r="Q132" s="4"/>
      <c r="R132" s="1" t="s">
        <v>96</v>
      </c>
      <c r="S132" s="1" t="s">
        <v>696</v>
      </c>
      <c r="T132" s="1" t="s">
        <v>139</v>
      </c>
      <c r="U132" s="1">
        <v>35.0</v>
      </c>
      <c r="V132" s="5" t="s">
        <v>695</v>
      </c>
      <c r="W132" s="1" t="s">
        <v>696</v>
      </c>
      <c r="X132" s="1" t="s">
        <v>698</v>
      </c>
      <c r="Y132" s="4"/>
      <c r="Z132" s="4"/>
      <c r="AA132" s="4" t="b">
        <f>IFERROR(__xludf.DUMMYFUNCTION("IF(X132="""",,REGEXMATCH(X132,""[א-ת]""))"),FALSE)</f>
        <v>0</v>
      </c>
      <c r="AB132" s="1">
        <v>24.19</v>
      </c>
      <c r="AC132" s="1">
        <v>56.0</v>
      </c>
      <c r="AD132" s="1">
        <v>0.568821812844428</v>
      </c>
      <c r="AE132" s="1">
        <v>-0.0869</v>
      </c>
      <c r="AF132" s="1">
        <v>-0.0869</v>
      </c>
      <c r="AG132" s="1">
        <v>6.337</v>
      </c>
      <c r="AH132" s="1">
        <v>6.781</v>
      </c>
      <c r="AI132" s="1" t="b">
        <v>0</v>
      </c>
      <c r="AJ132" s="1" t="b">
        <v>0</v>
      </c>
      <c r="AK132" s="1">
        <v>94.182</v>
      </c>
      <c r="AL132" s="1">
        <v>96.508</v>
      </c>
      <c r="AM132" s="1" t="b">
        <v>0</v>
      </c>
      <c r="AN132" s="1" t="b">
        <v>0</v>
      </c>
      <c r="AO132" s="1">
        <v>8.05</v>
      </c>
      <c r="AP132" s="1">
        <v>8.53399999999999</v>
      </c>
      <c r="AQ132" s="1" t="b">
        <v>0</v>
      </c>
      <c r="AR132" s="1" t="b">
        <v>0</v>
      </c>
      <c r="AS132" s="1">
        <v>86.9179999999999</v>
      </c>
      <c r="AT132" s="1">
        <v>87.152</v>
      </c>
      <c r="AU132" s="1" t="b">
        <v>0</v>
      </c>
      <c r="AV132" s="1" t="b">
        <v>0</v>
      </c>
      <c r="AW132" s="1">
        <v>9.61399999999999</v>
      </c>
      <c r="AX132" s="1">
        <v>11.026</v>
      </c>
      <c r="AY132" s="1" t="b">
        <v>0</v>
      </c>
      <c r="AZ132" s="1" t="b">
        <v>0</v>
      </c>
      <c r="BA132" s="1">
        <v>81.25</v>
      </c>
      <c r="BB132" s="1">
        <v>77.78</v>
      </c>
      <c r="BC132" s="1" t="b">
        <v>0</v>
      </c>
      <c r="BD132" s="1" t="b">
        <v>0</v>
      </c>
      <c r="BE132" s="1">
        <v>11.34</v>
      </c>
      <c r="BF132" s="1">
        <v>13.285</v>
      </c>
      <c r="BG132" s="1" t="b">
        <v>1</v>
      </c>
      <c r="BH132" s="1" t="b">
        <v>0</v>
      </c>
      <c r="BI132" s="1">
        <v>77.78</v>
      </c>
      <c r="BJ132" s="1">
        <v>75.0</v>
      </c>
      <c r="BK132" s="1" t="b">
        <v>0</v>
      </c>
      <c r="BL132" s="1" t="b">
        <v>0</v>
      </c>
      <c r="BM132" s="1">
        <v>13.121</v>
      </c>
      <c r="BN132" s="1">
        <v>14.568</v>
      </c>
      <c r="BO132" s="1" t="b">
        <v>1</v>
      </c>
      <c r="BP132" s="1" t="b">
        <v>0</v>
      </c>
      <c r="BQ132" s="1">
        <v>75.0</v>
      </c>
      <c r="BR132" s="1">
        <v>72.027</v>
      </c>
      <c r="BS132" s="1" t="b">
        <v>0</v>
      </c>
      <c r="BT132" s="1" t="b">
        <v>0</v>
      </c>
      <c r="BU132" s="1" t="s">
        <v>105</v>
      </c>
      <c r="BV132" s="1" t="s">
        <v>105</v>
      </c>
      <c r="BW132" s="1" t="s">
        <v>105</v>
      </c>
      <c r="BX132" s="1" t="s">
        <v>105</v>
      </c>
      <c r="BY132" s="1" t="s">
        <v>105</v>
      </c>
      <c r="BZ132" s="1" t="s">
        <v>105</v>
      </c>
      <c r="CA132" s="1" t="s">
        <v>91</v>
      </c>
      <c r="CB132" s="1" t="s">
        <v>105</v>
      </c>
      <c r="CC132" s="1" t="s">
        <v>91</v>
      </c>
      <c r="CD132" s="1" t="s">
        <v>105</v>
      </c>
      <c r="CE132" s="4"/>
      <c r="CF132" s="4"/>
    </row>
    <row r="133" hidden="1">
      <c r="A133" s="1" t="s">
        <v>82</v>
      </c>
      <c r="B133" s="1" t="s">
        <v>92</v>
      </c>
      <c r="C133" s="1">
        <v>16.0</v>
      </c>
      <c r="D133" s="5" t="s">
        <v>699</v>
      </c>
      <c r="E133" s="1" t="s">
        <v>700</v>
      </c>
      <c r="F133" s="1">
        <v>28.0</v>
      </c>
      <c r="G133" s="1">
        <v>-0.3612</v>
      </c>
      <c r="H133" s="1" t="s">
        <v>701</v>
      </c>
      <c r="I133" s="4" t="b">
        <f>IFERROR(__xludf.DUMMYFUNCTION("IF(H133="""",,REGEXMATCH(H133,""[א-ת]""))"),FALSE)</f>
        <v>0</v>
      </c>
      <c r="J133" s="4"/>
      <c r="K133" s="4"/>
      <c r="L133" s="1">
        <v>-0.4199</v>
      </c>
      <c r="M133" s="1">
        <v>9.64</v>
      </c>
      <c r="N133" s="1">
        <v>60.71</v>
      </c>
      <c r="O133" s="1">
        <v>2.168214286</v>
      </c>
      <c r="P133" s="4"/>
      <c r="Q133" s="4"/>
      <c r="R133" s="1" t="s">
        <v>96</v>
      </c>
      <c r="S133" s="1" t="s">
        <v>700</v>
      </c>
      <c r="T133" s="1" t="s">
        <v>92</v>
      </c>
      <c r="U133" s="1">
        <v>17.0</v>
      </c>
      <c r="V133" s="5" t="s">
        <v>699</v>
      </c>
      <c r="W133" s="1" t="s">
        <v>700</v>
      </c>
      <c r="X133" s="1" t="s">
        <v>702</v>
      </c>
      <c r="Y133" s="4"/>
      <c r="Z133" s="4"/>
      <c r="AA133" s="4" t="b">
        <f>IFERROR(__xludf.DUMMYFUNCTION("IF(X133="""",,REGEXMATCH(X133,""[א-ת]""))"),FALSE)</f>
        <v>0</v>
      </c>
      <c r="AB133" s="1">
        <v>24.76</v>
      </c>
      <c r="AC133" s="1">
        <v>46.43</v>
      </c>
      <c r="AD133" s="1">
        <v>0.950902973316306</v>
      </c>
      <c r="AE133" s="1">
        <v>-0.4199</v>
      </c>
      <c r="AF133" s="1">
        <v>-0.3612</v>
      </c>
      <c r="AG133" s="1">
        <v>6.337</v>
      </c>
      <c r="AH133" s="1">
        <v>6.781</v>
      </c>
      <c r="AI133" s="1" t="b">
        <v>0</v>
      </c>
      <c r="AJ133" s="1" t="b">
        <v>0</v>
      </c>
      <c r="AK133" s="1">
        <v>94.182</v>
      </c>
      <c r="AL133" s="1">
        <v>96.508</v>
      </c>
      <c r="AM133" s="1" t="b">
        <v>0</v>
      </c>
      <c r="AN133" s="1" t="b">
        <v>0</v>
      </c>
      <c r="AO133" s="1">
        <v>8.05</v>
      </c>
      <c r="AP133" s="1">
        <v>8.53399999999999</v>
      </c>
      <c r="AQ133" s="1" t="b">
        <v>0</v>
      </c>
      <c r="AR133" s="1" t="b">
        <v>0</v>
      </c>
      <c r="AS133" s="1">
        <v>86.9179999999999</v>
      </c>
      <c r="AT133" s="1">
        <v>87.152</v>
      </c>
      <c r="AU133" s="1" t="b">
        <v>0</v>
      </c>
      <c r="AV133" s="1" t="b">
        <v>0</v>
      </c>
      <c r="AW133" s="1">
        <v>9.61399999999999</v>
      </c>
      <c r="AX133" s="1">
        <v>11.026</v>
      </c>
      <c r="AY133" s="1" t="b">
        <v>0</v>
      </c>
      <c r="AZ133" s="1" t="b">
        <v>0</v>
      </c>
      <c r="BA133" s="1">
        <v>81.25</v>
      </c>
      <c r="BB133" s="1">
        <v>77.78</v>
      </c>
      <c r="BC133" s="1" t="b">
        <v>0</v>
      </c>
      <c r="BD133" s="1" t="b">
        <v>0</v>
      </c>
      <c r="BE133" s="1">
        <v>11.34</v>
      </c>
      <c r="BF133" s="1">
        <v>13.285</v>
      </c>
      <c r="BG133" s="1" t="b">
        <v>1</v>
      </c>
      <c r="BH133" s="1" t="b">
        <v>0</v>
      </c>
      <c r="BI133" s="1">
        <v>77.78</v>
      </c>
      <c r="BJ133" s="1">
        <v>75.0</v>
      </c>
      <c r="BK133" s="1" t="b">
        <v>0</v>
      </c>
      <c r="BL133" s="1" t="b">
        <v>0</v>
      </c>
      <c r="BM133" s="1">
        <v>13.121</v>
      </c>
      <c r="BN133" s="1">
        <v>14.568</v>
      </c>
      <c r="BO133" s="1" t="b">
        <v>1</v>
      </c>
      <c r="BP133" s="1" t="b">
        <v>0</v>
      </c>
      <c r="BQ133" s="1">
        <v>75.0</v>
      </c>
      <c r="BR133" s="1">
        <v>72.027</v>
      </c>
      <c r="BS133" s="1" t="b">
        <v>0</v>
      </c>
      <c r="BT133" s="1" t="b">
        <v>0</v>
      </c>
      <c r="BU133" s="1" t="s">
        <v>105</v>
      </c>
      <c r="BV133" s="1" t="s">
        <v>105</v>
      </c>
      <c r="BW133" s="1" t="s">
        <v>105</v>
      </c>
      <c r="BX133" s="1" t="s">
        <v>105</v>
      </c>
      <c r="BY133" s="1" t="s">
        <v>105</v>
      </c>
      <c r="BZ133" s="1" t="s">
        <v>105</v>
      </c>
      <c r="CA133" s="1" t="s">
        <v>91</v>
      </c>
      <c r="CB133" s="1" t="s">
        <v>105</v>
      </c>
      <c r="CC133" s="1" t="s">
        <v>91</v>
      </c>
      <c r="CD133" s="1" t="s">
        <v>105</v>
      </c>
      <c r="CE133" s="4"/>
      <c r="CF133" s="4"/>
    </row>
    <row r="134">
      <c r="A134" s="1" t="s">
        <v>82</v>
      </c>
      <c r="B134" s="1" t="s">
        <v>92</v>
      </c>
      <c r="C134" s="1">
        <v>21.0</v>
      </c>
      <c r="D134" s="5" t="s">
        <v>703</v>
      </c>
      <c r="E134" s="1" t="s">
        <v>704</v>
      </c>
      <c r="F134" s="1">
        <v>26.0</v>
      </c>
      <c r="G134" s="1">
        <v>-0.3612</v>
      </c>
      <c r="H134" s="1" t="s">
        <v>705</v>
      </c>
      <c r="I134" s="4" t="b">
        <f>IFERROR(__xludf.DUMMYFUNCTION("IF(H134="""",,REGEXMATCH(H134,""[א-ת]""))"),FALSE)</f>
        <v>0</v>
      </c>
      <c r="J134" s="4"/>
      <c r="K134" s="4"/>
      <c r="L134" s="1">
        <v>0.0</v>
      </c>
      <c r="M134" s="1">
        <v>9.68</v>
      </c>
      <c r="N134" s="1">
        <v>65.38</v>
      </c>
      <c r="O134" s="1">
        <v>2.514615385</v>
      </c>
      <c r="P134" s="4"/>
      <c r="Q134" s="4"/>
      <c r="R134" s="1" t="s">
        <v>96</v>
      </c>
      <c r="S134" s="1" t="s">
        <v>704</v>
      </c>
      <c r="T134" s="1" t="s">
        <v>92</v>
      </c>
      <c r="U134" s="1">
        <v>22.0</v>
      </c>
      <c r="V134" s="5" t="s">
        <v>703</v>
      </c>
      <c r="W134" s="1" t="s">
        <v>704</v>
      </c>
      <c r="X134" s="1" t="s">
        <v>706</v>
      </c>
      <c r="Y134" s="1" t="s">
        <v>707</v>
      </c>
      <c r="Z134" s="4"/>
      <c r="AA134" s="4" t="b">
        <f>IFERROR(__xludf.DUMMYFUNCTION("IF(X134="""",,REGEXMATCH(X134,""[א-ת]""))"),FALSE)</f>
        <v>0</v>
      </c>
      <c r="AB134" s="1">
        <v>6.3</v>
      </c>
      <c r="AC134" s="1">
        <v>69.23</v>
      </c>
      <c r="AD134" s="1">
        <v>0.446385141191345</v>
      </c>
      <c r="AE134" s="1">
        <v>-0.3612</v>
      </c>
      <c r="AF134" s="1">
        <v>-0.3612</v>
      </c>
      <c r="AG134" s="1">
        <v>6.337</v>
      </c>
      <c r="AH134" s="1">
        <v>6.781</v>
      </c>
      <c r="AI134" s="1" t="b">
        <v>0</v>
      </c>
      <c r="AJ134" s="1" t="b">
        <v>1</v>
      </c>
      <c r="AK134" s="1">
        <v>94.182</v>
      </c>
      <c r="AL134" s="1">
        <v>96.508</v>
      </c>
      <c r="AM134" s="1" t="b">
        <v>0</v>
      </c>
      <c r="AN134" s="1" t="b">
        <v>0</v>
      </c>
      <c r="AO134" s="1">
        <v>8.05</v>
      </c>
      <c r="AP134" s="1">
        <v>8.53399999999999</v>
      </c>
      <c r="AQ134" s="1" t="b">
        <v>0</v>
      </c>
      <c r="AR134" s="1" t="b">
        <v>1</v>
      </c>
      <c r="AS134" s="1">
        <v>86.9179999999999</v>
      </c>
      <c r="AT134" s="1">
        <v>87.152</v>
      </c>
      <c r="AU134" s="1" t="b">
        <v>0</v>
      </c>
      <c r="AV134" s="1" t="b">
        <v>0</v>
      </c>
      <c r="AW134" s="1">
        <v>9.61399999999999</v>
      </c>
      <c r="AX134" s="1">
        <v>11.026</v>
      </c>
      <c r="AY134" s="1" t="b">
        <v>0</v>
      </c>
      <c r="AZ134" s="1" t="b">
        <v>1</v>
      </c>
      <c r="BA134" s="1">
        <v>81.25</v>
      </c>
      <c r="BB134" s="1">
        <v>77.78</v>
      </c>
      <c r="BC134" s="1" t="b">
        <v>0</v>
      </c>
      <c r="BD134" s="1" t="b">
        <v>0</v>
      </c>
      <c r="BE134" s="1">
        <v>11.34</v>
      </c>
      <c r="BF134" s="1">
        <v>13.285</v>
      </c>
      <c r="BG134" s="1" t="b">
        <v>1</v>
      </c>
      <c r="BH134" s="1" t="b">
        <v>1</v>
      </c>
      <c r="BI134" s="1">
        <v>77.78</v>
      </c>
      <c r="BJ134" s="1">
        <v>75.0</v>
      </c>
      <c r="BK134" s="1" t="b">
        <v>0</v>
      </c>
      <c r="BL134" s="1" t="b">
        <v>0</v>
      </c>
      <c r="BM134" s="1">
        <v>13.121</v>
      </c>
      <c r="BN134" s="1">
        <v>14.568</v>
      </c>
      <c r="BO134" s="1" t="b">
        <v>1</v>
      </c>
      <c r="BP134" s="1" t="b">
        <v>1</v>
      </c>
      <c r="BQ134" s="1">
        <v>75.0</v>
      </c>
      <c r="BR134" s="1">
        <v>72.027</v>
      </c>
      <c r="BS134" s="1" t="b">
        <v>0</v>
      </c>
      <c r="BT134" s="1" t="b">
        <v>0</v>
      </c>
      <c r="BU134" s="1" t="s">
        <v>157</v>
      </c>
      <c r="BV134" s="1" t="s">
        <v>105</v>
      </c>
      <c r="BW134" s="1" t="s">
        <v>157</v>
      </c>
      <c r="BX134" s="1" t="s">
        <v>105</v>
      </c>
      <c r="BY134" s="1" t="s">
        <v>157</v>
      </c>
      <c r="BZ134" s="1" t="s">
        <v>105</v>
      </c>
      <c r="CA134" s="1" t="s">
        <v>104</v>
      </c>
      <c r="CB134" s="1" t="s">
        <v>105</v>
      </c>
      <c r="CC134" s="1" t="s">
        <v>104</v>
      </c>
      <c r="CD134" s="1" t="s">
        <v>105</v>
      </c>
      <c r="CE134" s="4"/>
      <c r="CF134" s="4"/>
    </row>
    <row r="135" hidden="1">
      <c r="A135" s="1" t="s">
        <v>82</v>
      </c>
      <c r="B135" s="1" t="s">
        <v>145</v>
      </c>
      <c r="C135" s="1">
        <v>28.0</v>
      </c>
      <c r="D135" s="5" t="s">
        <v>708</v>
      </c>
      <c r="E135" s="1" t="s">
        <v>709</v>
      </c>
      <c r="F135" s="1">
        <v>25.0</v>
      </c>
      <c r="G135" s="1">
        <v>0.6124</v>
      </c>
      <c r="H135" s="1" t="s">
        <v>710</v>
      </c>
      <c r="I135" s="4" t="b">
        <f>IFERROR(__xludf.DUMMYFUNCTION("IF(H135="""",,REGEXMATCH(H135,""[א-ת]""))"),FALSE)</f>
        <v>0</v>
      </c>
      <c r="J135" s="4"/>
      <c r="K135" s="4"/>
      <c r="L135" s="1">
        <v>0.0</v>
      </c>
      <c r="M135" s="1">
        <v>9.75</v>
      </c>
      <c r="N135" s="1">
        <v>76.0</v>
      </c>
      <c r="O135" s="1">
        <v>3.04</v>
      </c>
      <c r="P135" s="4"/>
      <c r="Q135" s="4"/>
      <c r="R135" s="1" t="s">
        <v>89</v>
      </c>
      <c r="S135" s="1" t="s">
        <v>709</v>
      </c>
      <c r="T135" s="1" t="s">
        <v>145</v>
      </c>
      <c r="U135" s="1">
        <v>29.0</v>
      </c>
      <c r="V135" s="5" t="s">
        <v>708</v>
      </c>
      <c r="W135" s="1" t="s">
        <v>709</v>
      </c>
      <c r="X135" s="1" t="s">
        <v>711</v>
      </c>
      <c r="Y135" s="4"/>
      <c r="Z135" s="4"/>
      <c r="AA135" s="4" t="b">
        <f>IFERROR(__xludf.DUMMYFUNCTION("IF(X135="""",,REGEXMATCH(X135,""[א-ת]""))"),FALSE)</f>
        <v>0</v>
      </c>
      <c r="AB135" s="1">
        <v>40.03</v>
      </c>
      <c r="AC135" s="1">
        <v>56.0</v>
      </c>
      <c r="AD135" s="1">
        <v>0.563218202585899</v>
      </c>
      <c r="AE135" s="1">
        <v>0.0</v>
      </c>
      <c r="AF135" s="1">
        <v>0.6124</v>
      </c>
      <c r="AG135" s="1">
        <v>6.337</v>
      </c>
      <c r="AH135" s="1">
        <v>6.781</v>
      </c>
      <c r="AI135" s="1" t="b">
        <v>0</v>
      </c>
      <c r="AJ135" s="1" t="b">
        <v>0</v>
      </c>
      <c r="AK135" s="1">
        <v>94.182</v>
      </c>
      <c r="AL135" s="1">
        <v>96.508</v>
      </c>
      <c r="AM135" s="1" t="b">
        <v>0</v>
      </c>
      <c r="AN135" s="1" t="b">
        <v>0</v>
      </c>
      <c r="AO135" s="1">
        <v>8.05</v>
      </c>
      <c r="AP135" s="1">
        <v>8.53399999999999</v>
      </c>
      <c r="AQ135" s="1" t="b">
        <v>0</v>
      </c>
      <c r="AR135" s="1" t="b">
        <v>0</v>
      </c>
      <c r="AS135" s="1">
        <v>86.9179999999999</v>
      </c>
      <c r="AT135" s="1">
        <v>87.152</v>
      </c>
      <c r="AU135" s="1" t="b">
        <v>0</v>
      </c>
      <c r="AV135" s="1" t="b">
        <v>0</v>
      </c>
      <c r="AW135" s="1">
        <v>9.61399999999999</v>
      </c>
      <c r="AX135" s="1">
        <v>11.026</v>
      </c>
      <c r="AY135" s="1" t="b">
        <v>0</v>
      </c>
      <c r="AZ135" s="1" t="b">
        <v>0</v>
      </c>
      <c r="BA135" s="1">
        <v>81.25</v>
      </c>
      <c r="BB135" s="1">
        <v>77.78</v>
      </c>
      <c r="BC135" s="1" t="b">
        <v>0</v>
      </c>
      <c r="BD135" s="1" t="b">
        <v>0</v>
      </c>
      <c r="BE135" s="1">
        <v>11.34</v>
      </c>
      <c r="BF135" s="1">
        <v>13.285</v>
      </c>
      <c r="BG135" s="1" t="b">
        <v>1</v>
      </c>
      <c r="BH135" s="1" t="b">
        <v>0</v>
      </c>
      <c r="BI135" s="1">
        <v>77.78</v>
      </c>
      <c r="BJ135" s="1">
        <v>75.0</v>
      </c>
      <c r="BK135" s="1" t="b">
        <v>0</v>
      </c>
      <c r="BL135" s="1" t="b">
        <v>0</v>
      </c>
      <c r="BM135" s="1">
        <v>13.121</v>
      </c>
      <c r="BN135" s="1">
        <v>14.568</v>
      </c>
      <c r="BO135" s="1" t="b">
        <v>1</v>
      </c>
      <c r="BP135" s="1" t="b">
        <v>0</v>
      </c>
      <c r="BQ135" s="1">
        <v>75.0</v>
      </c>
      <c r="BR135" s="1">
        <v>72.027</v>
      </c>
      <c r="BS135" s="1" t="b">
        <v>1</v>
      </c>
      <c r="BT135" s="1" t="b">
        <v>0</v>
      </c>
      <c r="BU135" s="1" t="s">
        <v>105</v>
      </c>
      <c r="BV135" s="1" t="s">
        <v>105</v>
      </c>
      <c r="BW135" s="1" t="s">
        <v>105</v>
      </c>
      <c r="BX135" s="1" t="s">
        <v>105</v>
      </c>
      <c r="BY135" s="1" t="s">
        <v>105</v>
      </c>
      <c r="BZ135" s="1" t="s">
        <v>105</v>
      </c>
      <c r="CA135" s="1" t="s">
        <v>91</v>
      </c>
      <c r="CB135" s="1" t="s">
        <v>105</v>
      </c>
      <c r="CC135" s="1" t="s">
        <v>91</v>
      </c>
      <c r="CD135" s="1" t="s">
        <v>91</v>
      </c>
      <c r="CE135" s="4"/>
      <c r="CF135" s="4"/>
    </row>
    <row r="136" hidden="1">
      <c r="A136" s="1" t="s">
        <v>82</v>
      </c>
      <c r="B136" s="1" t="s">
        <v>251</v>
      </c>
      <c r="C136" s="1">
        <v>27.0</v>
      </c>
      <c r="D136" s="5" t="s">
        <v>712</v>
      </c>
      <c r="E136" s="1" t="s">
        <v>713</v>
      </c>
      <c r="F136" s="1">
        <v>20.0</v>
      </c>
      <c r="G136" s="1">
        <v>0.0</v>
      </c>
      <c r="H136" s="1" t="s">
        <v>714</v>
      </c>
      <c r="I136" s="4" t="b">
        <f>IFERROR(__xludf.DUMMYFUNCTION("IF(H136="""",,REGEXMATCH(H136,""[א-ת]""))"),FALSE)</f>
        <v>0</v>
      </c>
      <c r="J136" s="4"/>
      <c r="K136" s="4"/>
      <c r="L136" s="1">
        <v>0.0</v>
      </c>
      <c r="M136" s="1">
        <v>9.76</v>
      </c>
      <c r="N136" s="1">
        <v>75.0</v>
      </c>
      <c r="O136" s="1">
        <v>3.75</v>
      </c>
      <c r="P136" s="4"/>
      <c r="Q136" s="4"/>
      <c r="R136" s="1" t="s">
        <v>89</v>
      </c>
      <c r="S136" s="1" t="s">
        <v>713</v>
      </c>
      <c r="T136" s="1" t="s">
        <v>251</v>
      </c>
      <c r="U136" s="1">
        <v>28.0</v>
      </c>
      <c r="V136" s="5" t="s">
        <v>712</v>
      </c>
      <c r="W136" s="1" t="s">
        <v>713</v>
      </c>
      <c r="X136" s="1" t="s">
        <v>715</v>
      </c>
      <c r="Y136" s="4"/>
      <c r="Z136" s="4"/>
      <c r="AA136" s="4" t="b">
        <f>IFERROR(__xludf.DUMMYFUNCTION("IF(X136="""",,REGEXMATCH(X136,""[א-ת]""))"),FALSE)</f>
        <v>0</v>
      </c>
      <c r="AB136" s="1">
        <v>22.12</v>
      </c>
      <c r="AC136" s="1">
        <v>55.0</v>
      </c>
      <c r="AD136" s="1">
        <v>0.468909286563144</v>
      </c>
      <c r="AE136" s="1">
        <v>0.0</v>
      </c>
      <c r="AF136" s="1">
        <v>0.0</v>
      </c>
      <c r="AG136" s="1">
        <v>6.337</v>
      </c>
      <c r="AH136" s="1">
        <v>6.781</v>
      </c>
      <c r="AI136" s="1" t="b">
        <v>0</v>
      </c>
      <c r="AJ136" s="1" t="b">
        <v>0</v>
      </c>
      <c r="AK136" s="1">
        <v>94.182</v>
      </c>
      <c r="AL136" s="1">
        <v>96.508</v>
      </c>
      <c r="AM136" s="1" t="b">
        <v>0</v>
      </c>
      <c r="AN136" s="1" t="b">
        <v>0</v>
      </c>
      <c r="AO136" s="1">
        <v>8.05</v>
      </c>
      <c r="AP136" s="1">
        <v>8.53399999999999</v>
      </c>
      <c r="AQ136" s="1" t="b">
        <v>0</v>
      </c>
      <c r="AR136" s="1" t="b">
        <v>0</v>
      </c>
      <c r="AS136" s="1">
        <v>86.9179999999999</v>
      </c>
      <c r="AT136" s="1">
        <v>87.152</v>
      </c>
      <c r="AU136" s="1" t="b">
        <v>0</v>
      </c>
      <c r="AV136" s="1" t="b">
        <v>0</v>
      </c>
      <c r="AW136" s="1">
        <v>9.61399999999999</v>
      </c>
      <c r="AX136" s="1">
        <v>11.026</v>
      </c>
      <c r="AY136" s="1" t="b">
        <v>0</v>
      </c>
      <c r="AZ136" s="1" t="b">
        <v>0</v>
      </c>
      <c r="BA136" s="1">
        <v>81.25</v>
      </c>
      <c r="BB136" s="1">
        <v>77.78</v>
      </c>
      <c r="BC136" s="1" t="b">
        <v>0</v>
      </c>
      <c r="BD136" s="1" t="b">
        <v>0</v>
      </c>
      <c r="BE136" s="1">
        <v>11.34</v>
      </c>
      <c r="BF136" s="1">
        <v>13.285</v>
      </c>
      <c r="BG136" s="1" t="b">
        <v>1</v>
      </c>
      <c r="BH136" s="1" t="b">
        <v>0</v>
      </c>
      <c r="BI136" s="1">
        <v>77.78</v>
      </c>
      <c r="BJ136" s="1">
        <v>75.0</v>
      </c>
      <c r="BK136" s="1" t="b">
        <v>0</v>
      </c>
      <c r="BL136" s="1" t="b">
        <v>0</v>
      </c>
      <c r="BM136" s="1">
        <v>13.121</v>
      </c>
      <c r="BN136" s="1">
        <v>14.568</v>
      </c>
      <c r="BO136" s="1" t="b">
        <v>1</v>
      </c>
      <c r="BP136" s="1" t="b">
        <v>0</v>
      </c>
      <c r="BQ136" s="1">
        <v>75.0</v>
      </c>
      <c r="BR136" s="1">
        <v>72.027</v>
      </c>
      <c r="BS136" s="1" t="b">
        <v>1</v>
      </c>
      <c r="BT136" s="1" t="b">
        <v>0</v>
      </c>
      <c r="BU136" s="1" t="s">
        <v>105</v>
      </c>
      <c r="BV136" s="1" t="s">
        <v>105</v>
      </c>
      <c r="BW136" s="1" t="s">
        <v>105</v>
      </c>
      <c r="BX136" s="1" t="s">
        <v>105</v>
      </c>
      <c r="BY136" s="1" t="s">
        <v>105</v>
      </c>
      <c r="BZ136" s="1" t="s">
        <v>105</v>
      </c>
      <c r="CA136" s="1" t="s">
        <v>91</v>
      </c>
      <c r="CB136" s="1" t="s">
        <v>105</v>
      </c>
      <c r="CC136" s="1" t="s">
        <v>91</v>
      </c>
      <c r="CD136" s="1" t="s">
        <v>91</v>
      </c>
      <c r="CE136" s="4"/>
      <c r="CF136" s="4"/>
    </row>
    <row r="137" hidden="1">
      <c r="A137" s="1" t="s">
        <v>82</v>
      </c>
      <c r="B137" s="1" t="s">
        <v>167</v>
      </c>
      <c r="C137" s="1">
        <v>6.0</v>
      </c>
      <c r="D137" s="5" t="s">
        <v>716</v>
      </c>
      <c r="E137" s="1" t="s">
        <v>717</v>
      </c>
      <c r="F137" s="1">
        <v>11.0</v>
      </c>
      <c r="G137" s="1">
        <v>0.0</v>
      </c>
      <c r="H137" s="1" t="s">
        <v>718</v>
      </c>
      <c r="I137" s="4" t="b">
        <f>IFERROR(__xludf.DUMMYFUNCTION("IF(H137="""",,REGEXMATCH(H137,""[א-ת]""))"),FALSE)</f>
        <v>0</v>
      </c>
      <c r="J137" s="4"/>
      <c r="K137" s="4"/>
      <c r="L137" s="1">
        <v>0.0</v>
      </c>
      <c r="M137" s="1">
        <v>9.78</v>
      </c>
      <c r="N137" s="1">
        <v>90.91</v>
      </c>
      <c r="O137" s="1">
        <v>8.264545455</v>
      </c>
      <c r="P137" s="4"/>
      <c r="Q137" s="4"/>
      <c r="R137" s="1" t="s">
        <v>127</v>
      </c>
      <c r="S137" s="1" t="s">
        <v>717</v>
      </c>
      <c r="T137" s="1" t="s">
        <v>167</v>
      </c>
      <c r="U137" s="1">
        <v>7.0</v>
      </c>
      <c r="V137" s="5" t="s">
        <v>716</v>
      </c>
      <c r="W137" s="1" t="s">
        <v>717</v>
      </c>
      <c r="X137" s="1" t="s">
        <v>719</v>
      </c>
      <c r="Y137" s="4"/>
      <c r="Z137" s="4"/>
      <c r="AA137" s="4" t="b">
        <f>IFERROR(__xludf.DUMMYFUNCTION("IF(X137="""",,REGEXMATCH(X137,""[א-ת]""))"),FALSE)</f>
        <v>0</v>
      </c>
      <c r="AB137" s="1">
        <v>11.36</v>
      </c>
      <c r="AC137" s="1">
        <v>72.73</v>
      </c>
      <c r="AD137" s="1">
        <v>0.261320309432613</v>
      </c>
      <c r="AE137" s="1">
        <v>0.0</v>
      </c>
      <c r="AF137" s="1">
        <v>0.0</v>
      </c>
      <c r="AG137" s="1">
        <v>6.337</v>
      </c>
      <c r="AH137" s="1">
        <v>6.781</v>
      </c>
      <c r="AI137" s="1" t="b">
        <v>0</v>
      </c>
      <c r="AJ137" s="1" t="b">
        <v>0</v>
      </c>
      <c r="AK137" s="1">
        <v>94.182</v>
      </c>
      <c r="AL137" s="1">
        <v>96.508</v>
      </c>
      <c r="AM137" s="1" t="b">
        <v>0</v>
      </c>
      <c r="AN137" s="1" t="b">
        <v>0</v>
      </c>
      <c r="AO137" s="1">
        <v>8.05</v>
      </c>
      <c r="AP137" s="1">
        <v>8.53399999999999</v>
      </c>
      <c r="AQ137" s="1" t="b">
        <v>0</v>
      </c>
      <c r="AR137" s="1" t="b">
        <v>0</v>
      </c>
      <c r="AS137" s="1">
        <v>86.9179999999999</v>
      </c>
      <c r="AT137" s="1">
        <v>87.152</v>
      </c>
      <c r="AU137" s="1" t="b">
        <v>1</v>
      </c>
      <c r="AV137" s="1" t="b">
        <v>0</v>
      </c>
      <c r="AW137" s="1">
        <v>9.61399999999999</v>
      </c>
      <c r="AX137" s="1">
        <v>11.026</v>
      </c>
      <c r="AY137" s="1" t="b">
        <v>0</v>
      </c>
      <c r="AZ137" s="1" t="b">
        <v>0</v>
      </c>
      <c r="BA137" s="1">
        <v>81.25</v>
      </c>
      <c r="BB137" s="1">
        <v>77.78</v>
      </c>
      <c r="BC137" s="1" t="b">
        <v>1</v>
      </c>
      <c r="BD137" s="1" t="b">
        <v>0</v>
      </c>
      <c r="BE137" s="1">
        <v>11.34</v>
      </c>
      <c r="BF137" s="1">
        <v>13.285</v>
      </c>
      <c r="BG137" s="1" t="b">
        <v>1</v>
      </c>
      <c r="BH137" s="1" t="b">
        <v>1</v>
      </c>
      <c r="BI137" s="1">
        <v>77.78</v>
      </c>
      <c r="BJ137" s="1">
        <v>75.0</v>
      </c>
      <c r="BK137" s="1" t="b">
        <v>1</v>
      </c>
      <c r="BL137" s="1" t="b">
        <v>0</v>
      </c>
      <c r="BM137" s="1">
        <v>13.121</v>
      </c>
      <c r="BN137" s="1">
        <v>14.568</v>
      </c>
      <c r="BO137" s="1" t="b">
        <v>1</v>
      </c>
      <c r="BP137" s="1" t="b">
        <v>1</v>
      </c>
      <c r="BQ137" s="1">
        <v>75.0</v>
      </c>
      <c r="BR137" s="1">
        <v>72.027</v>
      </c>
      <c r="BS137" s="1" t="b">
        <v>1</v>
      </c>
      <c r="BT137" s="1" t="b">
        <v>1</v>
      </c>
      <c r="BU137" s="1" t="s">
        <v>105</v>
      </c>
      <c r="BV137" s="1" t="s">
        <v>105</v>
      </c>
      <c r="BW137" s="1" t="s">
        <v>105</v>
      </c>
      <c r="BX137" s="1" t="s">
        <v>91</v>
      </c>
      <c r="BY137" s="1" t="s">
        <v>105</v>
      </c>
      <c r="BZ137" s="1" t="s">
        <v>91</v>
      </c>
      <c r="CA137" s="1" t="s">
        <v>104</v>
      </c>
      <c r="CB137" s="1" t="s">
        <v>91</v>
      </c>
      <c r="CC137" s="1" t="s">
        <v>104</v>
      </c>
      <c r="CD137" s="1" t="s">
        <v>104</v>
      </c>
      <c r="CE137" s="4"/>
      <c r="CF137" s="4"/>
    </row>
    <row r="138" hidden="1">
      <c r="A138" s="1" t="s">
        <v>82</v>
      </c>
      <c r="B138" s="1" t="s">
        <v>152</v>
      </c>
      <c r="C138" s="1">
        <v>19.0</v>
      </c>
      <c r="D138" s="5" t="s">
        <v>720</v>
      </c>
      <c r="E138" s="1" t="s">
        <v>721</v>
      </c>
      <c r="F138" s="1">
        <v>54.0</v>
      </c>
      <c r="G138" s="1">
        <v>-0.6908</v>
      </c>
      <c r="H138" s="1" t="s">
        <v>722</v>
      </c>
      <c r="I138" s="4" t="b">
        <f>IFERROR(__xludf.DUMMYFUNCTION("IF(H138="""",,REGEXMATCH(H138,""[א-ת]""))"),FALSE)</f>
        <v>0</v>
      </c>
      <c r="J138" s="4"/>
      <c r="K138" s="4"/>
      <c r="L138" s="1">
        <v>0.9231</v>
      </c>
      <c r="M138" s="1">
        <v>9.8</v>
      </c>
      <c r="N138" s="1">
        <v>85.19</v>
      </c>
      <c r="O138" s="1">
        <v>1.577592593</v>
      </c>
      <c r="P138" s="4"/>
      <c r="Q138" s="4"/>
      <c r="R138" s="1" t="s">
        <v>89</v>
      </c>
      <c r="S138" s="1" t="s">
        <v>721</v>
      </c>
      <c r="T138" s="1" t="s">
        <v>152</v>
      </c>
      <c r="U138" s="1">
        <v>20.0</v>
      </c>
      <c r="V138" s="5" t="s">
        <v>720</v>
      </c>
      <c r="W138" s="1" t="s">
        <v>721</v>
      </c>
      <c r="X138" s="1" t="s">
        <v>723</v>
      </c>
      <c r="Y138" s="4"/>
      <c r="Z138" s="4"/>
      <c r="AA138" s="4" t="b">
        <f>IFERROR(__xludf.DUMMYFUNCTION("IF(X138="""",,REGEXMATCH(X138,""[א-ת]""))"),FALSE)</f>
        <v>0</v>
      </c>
      <c r="AB138" s="1">
        <v>14.54</v>
      </c>
      <c r="AC138" s="1">
        <v>64.81</v>
      </c>
      <c r="AD138" s="1">
        <v>0.530657085494834</v>
      </c>
      <c r="AE138" s="1">
        <v>0.5845</v>
      </c>
      <c r="AF138" s="1">
        <v>-0.6908</v>
      </c>
      <c r="AG138" s="1">
        <v>6.337</v>
      </c>
      <c r="AH138" s="1">
        <v>6.781</v>
      </c>
      <c r="AI138" s="1" t="b">
        <v>0</v>
      </c>
      <c r="AJ138" s="1" t="b">
        <v>0</v>
      </c>
      <c r="AK138" s="1">
        <v>94.182</v>
      </c>
      <c r="AL138" s="1">
        <v>96.508</v>
      </c>
      <c r="AM138" s="1" t="b">
        <v>0</v>
      </c>
      <c r="AN138" s="1" t="b">
        <v>0</v>
      </c>
      <c r="AO138" s="1">
        <v>8.05</v>
      </c>
      <c r="AP138" s="1">
        <v>8.53399999999999</v>
      </c>
      <c r="AQ138" s="1" t="b">
        <v>0</v>
      </c>
      <c r="AR138" s="1" t="b">
        <v>0</v>
      </c>
      <c r="AS138" s="1">
        <v>86.9179999999999</v>
      </c>
      <c r="AT138" s="1">
        <v>87.152</v>
      </c>
      <c r="AU138" s="1" t="b">
        <v>0</v>
      </c>
      <c r="AV138" s="1" t="b">
        <v>0</v>
      </c>
      <c r="AW138" s="1">
        <v>9.61399999999999</v>
      </c>
      <c r="AX138" s="1">
        <v>11.026</v>
      </c>
      <c r="AY138" s="1" t="b">
        <v>0</v>
      </c>
      <c r="AZ138" s="1" t="b">
        <v>0</v>
      </c>
      <c r="BA138" s="1">
        <v>81.25</v>
      </c>
      <c r="BB138" s="1">
        <v>77.78</v>
      </c>
      <c r="BC138" s="1" t="b">
        <v>1</v>
      </c>
      <c r="BD138" s="1" t="b">
        <v>0</v>
      </c>
      <c r="BE138" s="1">
        <v>11.34</v>
      </c>
      <c r="BF138" s="1">
        <v>13.285</v>
      </c>
      <c r="BG138" s="1" t="b">
        <v>1</v>
      </c>
      <c r="BH138" s="1" t="b">
        <v>0</v>
      </c>
      <c r="BI138" s="1">
        <v>77.78</v>
      </c>
      <c r="BJ138" s="1">
        <v>75.0</v>
      </c>
      <c r="BK138" s="1" t="b">
        <v>1</v>
      </c>
      <c r="BL138" s="1" t="b">
        <v>0</v>
      </c>
      <c r="BM138" s="1">
        <v>13.121</v>
      </c>
      <c r="BN138" s="1">
        <v>14.568</v>
      </c>
      <c r="BO138" s="1" t="b">
        <v>1</v>
      </c>
      <c r="BP138" s="1" t="b">
        <v>1</v>
      </c>
      <c r="BQ138" s="1">
        <v>75.0</v>
      </c>
      <c r="BR138" s="1">
        <v>72.027</v>
      </c>
      <c r="BS138" s="1" t="b">
        <v>1</v>
      </c>
      <c r="BT138" s="1" t="b">
        <v>0</v>
      </c>
      <c r="BU138" s="1" t="s">
        <v>105</v>
      </c>
      <c r="BV138" s="1" t="s">
        <v>105</v>
      </c>
      <c r="BW138" s="1" t="s">
        <v>105</v>
      </c>
      <c r="BX138" s="1" t="s">
        <v>105</v>
      </c>
      <c r="BY138" s="1" t="s">
        <v>105</v>
      </c>
      <c r="BZ138" s="1" t="s">
        <v>91</v>
      </c>
      <c r="CA138" s="1" t="s">
        <v>91</v>
      </c>
      <c r="CB138" s="1" t="s">
        <v>91</v>
      </c>
      <c r="CC138" s="1" t="s">
        <v>104</v>
      </c>
      <c r="CD138" s="1" t="s">
        <v>91</v>
      </c>
      <c r="CE138" s="4"/>
      <c r="CF138" s="4"/>
    </row>
    <row r="139" hidden="1">
      <c r="A139" s="1" t="s">
        <v>82</v>
      </c>
      <c r="B139" s="1" t="s">
        <v>116</v>
      </c>
      <c r="C139" s="1">
        <v>30.0</v>
      </c>
      <c r="D139" s="5" t="s">
        <v>724</v>
      </c>
      <c r="E139" s="1" t="s">
        <v>725</v>
      </c>
      <c r="F139" s="1">
        <v>16.0</v>
      </c>
      <c r="G139" s="1">
        <v>0.0</v>
      </c>
      <c r="H139" s="1" t="s">
        <v>726</v>
      </c>
      <c r="I139" s="4" t="b">
        <f>IFERROR(__xludf.DUMMYFUNCTION("IF(H139="""",,REGEXMATCH(H139,""[א-ת]""))"),FALSE)</f>
        <v>0</v>
      </c>
      <c r="J139" s="4"/>
      <c r="K139" s="4"/>
      <c r="L139" s="1">
        <v>0.0</v>
      </c>
      <c r="M139" s="1">
        <v>9.85</v>
      </c>
      <c r="N139" s="1">
        <v>87.5</v>
      </c>
      <c r="O139" s="1">
        <v>5.46875</v>
      </c>
      <c r="P139" s="4"/>
      <c r="Q139" s="4"/>
      <c r="R139" s="1" t="s">
        <v>89</v>
      </c>
      <c r="S139" s="1" t="s">
        <v>725</v>
      </c>
      <c r="T139" s="1" t="s">
        <v>116</v>
      </c>
      <c r="U139" s="1">
        <v>31.0</v>
      </c>
      <c r="V139" s="5" t="s">
        <v>724</v>
      </c>
      <c r="W139" s="1" t="s">
        <v>725</v>
      </c>
      <c r="X139" s="1" t="s">
        <v>727</v>
      </c>
      <c r="Y139" s="4"/>
      <c r="Z139" s="4"/>
      <c r="AA139" s="4" t="b">
        <f>IFERROR(__xludf.DUMMYFUNCTION("IF(X139="""",,REGEXMATCH(X139,""[א-ת]""))"),FALSE)</f>
        <v>0</v>
      </c>
      <c r="AB139" s="1">
        <v>14.96</v>
      </c>
      <c r="AC139" s="1">
        <v>68.75</v>
      </c>
      <c r="AD139" s="1">
        <v>0.571591343064818</v>
      </c>
      <c r="AE139" s="1">
        <v>0.0</v>
      </c>
      <c r="AF139" s="1">
        <v>0.0</v>
      </c>
      <c r="AG139" s="1">
        <v>6.337</v>
      </c>
      <c r="AH139" s="1">
        <v>6.781</v>
      </c>
      <c r="AI139" s="1" t="b">
        <v>0</v>
      </c>
      <c r="AJ139" s="1" t="b">
        <v>0</v>
      </c>
      <c r="AK139" s="1">
        <v>94.182</v>
      </c>
      <c r="AL139" s="1">
        <v>96.508</v>
      </c>
      <c r="AM139" s="1" t="b">
        <v>0</v>
      </c>
      <c r="AN139" s="1" t="b">
        <v>0</v>
      </c>
      <c r="AO139" s="1">
        <v>8.05</v>
      </c>
      <c r="AP139" s="1">
        <v>8.53399999999999</v>
      </c>
      <c r="AQ139" s="1" t="b">
        <v>0</v>
      </c>
      <c r="AR139" s="1" t="b">
        <v>0</v>
      </c>
      <c r="AS139" s="1">
        <v>86.9179999999999</v>
      </c>
      <c r="AT139" s="1">
        <v>87.152</v>
      </c>
      <c r="AU139" s="1" t="b">
        <v>1</v>
      </c>
      <c r="AV139" s="1" t="b">
        <v>0</v>
      </c>
      <c r="AW139" s="1">
        <v>9.61399999999999</v>
      </c>
      <c r="AX139" s="1">
        <v>11.026</v>
      </c>
      <c r="AY139" s="1" t="b">
        <v>0</v>
      </c>
      <c r="AZ139" s="1" t="b">
        <v>0</v>
      </c>
      <c r="BA139" s="1">
        <v>81.25</v>
      </c>
      <c r="BB139" s="1">
        <v>77.78</v>
      </c>
      <c r="BC139" s="1" t="b">
        <v>1</v>
      </c>
      <c r="BD139" s="1" t="b">
        <v>0</v>
      </c>
      <c r="BE139" s="1">
        <v>11.34</v>
      </c>
      <c r="BF139" s="1">
        <v>13.285</v>
      </c>
      <c r="BG139" s="1" t="b">
        <v>1</v>
      </c>
      <c r="BH139" s="1" t="b">
        <v>0</v>
      </c>
      <c r="BI139" s="1">
        <v>77.78</v>
      </c>
      <c r="BJ139" s="1">
        <v>75.0</v>
      </c>
      <c r="BK139" s="1" t="b">
        <v>1</v>
      </c>
      <c r="BL139" s="1" t="b">
        <v>0</v>
      </c>
      <c r="BM139" s="1">
        <v>13.121</v>
      </c>
      <c r="BN139" s="1">
        <v>14.568</v>
      </c>
      <c r="BO139" s="1" t="b">
        <v>1</v>
      </c>
      <c r="BP139" s="1" t="b">
        <v>0</v>
      </c>
      <c r="BQ139" s="1">
        <v>75.0</v>
      </c>
      <c r="BR139" s="1">
        <v>72.027</v>
      </c>
      <c r="BS139" s="1" t="b">
        <v>1</v>
      </c>
      <c r="BT139" s="1" t="b">
        <v>0</v>
      </c>
      <c r="BU139" s="1" t="s">
        <v>105</v>
      </c>
      <c r="BV139" s="1" t="s">
        <v>105</v>
      </c>
      <c r="BW139" s="1" t="s">
        <v>105</v>
      </c>
      <c r="BX139" s="1" t="s">
        <v>91</v>
      </c>
      <c r="BY139" s="1" t="s">
        <v>105</v>
      </c>
      <c r="BZ139" s="1" t="s">
        <v>91</v>
      </c>
      <c r="CA139" s="1" t="s">
        <v>91</v>
      </c>
      <c r="CB139" s="1" t="s">
        <v>91</v>
      </c>
      <c r="CC139" s="1" t="s">
        <v>91</v>
      </c>
      <c r="CD139" s="1" t="s">
        <v>91</v>
      </c>
      <c r="CE139" s="4"/>
      <c r="CF139" s="4"/>
    </row>
    <row r="140" hidden="1">
      <c r="A140" s="1" t="s">
        <v>82</v>
      </c>
      <c r="B140" s="1" t="s">
        <v>152</v>
      </c>
      <c r="C140" s="1">
        <v>7.0</v>
      </c>
      <c r="D140" s="5" t="s">
        <v>728</v>
      </c>
      <c r="E140" s="1" t="s">
        <v>729</v>
      </c>
      <c r="F140" s="1">
        <v>30.0</v>
      </c>
      <c r="G140" s="1">
        <v>0.0</v>
      </c>
      <c r="H140" s="1" t="s">
        <v>730</v>
      </c>
      <c r="I140" s="4" t="b">
        <f>IFERROR(__xludf.DUMMYFUNCTION("IF(H140="""",,REGEXMATCH(H140,""[א-ת]""))"),FALSE)</f>
        <v>0</v>
      </c>
      <c r="J140" s="4"/>
      <c r="K140" s="4"/>
      <c r="L140" s="1">
        <v>0.0</v>
      </c>
      <c r="M140" s="1">
        <v>9.93</v>
      </c>
      <c r="N140" s="1">
        <v>70.0</v>
      </c>
      <c r="O140" s="1">
        <v>2.333333333</v>
      </c>
      <c r="P140" s="4"/>
      <c r="Q140" s="4"/>
      <c r="R140" s="1" t="s">
        <v>89</v>
      </c>
      <c r="S140" s="1" t="s">
        <v>729</v>
      </c>
      <c r="T140" s="1" t="s">
        <v>152</v>
      </c>
      <c r="U140" s="1">
        <v>8.0</v>
      </c>
      <c r="V140" s="5" t="s">
        <v>728</v>
      </c>
      <c r="W140" s="1" t="s">
        <v>729</v>
      </c>
      <c r="X140" s="1" t="s">
        <v>731</v>
      </c>
      <c r="Y140" s="4"/>
      <c r="Z140" s="4"/>
      <c r="AA140" s="4" t="b">
        <f>IFERROR(__xludf.DUMMYFUNCTION("IF(X140="""",,REGEXMATCH(X140,""[א-ת]""))"),TRUE)</f>
        <v>1</v>
      </c>
      <c r="AB140" s="1">
        <v>22.14</v>
      </c>
      <c r="AC140" s="1">
        <v>83.33</v>
      </c>
      <c r="AD140" s="1">
        <v>0.630787798643947</v>
      </c>
      <c r="AE140" s="1">
        <v>0.0</v>
      </c>
      <c r="AF140" s="1">
        <v>0.0</v>
      </c>
      <c r="AG140" s="1">
        <v>6.337</v>
      </c>
      <c r="AH140" s="1">
        <v>6.781</v>
      </c>
      <c r="AI140" s="1" t="b">
        <v>0</v>
      </c>
      <c r="AJ140" s="1" t="b">
        <v>0</v>
      </c>
      <c r="AK140" s="1">
        <v>94.182</v>
      </c>
      <c r="AL140" s="1">
        <v>96.508</v>
      </c>
      <c r="AM140" s="1" t="b">
        <v>0</v>
      </c>
      <c r="AN140" s="1" t="b">
        <v>0</v>
      </c>
      <c r="AO140" s="1">
        <v>8.05</v>
      </c>
      <c r="AP140" s="1">
        <v>8.53399999999999</v>
      </c>
      <c r="AQ140" s="1" t="b">
        <v>0</v>
      </c>
      <c r="AR140" s="1" t="b">
        <v>0</v>
      </c>
      <c r="AS140" s="1">
        <v>86.9179999999999</v>
      </c>
      <c r="AT140" s="1">
        <v>87.152</v>
      </c>
      <c r="AU140" s="1" t="b">
        <v>0</v>
      </c>
      <c r="AV140" s="1" t="b">
        <v>0</v>
      </c>
      <c r="AW140" s="1">
        <v>9.61399999999999</v>
      </c>
      <c r="AX140" s="1">
        <v>11.026</v>
      </c>
      <c r="AY140" s="1" t="b">
        <v>0</v>
      </c>
      <c r="AZ140" s="1" t="b">
        <v>0</v>
      </c>
      <c r="BA140" s="1">
        <v>81.25</v>
      </c>
      <c r="BB140" s="1">
        <v>77.78</v>
      </c>
      <c r="BC140" s="1" t="b">
        <v>0</v>
      </c>
      <c r="BD140" s="1" t="b">
        <v>1</v>
      </c>
      <c r="BE140" s="1">
        <v>11.34</v>
      </c>
      <c r="BF140" s="1">
        <v>13.285</v>
      </c>
      <c r="BG140" s="1" t="b">
        <v>1</v>
      </c>
      <c r="BH140" s="1" t="b">
        <v>0</v>
      </c>
      <c r="BI140" s="1">
        <v>77.78</v>
      </c>
      <c r="BJ140" s="1">
        <v>75.0</v>
      </c>
      <c r="BK140" s="1" t="b">
        <v>0</v>
      </c>
      <c r="BL140" s="1" t="b">
        <v>1</v>
      </c>
      <c r="BM140" s="1">
        <v>13.121</v>
      </c>
      <c r="BN140" s="1">
        <v>14.568</v>
      </c>
      <c r="BO140" s="1" t="b">
        <v>1</v>
      </c>
      <c r="BP140" s="1" t="b">
        <v>0</v>
      </c>
      <c r="BQ140" s="1">
        <v>75.0</v>
      </c>
      <c r="BR140" s="1">
        <v>72.027</v>
      </c>
      <c r="BS140" s="1" t="b">
        <v>0</v>
      </c>
      <c r="BT140" s="1" t="b">
        <v>1</v>
      </c>
      <c r="BU140" s="1" t="s">
        <v>105</v>
      </c>
      <c r="BV140" s="1" t="s">
        <v>105</v>
      </c>
      <c r="BW140" s="1" t="s">
        <v>105</v>
      </c>
      <c r="BX140" s="1" t="s">
        <v>105</v>
      </c>
      <c r="BY140" s="1" t="s">
        <v>105</v>
      </c>
      <c r="BZ140" s="1" t="s">
        <v>157</v>
      </c>
      <c r="CA140" s="1" t="s">
        <v>91</v>
      </c>
      <c r="CB140" s="1" t="s">
        <v>157</v>
      </c>
      <c r="CC140" s="1" t="s">
        <v>91</v>
      </c>
      <c r="CD140" s="1" t="s">
        <v>157</v>
      </c>
      <c r="CE140" s="4"/>
      <c r="CF140" s="4"/>
    </row>
    <row r="141" hidden="1">
      <c r="A141" s="1" t="s">
        <v>82</v>
      </c>
      <c r="B141" s="1" t="s">
        <v>123</v>
      </c>
      <c r="C141" s="1">
        <v>20.0</v>
      </c>
      <c r="D141" s="5" t="s">
        <v>732</v>
      </c>
      <c r="E141" s="1" t="s">
        <v>733</v>
      </c>
      <c r="F141" s="1">
        <v>31.0</v>
      </c>
      <c r="G141" s="1">
        <v>-0.5719</v>
      </c>
      <c r="H141" s="1" t="s">
        <v>734</v>
      </c>
      <c r="I141" s="4" t="b">
        <f>IFERROR(__xludf.DUMMYFUNCTION("IF(H141="""",,REGEXMATCH(H141,""[א-ת]""))"),FALSE)</f>
        <v>0</v>
      </c>
      <c r="J141" s="4"/>
      <c r="K141" s="4"/>
      <c r="L141" s="1">
        <v>0.0</v>
      </c>
      <c r="M141" s="1">
        <v>10.13</v>
      </c>
      <c r="N141" s="1">
        <v>74.19</v>
      </c>
      <c r="O141" s="1">
        <v>2.393225806</v>
      </c>
      <c r="P141" s="4"/>
      <c r="Q141" s="4"/>
      <c r="R141" s="1" t="s">
        <v>127</v>
      </c>
      <c r="S141" s="1" t="s">
        <v>733</v>
      </c>
      <c r="T141" s="1" t="s">
        <v>123</v>
      </c>
      <c r="U141" s="1">
        <v>21.0</v>
      </c>
      <c r="V141" s="5" t="s">
        <v>732</v>
      </c>
      <c r="W141" s="1" t="s">
        <v>733</v>
      </c>
      <c r="X141" s="1" t="s">
        <v>735</v>
      </c>
      <c r="Y141" s="4"/>
      <c r="Z141" s="4"/>
      <c r="AA141" s="4" t="b">
        <f>IFERROR(__xludf.DUMMYFUNCTION("IF(X141="""",,REGEXMATCH(X141,""[א-ת]""))"),TRUE)</f>
        <v>1</v>
      </c>
      <c r="AB141" s="1">
        <v>21.26</v>
      </c>
      <c r="AC141" s="1">
        <v>61.29</v>
      </c>
      <c r="AD141" s="1">
        <v>0.559782593732345</v>
      </c>
      <c r="AE141" s="1">
        <v>-0.6114</v>
      </c>
      <c r="AF141" s="1">
        <v>-0.5719</v>
      </c>
      <c r="AG141" s="1">
        <v>6.337</v>
      </c>
      <c r="AH141" s="1">
        <v>6.781</v>
      </c>
      <c r="AI141" s="1" t="b">
        <v>0</v>
      </c>
      <c r="AJ141" s="1" t="b">
        <v>0</v>
      </c>
      <c r="AK141" s="1">
        <v>94.182</v>
      </c>
      <c r="AL141" s="1">
        <v>96.508</v>
      </c>
      <c r="AM141" s="1" t="b">
        <v>0</v>
      </c>
      <c r="AN141" s="1" t="b">
        <v>0</v>
      </c>
      <c r="AO141" s="1">
        <v>8.05</v>
      </c>
      <c r="AP141" s="1">
        <v>8.53399999999999</v>
      </c>
      <c r="AQ141" s="1" t="b">
        <v>0</v>
      </c>
      <c r="AR141" s="1" t="b">
        <v>0</v>
      </c>
      <c r="AS141" s="1">
        <v>86.9179999999999</v>
      </c>
      <c r="AT141" s="1">
        <v>87.152</v>
      </c>
      <c r="AU141" s="1" t="b">
        <v>0</v>
      </c>
      <c r="AV141" s="1" t="b">
        <v>0</v>
      </c>
      <c r="AW141" s="1">
        <v>9.61399999999999</v>
      </c>
      <c r="AX141" s="1">
        <v>11.026</v>
      </c>
      <c r="AY141" s="1" t="b">
        <v>0</v>
      </c>
      <c r="AZ141" s="1" t="b">
        <v>0</v>
      </c>
      <c r="BA141" s="1">
        <v>81.25</v>
      </c>
      <c r="BB141" s="1">
        <v>77.78</v>
      </c>
      <c r="BC141" s="1" t="b">
        <v>0</v>
      </c>
      <c r="BD141" s="1" t="b">
        <v>0</v>
      </c>
      <c r="BE141" s="1">
        <v>11.34</v>
      </c>
      <c r="BF141" s="1">
        <v>13.285</v>
      </c>
      <c r="BG141" s="1" t="b">
        <v>1</v>
      </c>
      <c r="BH141" s="1" t="b">
        <v>0</v>
      </c>
      <c r="BI141" s="1">
        <v>77.78</v>
      </c>
      <c r="BJ141" s="1">
        <v>75.0</v>
      </c>
      <c r="BK141" s="1" t="b">
        <v>0</v>
      </c>
      <c r="BL141" s="1" t="b">
        <v>0</v>
      </c>
      <c r="BM141" s="1">
        <v>13.121</v>
      </c>
      <c r="BN141" s="1">
        <v>14.568</v>
      </c>
      <c r="BO141" s="1" t="b">
        <v>1</v>
      </c>
      <c r="BP141" s="1" t="b">
        <v>0</v>
      </c>
      <c r="BQ141" s="1">
        <v>75.0</v>
      </c>
      <c r="BR141" s="1">
        <v>72.027</v>
      </c>
      <c r="BS141" s="1" t="b">
        <v>0</v>
      </c>
      <c r="BT141" s="1" t="b">
        <v>0</v>
      </c>
      <c r="BU141" s="1" t="s">
        <v>105</v>
      </c>
      <c r="BV141" s="1" t="s">
        <v>105</v>
      </c>
      <c r="BW141" s="1" t="s">
        <v>105</v>
      </c>
      <c r="BX141" s="1" t="s">
        <v>105</v>
      </c>
      <c r="BY141" s="1" t="s">
        <v>105</v>
      </c>
      <c r="BZ141" s="1" t="s">
        <v>105</v>
      </c>
      <c r="CA141" s="1" t="s">
        <v>91</v>
      </c>
      <c r="CB141" s="1" t="s">
        <v>105</v>
      </c>
      <c r="CC141" s="1" t="s">
        <v>91</v>
      </c>
      <c r="CD141" s="1" t="s">
        <v>105</v>
      </c>
      <c r="CE141" s="4"/>
      <c r="CF141" s="4"/>
    </row>
    <row r="142" hidden="1">
      <c r="A142" s="1" t="s">
        <v>82</v>
      </c>
      <c r="B142" s="1" t="s">
        <v>111</v>
      </c>
      <c r="C142" s="1">
        <v>14.0</v>
      </c>
      <c r="D142" s="5" t="s">
        <v>736</v>
      </c>
      <c r="E142" s="1" t="s">
        <v>737</v>
      </c>
      <c r="F142" s="1">
        <v>12.0</v>
      </c>
      <c r="G142" s="1">
        <v>-0.6124</v>
      </c>
      <c r="H142" s="1" t="s">
        <v>738</v>
      </c>
      <c r="I142" s="4" t="b">
        <f>IFERROR(__xludf.DUMMYFUNCTION("IF(H142="""",,REGEXMATCH(H142,""[א-ת]""))"),FALSE)</f>
        <v>0</v>
      </c>
      <c r="J142" s="4"/>
      <c r="K142" s="4"/>
      <c r="L142" s="1">
        <v>0.0</v>
      </c>
      <c r="M142" s="1">
        <v>10.38</v>
      </c>
      <c r="N142" s="1">
        <v>100.0</v>
      </c>
      <c r="O142" s="1">
        <v>8.333333333</v>
      </c>
      <c r="P142" s="4"/>
      <c r="Q142" s="4"/>
      <c r="R142" s="1" t="s">
        <v>89</v>
      </c>
      <c r="S142" s="1" t="s">
        <v>737</v>
      </c>
      <c r="T142" s="1" t="s">
        <v>111</v>
      </c>
      <c r="U142" s="1">
        <v>15.0</v>
      </c>
      <c r="V142" s="5" t="s">
        <v>736</v>
      </c>
      <c r="W142" s="1" t="s">
        <v>737</v>
      </c>
      <c r="X142" s="1" t="s">
        <v>739</v>
      </c>
      <c r="Y142" s="4"/>
      <c r="Z142" s="4"/>
      <c r="AA142" s="4" t="b">
        <f>IFERROR(__xludf.DUMMYFUNCTION("IF(X142="""",,REGEXMATCH(X142,""[א-ת]""))"),FALSE)</f>
        <v>0</v>
      </c>
      <c r="AB142" s="1">
        <v>11.45</v>
      </c>
      <c r="AC142" s="1">
        <v>91.67</v>
      </c>
      <c r="AD142" s="1">
        <v>0.44357979223008</v>
      </c>
      <c r="AE142" s="1">
        <v>0.0</v>
      </c>
      <c r="AF142" s="1">
        <v>-0.6124</v>
      </c>
      <c r="AG142" s="1">
        <v>6.337</v>
      </c>
      <c r="AH142" s="1">
        <v>6.781</v>
      </c>
      <c r="AI142" s="1" t="b">
        <v>0</v>
      </c>
      <c r="AJ142" s="1" t="b">
        <v>0</v>
      </c>
      <c r="AK142" s="1">
        <v>94.182</v>
      </c>
      <c r="AL142" s="1">
        <v>96.508</v>
      </c>
      <c r="AM142" s="1" t="b">
        <v>1</v>
      </c>
      <c r="AN142" s="1" t="b">
        <v>0</v>
      </c>
      <c r="AO142" s="1">
        <v>8.05</v>
      </c>
      <c r="AP142" s="1">
        <v>8.53399999999999</v>
      </c>
      <c r="AQ142" s="1" t="b">
        <v>0</v>
      </c>
      <c r="AR142" s="1" t="b">
        <v>0</v>
      </c>
      <c r="AS142" s="1">
        <v>86.9179999999999</v>
      </c>
      <c r="AT142" s="1">
        <v>87.152</v>
      </c>
      <c r="AU142" s="1" t="b">
        <v>1</v>
      </c>
      <c r="AV142" s="1" t="b">
        <v>1</v>
      </c>
      <c r="AW142" s="1">
        <v>9.61399999999999</v>
      </c>
      <c r="AX142" s="1">
        <v>11.026</v>
      </c>
      <c r="AY142" s="1" t="b">
        <v>0</v>
      </c>
      <c r="AZ142" s="1" t="b">
        <v>0</v>
      </c>
      <c r="BA142" s="1">
        <v>81.25</v>
      </c>
      <c r="BB142" s="1">
        <v>77.78</v>
      </c>
      <c r="BC142" s="1" t="b">
        <v>1</v>
      </c>
      <c r="BD142" s="1" t="b">
        <v>1</v>
      </c>
      <c r="BE142" s="1">
        <v>11.34</v>
      </c>
      <c r="BF142" s="1">
        <v>13.285</v>
      </c>
      <c r="BG142" s="1" t="b">
        <v>1</v>
      </c>
      <c r="BH142" s="1" t="b">
        <v>1</v>
      </c>
      <c r="BI142" s="1">
        <v>77.78</v>
      </c>
      <c r="BJ142" s="1">
        <v>75.0</v>
      </c>
      <c r="BK142" s="1" t="b">
        <v>1</v>
      </c>
      <c r="BL142" s="1" t="b">
        <v>1</v>
      </c>
      <c r="BM142" s="1">
        <v>13.121</v>
      </c>
      <c r="BN142" s="1">
        <v>14.568</v>
      </c>
      <c r="BO142" s="1" t="b">
        <v>1</v>
      </c>
      <c r="BP142" s="1" t="b">
        <v>1</v>
      </c>
      <c r="BQ142" s="1">
        <v>75.0</v>
      </c>
      <c r="BR142" s="1">
        <v>72.027</v>
      </c>
      <c r="BS142" s="1" t="b">
        <v>1</v>
      </c>
      <c r="BT142" s="1" t="b">
        <v>1</v>
      </c>
      <c r="BU142" s="1" t="s">
        <v>105</v>
      </c>
      <c r="BV142" s="1" t="s">
        <v>91</v>
      </c>
      <c r="BW142" s="1" t="s">
        <v>105</v>
      </c>
      <c r="BX142" s="1" t="s">
        <v>104</v>
      </c>
      <c r="BY142" s="1" t="s">
        <v>105</v>
      </c>
      <c r="BZ142" s="1" t="s">
        <v>104</v>
      </c>
      <c r="CA142" s="1" t="s">
        <v>104</v>
      </c>
      <c r="CB142" s="1" t="s">
        <v>104</v>
      </c>
      <c r="CC142" s="1" t="s">
        <v>104</v>
      </c>
      <c r="CD142" s="1" t="s">
        <v>104</v>
      </c>
      <c r="CE142" s="4"/>
      <c r="CF142" s="4"/>
    </row>
    <row r="143" hidden="1">
      <c r="A143" s="1" t="s">
        <v>82</v>
      </c>
      <c r="B143" s="1" t="s">
        <v>427</v>
      </c>
      <c r="C143" s="1">
        <v>15.0</v>
      </c>
      <c r="D143" s="5" t="s">
        <v>740</v>
      </c>
      <c r="E143" s="1" t="s">
        <v>741</v>
      </c>
      <c r="F143" s="1">
        <v>59.0</v>
      </c>
      <c r="G143" s="1">
        <v>-0.2023</v>
      </c>
      <c r="H143" s="1" t="s">
        <v>742</v>
      </c>
      <c r="I143" s="4" t="b">
        <f>IFERROR(__xludf.DUMMYFUNCTION("IF(H143="""",,REGEXMATCH(H143,""[א-ת]""))"),FALSE)</f>
        <v>0</v>
      </c>
      <c r="J143" s="4"/>
      <c r="K143" s="4"/>
      <c r="L143" s="1">
        <v>-0.6597</v>
      </c>
      <c r="M143" s="1">
        <v>10.39</v>
      </c>
      <c r="N143" s="1">
        <v>72.88</v>
      </c>
      <c r="O143" s="1">
        <v>1.235254237</v>
      </c>
      <c r="P143" s="4"/>
      <c r="Q143" s="4"/>
      <c r="R143" s="1" t="s">
        <v>96</v>
      </c>
      <c r="S143" s="1" t="s">
        <v>741</v>
      </c>
      <c r="T143" s="1" t="s">
        <v>427</v>
      </c>
      <c r="U143" s="1">
        <v>16.0</v>
      </c>
      <c r="V143" s="5" t="s">
        <v>740</v>
      </c>
      <c r="W143" s="1" t="s">
        <v>741</v>
      </c>
      <c r="X143" s="1" t="s">
        <v>743</v>
      </c>
      <c r="Y143" s="4"/>
      <c r="Z143" s="4"/>
      <c r="AA143" s="4" t="b">
        <f>IFERROR(__xludf.DUMMYFUNCTION("IF(X143="""",,REGEXMATCH(X143,""[א-ת]""))"),FALSE)</f>
        <v>0</v>
      </c>
      <c r="AB143" s="1">
        <v>15.15</v>
      </c>
      <c r="AC143" s="1">
        <v>57.63</v>
      </c>
      <c r="AD143" s="1">
        <v>0.54576836163612</v>
      </c>
      <c r="AE143" s="1">
        <v>-0.5423</v>
      </c>
      <c r="AF143" s="1">
        <v>-0.2023</v>
      </c>
      <c r="AG143" s="1">
        <v>6.337</v>
      </c>
      <c r="AH143" s="1">
        <v>6.781</v>
      </c>
      <c r="AI143" s="1" t="b">
        <v>0</v>
      </c>
      <c r="AJ143" s="1" t="b">
        <v>0</v>
      </c>
      <c r="AK143" s="1">
        <v>94.182</v>
      </c>
      <c r="AL143" s="1">
        <v>96.508</v>
      </c>
      <c r="AM143" s="1" t="b">
        <v>0</v>
      </c>
      <c r="AN143" s="1" t="b">
        <v>0</v>
      </c>
      <c r="AO143" s="1">
        <v>8.05</v>
      </c>
      <c r="AP143" s="1">
        <v>8.53399999999999</v>
      </c>
      <c r="AQ143" s="1" t="b">
        <v>0</v>
      </c>
      <c r="AR143" s="1" t="b">
        <v>0</v>
      </c>
      <c r="AS143" s="1">
        <v>86.9179999999999</v>
      </c>
      <c r="AT143" s="1">
        <v>87.152</v>
      </c>
      <c r="AU143" s="1" t="b">
        <v>0</v>
      </c>
      <c r="AV143" s="1" t="b">
        <v>0</v>
      </c>
      <c r="AW143" s="1">
        <v>9.61399999999999</v>
      </c>
      <c r="AX143" s="1">
        <v>11.026</v>
      </c>
      <c r="AY143" s="1" t="b">
        <v>0</v>
      </c>
      <c r="AZ143" s="1" t="b">
        <v>0</v>
      </c>
      <c r="BA143" s="1">
        <v>81.25</v>
      </c>
      <c r="BB143" s="1">
        <v>77.78</v>
      </c>
      <c r="BC143" s="1" t="b">
        <v>0</v>
      </c>
      <c r="BD143" s="1" t="b">
        <v>0</v>
      </c>
      <c r="BE143" s="1">
        <v>11.34</v>
      </c>
      <c r="BF143" s="1">
        <v>13.285</v>
      </c>
      <c r="BG143" s="1" t="b">
        <v>1</v>
      </c>
      <c r="BH143" s="1" t="b">
        <v>0</v>
      </c>
      <c r="BI143" s="1">
        <v>77.78</v>
      </c>
      <c r="BJ143" s="1">
        <v>75.0</v>
      </c>
      <c r="BK143" s="1" t="b">
        <v>0</v>
      </c>
      <c r="BL143" s="1" t="b">
        <v>0</v>
      </c>
      <c r="BM143" s="1">
        <v>13.121</v>
      </c>
      <c r="BN143" s="1">
        <v>14.568</v>
      </c>
      <c r="BO143" s="1" t="b">
        <v>1</v>
      </c>
      <c r="BP143" s="1" t="b">
        <v>0</v>
      </c>
      <c r="BQ143" s="1">
        <v>75.0</v>
      </c>
      <c r="BR143" s="1">
        <v>72.027</v>
      </c>
      <c r="BS143" s="1" t="b">
        <v>0</v>
      </c>
      <c r="BT143" s="1" t="b">
        <v>0</v>
      </c>
      <c r="BU143" s="1" t="s">
        <v>105</v>
      </c>
      <c r="BV143" s="1" t="s">
        <v>105</v>
      </c>
      <c r="BW143" s="1" t="s">
        <v>105</v>
      </c>
      <c r="BX143" s="1" t="s">
        <v>105</v>
      </c>
      <c r="BY143" s="1" t="s">
        <v>105</v>
      </c>
      <c r="BZ143" s="1" t="s">
        <v>105</v>
      </c>
      <c r="CA143" s="1" t="s">
        <v>91</v>
      </c>
      <c r="CB143" s="1" t="s">
        <v>105</v>
      </c>
      <c r="CC143" s="1" t="s">
        <v>91</v>
      </c>
      <c r="CD143" s="1" t="s">
        <v>105</v>
      </c>
      <c r="CE143" s="4"/>
      <c r="CF143" s="4"/>
    </row>
    <row r="144" hidden="1">
      <c r="A144" s="1" t="s">
        <v>82</v>
      </c>
      <c r="B144" s="1" t="s">
        <v>111</v>
      </c>
      <c r="C144" s="1">
        <v>45.0</v>
      </c>
      <c r="D144" s="5" t="s">
        <v>744</v>
      </c>
      <c r="E144" s="1" t="s">
        <v>745</v>
      </c>
      <c r="F144" s="1">
        <v>36.0</v>
      </c>
      <c r="G144" s="1">
        <v>0.0</v>
      </c>
      <c r="H144" s="1" t="s">
        <v>746</v>
      </c>
      <c r="I144" s="4" t="b">
        <f>IFERROR(__xludf.DUMMYFUNCTION("IF(H144="""",,REGEXMATCH(H144,""[א-ת]""))"),FALSE)</f>
        <v>0</v>
      </c>
      <c r="J144" s="4"/>
      <c r="K144" s="4"/>
      <c r="L144" s="1">
        <v>-0.25</v>
      </c>
      <c r="M144" s="1">
        <v>10.39</v>
      </c>
      <c r="N144" s="1">
        <v>86.11</v>
      </c>
      <c r="O144" s="1">
        <v>2.391944444</v>
      </c>
      <c r="P144" s="4"/>
      <c r="Q144" s="4"/>
      <c r="R144" s="1" t="s">
        <v>89</v>
      </c>
      <c r="S144" s="1" t="s">
        <v>745</v>
      </c>
      <c r="T144" s="1" t="s">
        <v>111</v>
      </c>
      <c r="U144" s="1">
        <v>46.0</v>
      </c>
      <c r="V144" s="5" t="s">
        <v>744</v>
      </c>
      <c r="W144" s="1" t="s">
        <v>745</v>
      </c>
      <c r="X144" s="1" t="s">
        <v>747</v>
      </c>
      <c r="Y144" s="4"/>
      <c r="Z144" s="4"/>
      <c r="AA144" s="4" t="b">
        <f>IFERROR(__xludf.DUMMYFUNCTION("IF(X144="""",,REGEXMATCH(X144,""[א-ת]""))"),TRUE)</f>
        <v>1</v>
      </c>
      <c r="AB144" s="1">
        <v>9.51</v>
      </c>
      <c r="AC144" s="1">
        <v>77.78</v>
      </c>
      <c r="AD144" s="1">
        <v>0.522370360878866</v>
      </c>
      <c r="AE144" s="1">
        <v>-0.25</v>
      </c>
      <c r="AF144" s="1">
        <v>0.0</v>
      </c>
      <c r="AG144" s="1">
        <v>6.337</v>
      </c>
      <c r="AH144" s="1">
        <v>6.781</v>
      </c>
      <c r="AI144" s="1" t="b">
        <v>0</v>
      </c>
      <c r="AJ144" s="1" t="b">
        <v>0</v>
      </c>
      <c r="AK144" s="1">
        <v>94.182</v>
      </c>
      <c r="AL144" s="1">
        <v>96.508</v>
      </c>
      <c r="AM144" s="1" t="b">
        <v>0</v>
      </c>
      <c r="AN144" s="1" t="b">
        <v>0</v>
      </c>
      <c r="AO144" s="1">
        <v>8.05</v>
      </c>
      <c r="AP144" s="1">
        <v>8.53399999999999</v>
      </c>
      <c r="AQ144" s="1" t="b">
        <v>0</v>
      </c>
      <c r="AR144" s="1" t="b">
        <v>0</v>
      </c>
      <c r="AS144" s="1">
        <v>86.9179999999999</v>
      </c>
      <c r="AT144" s="1">
        <v>87.152</v>
      </c>
      <c r="AU144" s="1" t="b">
        <v>0</v>
      </c>
      <c r="AV144" s="1" t="b">
        <v>0</v>
      </c>
      <c r="AW144" s="1">
        <v>9.61399999999999</v>
      </c>
      <c r="AX144" s="1">
        <v>11.026</v>
      </c>
      <c r="AY144" s="1" t="b">
        <v>0</v>
      </c>
      <c r="AZ144" s="1" t="b">
        <v>1</v>
      </c>
      <c r="BA144" s="1">
        <v>81.25</v>
      </c>
      <c r="BB144" s="1">
        <v>77.78</v>
      </c>
      <c r="BC144" s="1" t="b">
        <v>1</v>
      </c>
      <c r="BD144" s="1" t="b">
        <v>1</v>
      </c>
      <c r="BE144" s="1">
        <v>11.34</v>
      </c>
      <c r="BF144" s="1">
        <v>13.285</v>
      </c>
      <c r="BG144" s="1" t="b">
        <v>1</v>
      </c>
      <c r="BH144" s="1" t="b">
        <v>1</v>
      </c>
      <c r="BI144" s="1">
        <v>77.78</v>
      </c>
      <c r="BJ144" s="1">
        <v>75.0</v>
      </c>
      <c r="BK144" s="1" t="b">
        <v>1</v>
      </c>
      <c r="BL144" s="1" t="b">
        <v>1</v>
      </c>
      <c r="BM144" s="1">
        <v>13.121</v>
      </c>
      <c r="BN144" s="1">
        <v>14.568</v>
      </c>
      <c r="BO144" s="1" t="b">
        <v>1</v>
      </c>
      <c r="BP144" s="1" t="b">
        <v>1</v>
      </c>
      <c r="BQ144" s="1">
        <v>75.0</v>
      </c>
      <c r="BR144" s="1">
        <v>72.027</v>
      </c>
      <c r="BS144" s="1" t="b">
        <v>1</v>
      </c>
      <c r="BT144" s="1" t="b">
        <v>1</v>
      </c>
      <c r="BU144" s="1" t="s">
        <v>105</v>
      </c>
      <c r="BV144" s="1" t="s">
        <v>105</v>
      </c>
      <c r="BW144" s="1" t="s">
        <v>105</v>
      </c>
      <c r="BX144" s="1" t="s">
        <v>105</v>
      </c>
      <c r="BY144" s="1" t="s">
        <v>157</v>
      </c>
      <c r="BZ144" s="1" t="s">
        <v>104</v>
      </c>
      <c r="CA144" s="1" t="s">
        <v>104</v>
      </c>
      <c r="CB144" s="1" t="s">
        <v>104</v>
      </c>
      <c r="CC144" s="1" t="s">
        <v>104</v>
      </c>
      <c r="CD144" s="1" t="s">
        <v>104</v>
      </c>
      <c r="CE144" s="4"/>
      <c r="CF144" s="4"/>
    </row>
    <row r="145" hidden="1">
      <c r="A145" s="1" t="s">
        <v>82</v>
      </c>
      <c r="B145" s="1" t="s">
        <v>123</v>
      </c>
      <c r="C145" s="1">
        <v>23.0</v>
      </c>
      <c r="D145" s="5" t="s">
        <v>748</v>
      </c>
      <c r="E145" s="1" t="s">
        <v>749</v>
      </c>
      <c r="F145" s="1">
        <v>14.0</v>
      </c>
      <c r="G145" s="1">
        <v>-0.4767</v>
      </c>
      <c r="H145" s="1" t="s">
        <v>750</v>
      </c>
      <c r="I145" s="4" t="b">
        <f>IFERROR(__xludf.DUMMYFUNCTION("IF(H145="""",,REGEXMATCH(H145,""[א-ת]""))"),FALSE)</f>
        <v>0</v>
      </c>
      <c r="J145" s="4"/>
      <c r="K145" s="4"/>
      <c r="L145" s="1">
        <v>0.0</v>
      </c>
      <c r="M145" s="1">
        <v>10.4</v>
      </c>
      <c r="N145" s="1">
        <v>78.57</v>
      </c>
      <c r="O145" s="1">
        <v>5.612142857</v>
      </c>
      <c r="P145" s="4"/>
      <c r="Q145" s="4"/>
      <c r="R145" s="1" t="s">
        <v>127</v>
      </c>
      <c r="S145" s="1" t="s">
        <v>749</v>
      </c>
      <c r="T145" s="1" t="s">
        <v>123</v>
      </c>
      <c r="U145" s="1">
        <v>24.0</v>
      </c>
      <c r="V145" s="5" t="s">
        <v>748</v>
      </c>
      <c r="W145" s="1" t="s">
        <v>749</v>
      </c>
      <c r="X145" s="1" t="s">
        <v>751</v>
      </c>
      <c r="Y145" s="4"/>
      <c r="Z145" s="4"/>
      <c r="AA145" s="4" t="b">
        <f>IFERROR(__xludf.DUMMYFUNCTION("IF(X145="""",,REGEXMATCH(X145,""[א-ת]""))"),FALSE)</f>
        <v>0</v>
      </c>
      <c r="AB145" s="1">
        <v>19.05</v>
      </c>
      <c r="AC145" s="1">
        <v>64.29</v>
      </c>
      <c r="AD145" s="1">
        <v>0.358194967563051</v>
      </c>
      <c r="AE145" s="1">
        <v>0.0</v>
      </c>
      <c r="AF145" s="1">
        <v>-0.4767</v>
      </c>
      <c r="AG145" s="1">
        <v>6.337</v>
      </c>
      <c r="AH145" s="1">
        <v>6.781</v>
      </c>
      <c r="AI145" s="1" t="b">
        <v>0</v>
      </c>
      <c r="AJ145" s="1" t="b">
        <v>0</v>
      </c>
      <c r="AK145" s="1">
        <v>94.182</v>
      </c>
      <c r="AL145" s="1">
        <v>96.508</v>
      </c>
      <c r="AM145" s="1" t="b">
        <v>0</v>
      </c>
      <c r="AN145" s="1" t="b">
        <v>0</v>
      </c>
      <c r="AO145" s="1">
        <v>8.05</v>
      </c>
      <c r="AP145" s="1">
        <v>8.53399999999999</v>
      </c>
      <c r="AQ145" s="1" t="b">
        <v>0</v>
      </c>
      <c r="AR145" s="1" t="b">
        <v>0</v>
      </c>
      <c r="AS145" s="1">
        <v>86.9179999999999</v>
      </c>
      <c r="AT145" s="1">
        <v>87.152</v>
      </c>
      <c r="AU145" s="1" t="b">
        <v>0</v>
      </c>
      <c r="AV145" s="1" t="b">
        <v>0</v>
      </c>
      <c r="AW145" s="1">
        <v>9.61399999999999</v>
      </c>
      <c r="AX145" s="1">
        <v>11.026</v>
      </c>
      <c r="AY145" s="1" t="b">
        <v>0</v>
      </c>
      <c r="AZ145" s="1" t="b">
        <v>0</v>
      </c>
      <c r="BA145" s="1">
        <v>81.25</v>
      </c>
      <c r="BB145" s="1">
        <v>77.78</v>
      </c>
      <c r="BC145" s="1" t="b">
        <v>0</v>
      </c>
      <c r="BD145" s="1" t="b">
        <v>0</v>
      </c>
      <c r="BE145" s="1">
        <v>11.34</v>
      </c>
      <c r="BF145" s="1">
        <v>13.285</v>
      </c>
      <c r="BG145" s="1" t="b">
        <v>1</v>
      </c>
      <c r="BH145" s="1" t="b">
        <v>0</v>
      </c>
      <c r="BI145" s="1">
        <v>77.78</v>
      </c>
      <c r="BJ145" s="1">
        <v>75.0</v>
      </c>
      <c r="BK145" s="1" t="b">
        <v>1</v>
      </c>
      <c r="BL145" s="1" t="b">
        <v>0</v>
      </c>
      <c r="BM145" s="1">
        <v>13.121</v>
      </c>
      <c r="BN145" s="1">
        <v>14.568</v>
      </c>
      <c r="BO145" s="1" t="b">
        <v>1</v>
      </c>
      <c r="BP145" s="1" t="b">
        <v>0</v>
      </c>
      <c r="BQ145" s="1">
        <v>75.0</v>
      </c>
      <c r="BR145" s="1">
        <v>72.027</v>
      </c>
      <c r="BS145" s="1" t="b">
        <v>1</v>
      </c>
      <c r="BT145" s="1" t="b">
        <v>0</v>
      </c>
      <c r="BU145" s="1" t="s">
        <v>105</v>
      </c>
      <c r="BV145" s="1" t="s">
        <v>105</v>
      </c>
      <c r="BW145" s="1" t="s">
        <v>105</v>
      </c>
      <c r="BX145" s="1" t="s">
        <v>105</v>
      </c>
      <c r="BY145" s="1" t="s">
        <v>105</v>
      </c>
      <c r="BZ145" s="1" t="s">
        <v>105</v>
      </c>
      <c r="CA145" s="1" t="s">
        <v>91</v>
      </c>
      <c r="CB145" s="1" t="s">
        <v>91</v>
      </c>
      <c r="CC145" s="1" t="s">
        <v>91</v>
      </c>
      <c r="CD145" s="1" t="s">
        <v>91</v>
      </c>
      <c r="CE145" s="4"/>
      <c r="CF145" s="4"/>
    </row>
    <row r="146" hidden="1">
      <c r="A146" s="1" t="s">
        <v>82</v>
      </c>
      <c r="B146" s="1" t="s">
        <v>123</v>
      </c>
      <c r="C146" s="1">
        <v>2.0</v>
      </c>
      <c r="D146" s="5" t="s">
        <v>752</v>
      </c>
      <c r="E146" s="1" t="s">
        <v>753</v>
      </c>
      <c r="F146" s="1">
        <v>40.0</v>
      </c>
      <c r="G146" s="1">
        <v>-0.4215</v>
      </c>
      <c r="H146" s="1" t="s">
        <v>754</v>
      </c>
      <c r="I146" s="4" t="b">
        <f>IFERROR(__xludf.DUMMYFUNCTION("IF(H146="""",,REGEXMATCH(H146,""[א-ת]""))"),FALSE)</f>
        <v>0</v>
      </c>
      <c r="J146" s="4"/>
      <c r="K146" s="4"/>
      <c r="L146" s="1">
        <v>-0.6808</v>
      </c>
      <c r="M146" s="1">
        <v>10.42</v>
      </c>
      <c r="N146" s="1">
        <v>82.5</v>
      </c>
      <c r="O146" s="1">
        <v>2.0625</v>
      </c>
      <c r="P146" s="4"/>
      <c r="Q146" s="4"/>
      <c r="R146" s="1" t="s">
        <v>127</v>
      </c>
      <c r="S146" s="1" t="s">
        <v>753</v>
      </c>
      <c r="T146" s="1" t="s">
        <v>123</v>
      </c>
      <c r="U146" s="1">
        <v>3.0</v>
      </c>
      <c r="V146" s="5" t="s">
        <v>752</v>
      </c>
      <c r="W146" s="1" t="s">
        <v>753</v>
      </c>
      <c r="X146" s="1" t="s">
        <v>755</v>
      </c>
      <c r="Y146" s="4"/>
      <c r="Z146" s="4"/>
      <c r="AA146" s="4" t="b">
        <f>IFERROR(__xludf.DUMMYFUNCTION("IF(X146="""",,REGEXMATCH(X146,""[א-ת]""))"),FALSE)</f>
        <v>0</v>
      </c>
      <c r="AB146" s="1">
        <v>11.84</v>
      </c>
      <c r="AC146" s="1">
        <v>70.0</v>
      </c>
      <c r="AD146" s="1">
        <v>0.367546670926074</v>
      </c>
      <c r="AE146" s="1">
        <v>-0.8481</v>
      </c>
      <c r="AF146" s="1">
        <v>-0.4215</v>
      </c>
      <c r="AG146" s="1">
        <v>6.337</v>
      </c>
      <c r="AH146" s="1">
        <v>6.781</v>
      </c>
      <c r="AI146" s="1" t="b">
        <v>0</v>
      </c>
      <c r="AJ146" s="1" t="b">
        <v>0</v>
      </c>
      <c r="AK146" s="1">
        <v>94.182</v>
      </c>
      <c r="AL146" s="1">
        <v>96.508</v>
      </c>
      <c r="AM146" s="1" t="b">
        <v>0</v>
      </c>
      <c r="AN146" s="1" t="b">
        <v>0</v>
      </c>
      <c r="AO146" s="1">
        <v>8.05</v>
      </c>
      <c r="AP146" s="1">
        <v>8.53399999999999</v>
      </c>
      <c r="AQ146" s="1" t="b">
        <v>0</v>
      </c>
      <c r="AR146" s="1" t="b">
        <v>0</v>
      </c>
      <c r="AS146" s="1">
        <v>86.9179999999999</v>
      </c>
      <c r="AT146" s="1">
        <v>87.152</v>
      </c>
      <c r="AU146" s="1" t="b">
        <v>0</v>
      </c>
      <c r="AV146" s="1" t="b">
        <v>0</v>
      </c>
      <c r="AW146" s="1">
        <v>9.61399999999999</v>
      </c>
      <c r="AX146" s="1">
        <v>11.026</v>
      </c>
      <c r="AY146" s="1" t="b">
        <v>0</v>
      </c>
      <c r="AZ146" s="1" t="b">
        <v>0</v>
      </c>
      <c r="BA146" s="1">
        <v>81.25</v>
      </c>
      <c r="BB146" s="1">
        <v>77.78</v>
      </c>
      <c r="BC146" s="1" t="b">
        <v>1</v>
      </c>
      <c r="BD146" s="1" t="b">
        <v>0</v>
      </c>
      <c r="BE146" s="1">
        <v>11.34</v>
      </c>
      <c r="BF146" s="1">
        <v>13.285</v>
      </c>
      <c r="BG146" s="1" t="b">
        <v>1</v>
      </c>
      <c r="BH146" s="1" t="b">
        <v>1</v>
      </c>
      <c r="BI146" s="1">
        <v>77.78</v>
      </c>
      <c r="BJ146" s="1">
        <v>75.0</v>
      </c>
      <c r="BK146" s="1" t="b">
        <v>1</v>
      </c>
      <c r="BL146" s="1" t="b">
        <v>0</v>
      </c>
      <c r="BM146" s="1">
        <v>13.121</v>
      </c>
      <c r="BN146" s="1">
        <v>14.568</v>
      </c>
      <c r="BO146" s="1" t="b">
        <v>1</v>
      </c>
      <c r="BP146" s="1" t="b">
        <v>1</v>
      </c>
      <c r="BQ146" s="1">
        <v>75.0</v>
      </c>
      <c r="BR146" s="1">
        <v>72.027</v>
      </c>
      <c r="BS146" s="1" t="b">
        <v>1</v>
      </c>
      <c r="BT146" s="1" t="b">
        <v>0</v>
      </c>
      <c r="BU146" s="1" t="s">
        <v>105</v>
      </c>
      <c r="BV146" s="1" t="s">
        <v>105</v>
      </c>
      <c r="BW146" s="1" t="s">
        <v>105</v>
      </c>
      <c r="BX146" s="1" t="s">
        <v>105</v>
      </c>
      <c r="BY146" s="1" t="s">
        <v>105</v>
      </c>
      <c r="BZ146" s="1" t="s">
        <v>91</v>
      </c>
      <c r="CA146" s="1" t="s">
        <v>104</v>
      </c>
      <c r="CB146" s="1" t="s">
        <v>91</v>
      </c>
      <c r="CC146" s="1" t="s">
        <v>104</v>
      </c>
      <c r="CD146" s="1" t="s">
        <v>91</v>
      </c>
      <c r="CE146" s="4"/>
      <c r="CF146" s="4"/>
    </row>
    <row r="147" hidden="1">
      <c r="A147" s="1" t="s">
        <v>82</v>
      </c>
      <c r="B147" s="1" t="s">
        <v>111</v>
      </c>
      <c r="C147" s="1">
        <v>20.0</v>
      </c>
      <c r="D147" s="5" t="s">
        <v>756</v>
      </c>
      <c r="E147" s="1" t="s">
        <v>757</v>
      </c>
      <c r="F147" s="1">
        <v>31.0</v>
      </c>
      <c r="G147" s="1">
        <v>-0.3818</v>
      </c>
      <c r="H147" s="1" t="s">
        <v>758</v>
      </c>
      <c r="I147" s="4" t="b">
        <f>IFERROR(__xludf.DUMMYFUNCTION("IF(H147="""",,REGEXMATCH(H147,""[א-ת]""))"),FALSE)</f>
        <v>0</v>
      </c>
      <c r="J147" s="4"/>
      <c r="K147" s="4"/>
      <c r="L147" s="1">
        <v>-0.3818</v>
      </c>
      <c r="M147" s="1">
        <v>10.52</v>
      </c>
      <c r="N147" s="1">
        <v>70.97</v>
      </c>
      <c r="O147" s="1">
        <v>2.289354839</v>
      </c>
      <c r="P147" s="4"/>
      <c r="Q147" s="4"/>
      <c r="R147" s="1" t="s">
        <v>89</v>
      </c>
      <c r="S147" s="1" t="s">
        <v>757</v>
      </c>
      <c r="T147" s="1" t="s">
        <v>111</v>
      </c>
      <c r="U147" s="1">
        <v>21.0</v>
      </c>
      <c r="V147" s="5" t="s">
        <v>756</v>
      </c>
      <c r="W147" s="1" t="s">
        <v>757</v>
      </c>
      <c r="X147" s="1" t="s">
        <v>759</v>
      </c>
      <c r="Y147" s="4"/>
      <c r="Z147" s="4"/>
      <c r="AA147" s="4" t="b">
        <f>IFERROR(__xludf.DUMMYFUNCTION("IF(X147="""",,REGEXMATCH(X147,""[א-ת]""))"),FALSE)</f>
        <v>0</v>
      </c>
      <c r="AB147" s="1">
        <v>12.64</v>
      </c>
      <c r="AC147" s="1">
        <v>54.84</v>
      </c>
      <c r="AD147" s="1">
        <v>0.633680032282126</v>
      </c>
      <c r="AE147" s="1">
        <v>-0.4019</v>
      </c>
      <c r="AF147" s="1">
        <v>-0.3818</v>
      </c>
      <c r="AG147" s="1">
        <v>6.337</v>
      </c>
      <c r="AH147" s="1">
        <v>6.781</v>
      </c>
      <c r="AI147" s="1" t="b">
        <v>0</v>
      </c>
      <c r="AJ147" s="1" t="b">
        <v>0</v>
      </c>
      <c r="AK147" s="1">
        <v>94.182</v>
      </c>
      <c r="AL147" s="1">
        <v>96.508</v>
      </c>
      <c r="AM147" s="1" t="b">
        <v>0</v>
      </c>
      <c r="AN147" s="1" t="b">
        <v>0</v>
      </c>
      <c r="AO147" s="1">
        <v>8.05</v>
      </c>
      <c r="AP147" s="1">
        <v>8.53399999999999</v>
      </c>
      <c r="AQ147" s="1" t="b">
        <v>0</v>
      </c>
      <c r="AR147" s="1" t="b">
        <v>0</v>
      </c>
      <c r="AS147" s="1">
        <v>86.9179999999999</v>
      </c>
      <c r="AT147" s="1">
        <v>87.152</v>
      </c>
      <c r="AU147" s="1" t="b">
        <v>0</v>
      </c>
      <c r="AV147" s="1" t="b">
        <v>0</v>
      </c>
      <c r="AW147" s="1">
        <v>9.61399999999999</v>
      </c>
      <c r="AX147" s="1">
        <v>11.026</v>
      </c>
      <c r="AY147" s="1" t="b">
        <v>0</v>
      </c>
      <c r="AZ147" s="1" t="b">
        <v>0</v>
      </c>
      <c r="BA147" s="1">
        <v>81.25</v>
      </c>
      <c r="BB147" s="1">
        <v>77.78</v>
      </c>
      <c r="BC147" s="1" t="b">
        <v>0</v>
      </c>
      <c r="BD147" s="1" t="b">
        <v>0</v>
      </c>
      <c r="BE147" s="1">
        <v>11.34</v>
      </c>
      <c r="BF147" s="1">
        <v>13.285</v>
      </c>
      <c r="BG147" s="1" t="b">
        <v>1</v>
      </c>
      <c r="BH147" s="1" t="b">
        <v>1</v>
      </c>
      <c r="BI147" s="1">
        <v>77.78</v>
      </c>
      <c r="BJ147" s="1">
        <v>75.0</v>
      </c>
      <c r="BK147" s="1" t="b">
        <v>0</v>
      </c>
      <c r="BL147" s="1" t="b">
        <v>0</v>
      </c>
      <c r="BM147" s="1">
        <v>13.121</v>
      </c>
      <c r="BN147" s="1">
        <v>14.568</v>
      </c>
      <c r="BO147" s="1" t="b">
        <v>1</v>
      </c>
      <c r="BP147" s="1" t="b">
        <v>1</v>
      </c>
      <c r="BQ147" s="1">
        <v>75.0</v>
      </c>
      <c r="BR147" s="1">
        <v>72.027</v>
      </c>
      <c r="BS147" s="1" t="b">
        <v>0</v>
      </c>
      <c r="BT147" s="1" t="b">
        <v>0</v>
      </c>
      <c r="BU147" s="1" t="s">
        <v>105</v>
      </c>
      <c r="BV147" s="1" t="s">
        <v>105</v>
      </c>
      <c r="BW147" s="1" t="s">
        <v>105</v>
      </c>
      <c r="BX147" s="1" t="s">
        <v>105</v>
      </c>
      <c r="BY147" s="1" t="s">
        <v>105</v>
      </c>
      <c r="BZ147" s="1" t="s">
        <v>105</v>
      </c>
      <c r="CA147" s="1" t="s">
        <v>104</v>
      </c>
      <c r="CB147" s="1" t="s">
        <v>105</v>
      </c>
      <c r="CC147" s="1" t="s">
        <v>104</v>
      </c>
      <c r="CD147" s="1" t="s">
        <v>105</v>
      </c>
      <c r="CE147" s="4"/>
      <c r="CF147" s="4"/>
    </row>
    <row r="148" hidden="1">
      <c r="A148" s="1" t="s">
        <v>82</v>
      </c>
      <c r="B148" s="1" t="s">
        <v>251</v>
      </c>
      <c r="C148" s="1">
        <v>35.0</v>
      </c>
      <c r="D148" s="5" t="s">
        <v>760</v>
      </c>
      <c r="E148" s="1" t="s">
        <v>761</v>
      </c>
      <c r="F148" s="1">
        <v>48.0</v>
      </c>
      <c r="G148" s="1">
        <v>0.0</v>
      </c>
      <c r="H148" s="1" t="s">
        <v>762</v>
      </c>
      <c r="I148" s="4" t="b">
        <f>IFERROR(__xludf.DUMMYFUNCTION("IF(H148="""",,REGEXMATCH(H148,""[א-ת]""))"),FALSE)</f>
        <v>0</v>
      </c>
      <c r="J148" s="4"/>
      <c r="K148" s="4"/>
      <c r="L148" s="1">
        <v>0.0</v>
      </c>
      <c r="M148" s="1">
        <v>10.54</v>
      </c>
      <c r="N148" s="1">
        <v>108.33</v>
      </c>
      <c r="O148" s="1">
        <v>2.256875</v>
      </c>
      <c r="P148" s="4"/>
      <c r="Q148" s="4"/>
      <c r="R148" s="1" t="s">
        <v>89</v>
      </c>
      <c r="S148" s="1" t="s">
        <v>761</v>
      </c>
      <c r="T148" s="1" t="s">
        <v>251</v>
      </c>
      <c r="U148" s="1">
        <v>36.0</v>
      </c>
      <c r="V148" s="5" t="s">
        <v>760</v>
      </c>
      <c r="W148" s="1" t="s">
        <v>761</v>
      </c>
      <c r="X148" s="1" t="s">
        <v>763</v>
      </c>
      <c r="Y148" s="4"/>
      <c r="Z148" s="4"/>
      <c r="AA148" s="4" t="b">
        <f>IFERROR(__xludf.DUMMYFUNCTION("IF(X148="""",,REGEXMATCH(X148,""[א-ת]""))"),TRUE)</f>
        <v>1</v>
      </c>
      <c r="AB148" s="1">
        <v>20.16</v>
      </c>
      <c r="AC148" s="1">
        <v>77.08</v>
      </c>
      <c r="AD148" s="1">
        <v>0.454984490070083</v>
      </c>
      <c r="AE148" s="1">
        <v>0.4199</v>
      </c>
      <c r="AF148" s="1">
        <v>0.0</v>
      </c>
      <c r="AG148" s="1">
        <v>6.337</v>
      </c>
      <c r="AH148" s="1">
        <v>6.781</v>
      </c>
      <c r="AI148" s="1" t="b">
        <v>0</v>
      </c>
      <c r="AJ148" s="1" t="b">
        <v>0</v>
      </c>
      <c r="AK148" s="1">
        <v>94.182</v>
      </c>
      <c r="AL148" s="1">
        <v>96.508</v>
      </c>
      <c r="AM148" s="1" t="b">
        <v>1</v>
      </c>
      <c r="AN148" s="1" t="b">
        <v>0</v>
      </c>
      <c r="AO148" s="1">
        <v>8.05</v>
      </c>
      <c r="AP148" s="1">
        <v>8.53399999999999</v>
      </c>
      <c r="AQ148" s="1" t="b">
        <v>0</v>
      </c>
      <c r="AR148" s="1" t="b">
        <v>0</v>
      </c>
      <c r="AS148" s="1">
        <v>86.9179999999999</v>
      </c>
      <c r="AT148" s="1">
        <v>87.152</v>
      </c>
      <c r="AU148" s="1" t="b">
        <v>1</v>
      </c>
      <c r="AV148" s="1" t="b">
        <v>0</v>
      </c>
      <c r="AW148" s="1">
        <v>9.61399999999999</v>
      </c>
      <c r="AX148" s="1">
        <v>11.026</v>
      </c>
      <c r="AY148" s="1" t="b">
        <v>0</v>
      </c>
      <c r="AZ148" s="1" t="b">
        <v>0</v>
      </c>
      <c r="BA148" s="1">
        <v>81.25</v>
      </c>
      <c r="BB148" s="1">
        <v>77.78</v>
      </c>
      <c r="BC148" s="1" t="b">
        <v>1</v>
      </c>
      <c r="BD148" s="1" t="b">
        <v>0</v>
      </c>
      <c r="BE148" s="1">
        <v>11.34</v>
      </c>
      <c r="BF148" s="1">
        <v>13.285</v>
      </c>
      <c r="BG148" s="1" t="b">
        <v>1</v>
      </c>
      <c r="BH148" s="1" t="b">
        <v>0</v>
      </c>
      <c r="BI148" s="1">
        <v>77.78</v>
      </c>
      <c r="BJ148" s="1">
        <v>75.0</v>
      </c>
      <c r="BK148" s="1" t="b">
        <v>1</v>
      </c>
      <c r="BL148" s="1" t="b">
        <v>1</v>
      </c>
      <c r="BM148" s="1">
        <v>13.121</v>
      </c>
      <c r="BN148" s="1">
        <v>14.568</v>
      </c>
      <c r="BO148" s="1" t="b">
        <v>1</v>
      </c>
      <c r="BP148" s="1" t="b">
        <v>0</v>
      </c>
      <c r="BQ148" s="1">
        <v>75.0</v>
      </c>
      <c r="BR148" s="1">
        <v>72.027</v>
      </c>
      <c r="BS148" s="1" t="b">
        <v>1</v>
      </c>
      <c r="BT148" s="1" t="b">
        <v>1</v>
      </c>
      <c r="BU148" s="1" t="s">
        <v>105</v>
      </c>
      <c r="BV148" s="1" t="s">
        <v>91</v>
      </c>
      <c r="BW148" s="1" t="s">
        <v>105</v>
      </c>
      <c r="BX148" s="1" t="s">
        <v>91</v>
      </c>
      <c r="BY148" s="1" t="s">
        <v>105</v>
      </c>
      <c r="BZ148" s="1" t="s">
        <v>91</v>
      </c>
      <c r="CA148" s="1" t="s">
        <v>91</v>
      </c>
      <c r="CB148" s="1" t="s">
        <v>104</v>
      </c>
      <c r="CC148" s="1" t="s">
        <v>91</v>
      </c>
      <c r="CD148" s="1" t="s">
        <v>104</v>
      </c>
      <c r="CE148" s="4"/>
      <c r="CF148" s="4"/>
    </row>
    <row r="149" hidden="1">
      <c r="A149" s="1" t="s">
        <v>82</v>
      </c>
      <c r="B149" s="1" t="s">
        <v>111</v>
      </c>
      <c r="C149" s="1">
        <v>9.0</v>
      </c>
      <c r="D149" s="5" t="s">
        <v>764</v>
      </c>
      <c r="E149" s="1" t="s">
        <v>765</v>
      </c>
      <c r="F149" s="1">
        <v>27.0</v>
      </c>
      <c r="G149" s="1">
        <v>0.0</v>
      </c>
      <c r="H149" s="1" t="s">
        <v>766</v>
      </c>
      <c r="I149" s="4" t="b">
        <f>IFERROR(__xludf.DUMMYFUNCTION("IF(H149="""",,REGEXMATCH(H149,""[א-ת]""))"),FALSE)</f>
        <v>0</v>
      </c>
      <c r="J149" s="4"/>
      <c r="K149" s="4"/>
      <c r="L149" s="1">
        <v>0.4215</v>
      </c>
      <c r="M149" s="1">
        <v>10.58</v>
      </c>
      <c r="N149" s="1">
        <v>70.37</v>
      </c>
      <c r="O149" s="1">
        <v>2.606296296</v>
      </c>
      <c r="P149" s="4"/>
      <c r="Q149" s="4"/>
      <c r="R149" s="1" t="s">
        <v>89</v>
      </c>
      <c r="S149" s="1" t="s">
        <v>765</v>
      </c>
      <c r="T149" s="1" t="s">
        <v>111</v>
      </c>
      <c r="U149" s="1">
        <v>10.0</v>
      </c>
      <c r="V149" s="5" t="s">
        <v>764</v>
      </c>
      <c r="W149" s="1" t="s">
        <v>765</v>
      </c>
      <c r="X149" s="1" t="s">
        <v>767</v>
      </c>
      <c r="Y149" s="4"/>
      <c r="Z149" s="4"/>
      <c r="AA149" s="4" t="b">
        <f>IFERROR(__xludf.DUMMYFUNCTION("IF(X149="""",,REGEXMATCH(X149,""[א-ת]""))"),FALSE)</f>
        <v>0</v>
      </c>
      <c r="AB149" s="1">
        <v>8.23</v>
      </c>
      <c r="AC149" s="1">
        <v>74.07</v>
      </c>
      <c r="AD149" s="1">
        <v>0.295969410919867</v>
      </c>
      <c r="AE149" s="1">
        <v>0.4939</v>
      </c>
      <c r="AF149" s="1">
        <v>0.0</v>
      </c>
      <c r="AG149" s="1">
        <v>6.337</v>
      </c>
      <c r="AH149" s="1">
        <v>6.781</v>
      </c>
      <c r="AI149" s="1" t="b">
        <v>0</v>
      </c>
      <c r="AJ149" s="1" t="b">
        <v>0</v>
      </c>
      <c r="AK149" s="1">
        <v>94.182</v>
      </c>
      <c r="AL149" s="1">
        <v>96.508</v>
      </c>
      <c r="AM149" s="1" t="b">
        <v>0</v>
      </c>
      <c r="AN149" s="1" t="b">
        <v>0</v>
      </c>
      <c r="AO149" s="1">
        <v>8.05</v>
      </c>
      <c r="AP149" s="1">
        <v>8.53399999999999</v>
      </c>
      <c r="AQ149" s="1" t="b">
        <v>0</v>
      </c>
      <c r="AR149" s="1" t="b">
        <v>1</v>
      </c>
      <c r="AS149" s="1">
        <v>86.9179999999999</v>
      </c>
      <c r="AT149" s="1">
        <v>87.152</v>
      </c>
      <c r="AU149" s="1" t="b">
        <v>0</v>
      </c>
      <c r="AV149" s="1" t="b">
        <v>0</v>
      </c>
      <c r="AW149" s="1">
        <v>9.61399999999999</v>
      </c>
      <c r="AX149" s="1">
        <v>11.026</v>
      </c>
      <c r="AY149" s="1" t="b">
        <v>0</v>
      </c>
      <c r="AZ149" s="1" t="b">
        <v>1</v>
      </c>
      <c r="BA149" s="1">
        <v>81.25</v>
      </c>
      <c r="BB149" s="1">
        <v>77.78</v>
      </c>
      <c r="BC149" s="1" t="b">
        <v>0</v>
      </c>
      <c r="BD149" s="1" t="b">
        <v>0</v>
      </c>
      <c r="BE149" s="1">
        <v>11.34</v>
      </c>
      <c r="BF149" s="1">
        <v>13.285</v>
      </c>
      <c r="BG149" s="1" t="b">
        <v>1</v>
      </c>
      <c r="BH149" s="1" t="b">
        <v>1</v>
      </c>
      <c r="BI149" s="1">
        <v>77.78</v>
      </c>
      <c r="BJ149" s="1">
        <v>75.0</v>
      </c>
      <c r="BK149" s="1" t="b">
        <v>0</v>
      </c>
      <c r="BL149" s="1" t="b">
        <v>0</v>
      </c>
      <c r="BM149" s="1">
        <v>13.121</v>
      </c>
      <c r="BN149" s="1">
        <v>14.568</v>
      </c>
      <c r="BO149" s="1" t="b">
        <v>1</v>
      </c>
      <c r="BP149" s="1" t="b">
        <v>1</v>
      </c>
      <c r="BQ149" s="1">
        <v>75.0</v>
      </c>
      <c r="BR149" s="1">
        <v>72.027</v>
      </c>
      <c r="BS149" s="1" t="b">
        <v>0</v>
      </c>
      <c r="BT149" s="1" t="b">
        <v>1</v>
      </c>
      <c r="BU149" s="1" t="s">
        <v>105</v>
      </c>
      <c r="BV149" s="1" t="s">
        <v>105</v>
      </c>
      <c r="BW149" s="1" t="s">
        <v>157</v>
      </c>
      <c r="BX149" s="1" t="s">
        <v>105</v>
      </c>
      <c r="BY149" s="1" t="s">
        <v>157</v>
      </c>
      <c r="BZ149" s="1" t="s">
        <v>105</v>
      </c>
      <c r="CA149" s="1" t="s">
        <v>104</v>
      </c>
      <c r="CB149" s="1" t="s">
        <v>105</v>
      </c>
      <c r="CC149" s="1" t="s">
        <v>104</v>
      </c>
      <c r="CD149" s="1" t="s">
        <v>157</v>
      </c>
      <c r="CE149" s="4"/>
      <c r="CF149" s="4"/>
    </row>
    <row r="150" hidden="1">
      <c r="A150" s="1" t="s">
        <v>82</v>
      </c>
      <c r="B150" s="1" t="s">
        <v>116</v>
      </c>
      <c r="C150" s="1">
        <v>26.0</v>
      </c>
      <c r="D150" s="5" t="s">
        <v>768</v>
      </c>
      <c r="E150" s="1" t="s">
        <v>769</v>
      </c>
      <c r="F150" s="1">
        <v>42.0</v>
      </c>
      <c r="G150" s="1">
        <v>0.0</v>
      </c>
      <c r="H150" s="1" t="s">
        <v>770</v>
      </c>
      <c r="I150" s="4" t="b">
        <f>IFERROR(__xludf.DUMMYFUNCTION("IF(H150="""",,REGEXMATCH(H150,""[א-ת]""))"),FALSE)</f>
        <v>0</v>
      </c>
      <c r="J150" s="4"/>
      <c r="K150" s="4"/>
      <c r="L150" s="1">
        <v>0.0</v>
      </c>
      <c r="M150" s="1">
        <v>10.62</v>
      </c>
      <c r="N150" s="1">
        <v>66.67</v>
      </c>
      <c r="O150" s="1">
        <v>1.587380952</v>
      </c>
      <c r="P150" s="4"/>
      <c r="Q150" s="4"/>
      <c r="R150" s="1" t="s">
        <v>89</v>
      </c>
      <c r="S150" s="1" t="s">
        <v>769</v>
      </c>
      <c r="T150" s="1" t="s">
        <v>116</v>
      </c>
      <c r="U150" s="1">
        <v>27.0</v>
      </c>
      <c r="V150" s="5" t="s">
        <v>768</v>
      </c>
      <c r="W150" s="1" t="s">
        <v>769</v>
      </c>
      <c r="X150" s="1" t="s">
        <v>771</v>
      </c>
      <c r="Y150" s="4"/>
      <c r="Z150" s="4"/>
      <c r="AA150" s="4" t="b">
        <f>IFERROR(__xludf.DUMMYFUNCTION("IF(X150="""",,REGEXMATCH(X150,""[א-ת]""))"),FALSE)</f>
        <v>0</v>
      </c>
      <c r="AB150" s="1">
        <v>18.4</v>
      </c>
      <c r="AC150" s="1">
        <v>59.52</v>
      </c>
      <c r="AD150" s="1">
        <v>0.514289646813981</v>
      </c>
      <c r="AE150" s="1">
        <v>0.0</v>
      </c>
      <c r="AF150" s="1">
        <v>0.0</v>
      </c>
      <c r="AG150" s="1">
        <v>6.337</v>
      </c>
      <c r="AH150" s="1">
        <v>6.781</v>
      </c>
      <c r="AI150" s="1" t="b">
        <v>0</v>
      </c>
      <c r="AJ150" s="1" t="b">
        <v>0</v>
      </c>
      <c r="AK150" s="1">
        <v>94.182</v>
      </c>
      <c r="AL150" s="1">
        <v>96.508</v>
      </c>
      <c r="AM150" s="1" t="b">
        <v>0</v>
      </c>
      <c r="AN150" s="1" t="b">
        <v>0</v>
      </c>
      <c r="AO150" s="1">
        <v>8.05</v>
      </c>
      <c r="AP150" s="1">
        <v>8.53399999999999</v>
      </c>
      <c r="AQ150" s="1" t="b">
        <v>0</v>
      </c>
      <c r="AR150" s="1" t="b">
        <v>0</v>
      </c>
      <c r="AS150" s="1">
        <v>86.9179999999999</v>
      </c>
      <c r="AT150" s="1">
        <v>87.152</v>
      </c>
      <c r="AU150" s="1" t="b">
        <v>0</v>
      </c>
      <c r="AV150" s="1" t="b">
        <v>0</v>
      </c>
      <c r="AW150" s="1">
        <v>9.61399999999999</v>
      </c>
      <c r="AX150" s="1">
        <v>11.026</v>
      </c>
      <c r="AY150" s="1" t="b">
        <v>0</v>
      </c>
      <c r="AZ150" s="1" t="b">
        <v>0</v>
      </c>
      <c r="BA150" s="1">
        <v>81.25</v>
      </c>
      <c r="BB150" s="1">
        <v>77.78</v>
      </c>
      <c r="BC150" s="1" t="b">
        <v>0</v>
      </c>
      <c r="BD150" s="1" t="b">
        <v>0</v>
      </c>
      <c r="BE150" s="1">
        <v>11.34</v>
      </c>
      <c r="BF150" s="1">
        <v>13.285</v>
      </c>
      <c r="BG150" s="1" t="b">
        <v>1</v>
      </c>
      <c r="BH150" s="1" t="b">
        <v>0</v>
      </c>
      <c r="BI150" s="1">
        <v>77.78</v>
      </c>
      <c r="BJ150" s="1">
        <v>75.0</v>
      </c>
      <c r="BK150" s="1" t="b">
        <v>0</v>
      </c>
      <c r="BL150" s="1" t="b">
        <v>0</v>
      </c>
      <c r="BM150" s="1">
        <v>13.121</v>
      </c>
      <c r="BN150" s="1">
        <v>14.568</v>
      </c>
      <c r="BO150" s="1" t="b">
        <v>1</v>
      </c>
      <c r="BP150" s="1" t="b">
        <v>0</v>
      </c>
      <c r="BQ150" s="1">
        <v>75.0</v>
      </c>
      <c r="BR150" s="1">
        <v>72.027</v>
      </c>
      <c r="BS150" s="1" t="b">
        <v>0</v>
      </c>
      <c r="BT150" s="1" t="b">
        <v>0</v>
      </c>
      <c r="BU150" s="1" t="s">
        <v>105</v>
      </c>
      <c r="BV150" s="1" t="s">
        <v>105</v>
      </c>
      <c r="BW150" s="1" t="s">
        <v>105</v>
      </c>
      <c r="BX150" s="1" t="s">
        <v>105</v>
      </c>
      <c r="BY150" s="1" t="s">
        <v>105</v>
      </c>
      <c r="BZ150" s="1" t="s">
        <v>105</v>
      </c>
      <c r="CA150" s="1" t="s">
        <v>91</v>
      </c>
      <c r="CB150" s="1" t="s">
        <v>105</v>
      </c>
      <c r="CC150" s="1" t="s">
        <v>91</v>
      </c>
      <c r="CD150" s="1" t="s">
        <v>105</v>
      </c>
      <c r="CE150" s="4"/>
      <c r="CF150" s="4"/>
    </row>
    <row r="151">
      <c r="A151" s="1" t="s">
        <v>82</v>
      </c>
      <c r="B151" s="1" t="s">
        <v>116</v>
      </c>
      <c r="C151" s="1">
        <v>25.0</v>
      </c>
      <c r="D151" s="5" t="s">
        <v>772</v>
      </c>
      <c r="E151" s="1" t="s">
        <v>773</v>
      </c>
      <c r="F151" s="1">
        <v>12.0</v>
      </c>
      <c r="G151" s="1">
        <v>0.0</v>
      </c>
      <c r="H151" s="1" t="s">
        <v>774</v>
      </c>
      <c r="I151" s="4" t="b">
        <f>IFERROR(__xludf.DUMMYFUNCTION("IF(H151="""",,REGEXMATCH(H151,""[א-ת]""))"),FALSE)</f>
        <v>0</v>
      </c>
      <c r="J151" s="4"/>
      <c r="K151" s="4"/>
      <c r="L151" s="1">
        <v>0.0</v>
      </c>
      <c r="M151" s="1">
        <v>10.66</v>
      </c>
      <c r="N151" s="1">
        <v>75.0</v>
      </c>
      <c r="O151" s="1">
        <v>6.25</v>
      </c>
      <c r="P151" s="4"/>
      <c r="Q151" s="4"/>
      <c r="R151" s="1" t="s">
        <v>89</v>
      </c>
      <c r="S151" s="1" t="s">
        <v>773</v>
      </c>
      <c r="T151" s="1" t="s">
        <v>116</v>
      </c>
      <c r="U151" s="1">
        <v>26.0</v>
      </c>
      <c r="V151" s="5" t="s">
        <v>772</v>
      </c>
      <c r="W151" s="1" t="s">
        <v>773</v>
      </c>
      <c r="X151" s="1" t="s">
        <v>775</v>
      </c>
      <c r="Y151" s="1" t="s">
        <v>776</v>
      </c>
      <c r="Z151" s="1" t="s">
        <v>777</v>
      </c>
      <c r="AA151" s="4" t="b">
        <f>IFERROR(__xludf.DUMMYFUNCTION("IF(X151="""",,REGEXMATCH(X151,""[א-ת]""))"),FALSE)</f>
        <v>0</v>
      </c>
      <c r="AB151" s="1">
        <v>3.36</v>
      </c>
      <c r="AC151" s="1">
        <v>83.33</v>
      </c>
      <c r="AD151" s="1">
        <v>0.349909235163617</v>
      </c>
      <c r="AE151" s="1">
        <v>0.0</v>
      </c>
      <c r="AF151" s="1">
        <v>0.0</v>
      </c>
      <c r="AG151" s="1">
        <v>6.337</v>
      </c>
      <c r="AH151" s="1">
        <v>6.781</v>
      </c>
      <c r="AI151" s="1" t="b">
        <v>0</v>
      </c>
      <c r="AJ151" s="1" t="b">
        <v>1</v>
      </c>
      <c r="AK151" s="1">
        <v>94.182</v>
      </c>
      <c r="AL151" s="1">
        <v>96.508</v>
      </c>
      <c r="AM151" s="1" t="b">
        <v>0</v>
      </c>
      <c r="AN151" s="1" t="b">
        <v>0</v>
      </c>
      <c r="AO151" s="1">
        <v>8.05</v>
      </c>
      <c r="AP151" s="1">
        <v>8.53399999999999</v>
      </c>
      <c r="AQ151" s="1" t="b">
        <v>0</v>
      </c>
      <c r="AR151" s="1" t="b">
        <v>1</v>
      </c>
      <c r="AS151" s="1">
        <v>86.9179999999999</v>
      </c>
      <c r="AT151" s="1">
        <v>87.152</v>
      </c>
      <c r="AU151" s="1" t="b">
        <v>0</v>
      </c>
      <c r="AV151" s="1" t="b">
        <v>0</v>
      </c>
      <c r="AW151" s="1">
        <v>9.61399999999999</v>
      </c>
      <c r="AX151" s="1">
        <v>11.026</v>
      </c>
      <c r="AY151" s="1" t="b">
        <v>0</v>
      </c>
      <c r="AZ151" s="1" t="b">
        <v>1</v>
      </c>
      <c r="BA151" s="1">
        <v>81.25</v>
      </c>
      <c r="BB151" s="1">
        <v>77.78</v>
      </c>
      <c r="BC151" s="1" t="b">
        <v>0</v>
      </c>
      <c r="BD151" s="1" t="b">
        <v>1</v>
      </c>
      <c r="BE151" s="1">
        <v>11.34</v>
      </c>
      <c r="BF151" s="1">
        <v>13.285</v>
      </c>
      <c r="BG151" s="1" t="b">
        <v>1</v>
      </c>
      <c r="BH151" s="1" t="b">
        <v>1</v>
      </c>
      <c r="BI151" s="1">
        <v>77.78</v>
      </c>
      <c r="BJ151" s="1">
        <v>75.0</v>
      </c>
      <c r="BK151" s="1" t="b">
        <v>0</v>
      </c>
      <c r="BL151" s="1" t="b">
        <v>1</v>
      </c>
      <c r="BM151" s="1">
        <v>13.121</v>
      </c>
      <c r="BN151" s="1">
        <v>14.568</v>
      </c>
      <c r="BO151" s="1" t="b">
        <v>1</v>
      </c>
      <c r="BP151" s="1" t="b">
        <v>1</v>
      </c>
      <c r="BQ151" s="1">
        <v>75.0</v>
      </c>
      <c r="BR151" s="1">
        <v>72.027</v>
      </c>
      <c r="BS151" s="1" t="b">
        <v>1</v>
      </c>
      <c r="BT151" s="1" t="b">
        <v>1</v>
      </c>
      <c r="BU151" s="1" t="s">
        <v>157</v>
      </c>
      <c r="BV151" s="1" t="s">
        <v>105</v>
      </c>
      <c r="BW151" s="1" t="s">
        <v>157</v>
      </c>
      <c r="BX151" s="1" t="s">
        <v>105</v>
      </c>
      <c r="BY151" s="1" t="s">
        <v>157</v>
      </c>
      <c r="BZ151" s="1" t="s">
        <v>157</v>
      </c>
      <c r="CA151" s="1" t="s">
        <v>104</v>
      </c>
      <c r="CB151" s="1" t="s">
        <v>157</v>
      </c>
      <c r="CC151" s="1" t="s">
        <v>104</v>
      </c>
      <c r="CD151" s="1" t="s">
        <v>104</v>
      </c>
      <c r="CE151" s="4"/>
      <c r="CF151" s="4"/>
    </row>
    <row r="152" hidden="1">
      <c r="A152" s="1" t="s">
        <v>82</v>
      </c>
      <c r="B152" s="1" t="s">
        <v>176</v>
      </c>
      <c r="C152" s="1">
        <v>17.0</v>
      </c>
      <c r="D152" s="5" t="s">
        <v>778</v>
      </c>
      <c r="E152" s="1" t="s">
        <v>779</v>
      </c>
      <c r="F152" s="1">
        <v>4.0</v>
      </c>
      <c r="G152" s="1">
        <v>0.0</v>
      </c>
      <c r="H152" s="1" t="s">
        <v>780</v>
      </c>
      <c r="I152" s="4" t="b">
        <f>IFERROR(__xludf.DUMMYFUNCTION("IF(H152="""",,REGEXMATCH(H152,""[א-ת]""))"),FALSE)</f>
        <v>0</v>
      </c>
      <c r="J152" s="4"/>
      <c r="K152" s="4"/>
      <c r="L152" s="1">
        <v>0.0</v>
      </c>
      <c r="M152" s="1">
        <v>10.68</v>
      </c>
      <c r="N152" s="1">
        <v>75.0</v>
      </c>
      <c r="O152" s="1">
        <v>18.75</v>
      </c>
      <c r="P152" s="4"/>
      <c r="Q152" s="4"/>
      <c r="R152" s="1" t="s">
        <v>89</v>
      </c>
      <c r="S152" s="1" t="s">
        <v>779</v>
      </c>
      <c r="T152" s="1" t="s">
        <v>176</v>
      </c>
      <c r="U152" s="1">
        <v>18.0</v>
      </c>
      <c r="V152" s="5" t="s">
        <v>778</v>
      </c>
      <c r="W152" s="1" t="s">
        <v>779</v>
      </c>
      <c r="X152" s="1" t="s">
        <v>781</v>
      </c>
      <c r="Y152" s="4"/>
      <c r="Z152" s="4"/>
      <c r="AA152" s="4" t="b">
        <f>IFERROR(__xludf.DUMMYFUNCTION("IF(X152="""",,REGEXMATCH(X152,""[א-ת]""))"),FALSE)</f>
        <v>0</v>
      </c>
      <c r="AB152" s="1">
        <v>19.3</v>
      </c>
      <c r="AC152" s="1">
        <v>50.0</v>
      </c>
      <c r="AD152" s="1">
        <v>0.872546518906636</v>
      </c>
      <c r="AE152" s="1">
        <v>0.0</v>
      </c>
      <c r="AF152" s="1">
        <v>0.0</v>
      </c>
      <c r="AG152" s="1">
        <v>6.337</v>
      </c>
      <c r="AH152" s="1">
        <v>6.781</v>
      </c>
      <c r="AI152" s="1" t="b">
        <v>0</v>
      </c>
      <c r="AJ152" s="1" t="b">
        <v>0</v>
      </c>
      <c r="AK152" s="1">
        <v>94.182</v>
      </c>
      <c r="AL152" s="1">
        <v>96.508</v>
      </c>
      <c r="AM152" s="1" t="b">
        <v>0</v>
      </c>
      <c r="AN152" s="1" t="b">
        <v>0</v>
      </c>
      <c r="AO152" s="1">
        <v>8.05</v>
      </c>
      <c r="AP152" s="1">
        <v>8.53399999999999</v>
      </c>
      <c r="AQ152" s="1" t="b">
        <v>0</v>
      </c>
      <c r="AR152" s="1" t="b">
        <v>0</v>
      </c>
      <c r="AS152" s="1">
        <v>86.9179999999999</v>
      </c>
      <c r="AT152" s="1">
        <v>87.152</v>
      </c>
      <c r="AU152" s="1" t="b">
        <v>0</v>
      </c>
      <c r="AV152" s="1" t="b">
        <v>0</v>
      </c>
      <c r="AW152" s="1">
        <v>9.61399999999999</v>
      </c>
      <c r="AX152" s="1">
        <v>11.026</v>
      </c>
      <c r="AY152" s="1" t="b">
        <v>0</v>
      </c>
      <c r="AZ152" s="1" t="b">
        <v>0</v>
      </c>
      <c r="BA152" s="1">
        <v>81.25</v>
      </c>
      <c r="BB152" s="1">
        <v>77.78</v>
      </c>
      <c r="BC152" s="1" t="b">
        <v>0</v>
      </c>
      <c r="BD152" s="1" t="b">
        <v>0</v>
      </c>
      <c r="BE152" s="1">
        <v>11.34</v>
      </c>
      <c r="BF152" s="1">
        <v>13.285</v>
      </c>
      <c r="BG152" s="1" t="b">
        <v>1</v>
      </c>
      <c r="BH152" s="1" t="b">
        <v>0</v>
      </c>
      <c r="BI152" s="1">
        <v>77.78</v>
      </c>
      <c r="BJ152" s="1">
        <v>75.0</v>
      </c>
      <c r="BK152" s="1" t="b">
        <v>0</v>
      </c>
      <c r="BL152" s="1" t="b">
        <v>0</v>
      </c>
      <c r="BM152" s="1">
        <v>13.121</v>
      </c>
      <c r="BN152" s="1">
        <v>14.568</v>
      </c>
      <c r="BO152" s="1" t="b">
        <v>1</v>
      </c>
      <c r="BP152" s="1" t="b">
        <v>0</v>
      </c>
      <c r="BQ152" s="1">
        <v>75.0</v>
      </c>
      <c r="BR152" s="1">
        <v>72.027</v>
      </c>
      <c r="BS152" s="1" t="b">
        <v>1</v>
      </c>
      <c r="BT152" s="1" t="b">
        <v>0</v>
      </c>
      <c r="BU152" s="1" t="s">
        <v>105</v>
      </c>
      <c r="BV152" s="1" t="s">
        <v>105</v>
      </c>
      <c r="BW152" s="1" t="s">
        <v>105</v>
      </c>
      <c r="BX152" s="1" t="s">
        <v>105</v>
      </c>
      <c r="BY152" s="1" t="s">
        <v>105</v>
      </c>
      <c r="BZ152" s="1" t="s">
        <v>105</v>
      </c>
      <c r="CA152" s="1" t="s">
        <v>91</v>
      </c>
      <c r="CB152" s="1" t="s">
        <v>105</v>
      </c>
      <c r="CC152" s="1" t="s">
        <v>91</v>
      </c>
      <c r="CD152" s="1" t="s">
        <v>91</v>
      </c>
      <c r="CE152" s="4"/>
      <c r="CF152" s="4"/>
    </row>
    <row r="153" hidden="1">
      <c r="A153" s="1" t="s">
        <v>82</v>
      </c>
      <c r="B153" s="1" t="s">
        <v>111</v>
      </c>
      <c r="C153" s="1">
        <v>39.0</v>
      </c>
      <c r="D153" s="5" t="s">
        <v>782</v>
      </c>
      <c r="E153" s="1" t="s">
        <v>783</v>
      </c>
      <c r="F153" s="1">
        <v>62.0</v>
      </c>
      <c r="G153" s="1">
        <v>0.2732</v>
      </c>
      <c r="H153" s="1" t="s">
        <v>784</v>
      </c>
      <c r="I153" s="4" t="b">
        <f>IFERROR(__xludf.DUMMYFUNCTION("IF(H153="""",,REGEXMATCH(H153,""[א-ת]""))"),FALSE)</f>
        <v>0</v>
      </c>
      <c r="J153" s="4"/>
      <c r="K153" s="4"/>
      <c r="L153" s="1">
        <v>-0.1546</v>
      </c>
      <c r="M153" s="1">
        <v>10.69</v>
      </c>
      <c r="N153" s="1">
        <v>74.19</v>
      </c>
      <c r="O153" s="1">
        <v>1.196612903</v>
      </c>
      <c r="P153" s="4"/>
      <c r="Q153" s="4"/>
      <c r="R153" s="1" t="s">
        <v>89</v>
      </c>
      <c r="S153" s="1" t="s">
        <v>783</v>
      </c>
      <c r="T153" s="1" t="s">
        <v>111</v>
      </c>
      <c r="U153" s="1">
        <v>40.0</v>
      </c>
      <c r="V153" s="5" t="s">
        <v>782</v>
      </c>
      <c r="W153" s="1" t="s">
        <v>783</v>
      </c>
      <c r="X153" s="1" t="s">
        <v>785</v>
      </c>
      <c r="Y153" s="4"/>
      <c r="Z153" s="4"/>
      <c r="AA153" s="4" t="b">
        <f>IFERROR(__xludf.DUMMYFUNCTION("IF(X153="""",,REGEXMATCH(X153,""[א-ת]""))"),FALSE)</f>
        <v>0</v>
      </c>
      <c r="AB153" s="1">
        <v>14.81</v>
      </c>
      <c r="AC153" s="1">
        <v>74.19</v>
      </c>
      <c r="AD153" s="1">
        <v>0.348451701003187</v>
      </c>
      <c r="AE153" s="1">
        <v>0.296</v>
      </c>
      <c r="AF153" s="1">
        <v>0.2732</v>
      </c>
      <c r="AG153" s="1">
        <v>6.337</v>
      </c>
      <c r="AH153" s="1">
        <v>6.781</v>
      </c>
      <c r="AI153" s="1" t="b">
        <v>0</v>
      </c>
      <c r="AJ153" s="1" t="b">
        <v>0</v>
      </c>
      <c r="AK153" s="1">
        <v>94.182</v>
      </c>
      <c r="AL153" s="1">
        <v>96.508</v>
      </c>
      <c r="AM153" s="1" t="b">
        <v>0</v>
      </c>
      <c r="AN153" s="1" t="b">
        <v>0</v>
      </c>
      <c r="AO153" s="1">
        <v>8.05</v>
      </c>
      <c r="AP153" s="1">
        <v>8.53399999999999</v>
      </c>
      <c r="AQ153" s="1" t="b">
        <v>0</v>
      </c>
      <c r="AR153" s="1" t="b">
        <v>0</v>
      </c>
      <c r="AS153" s="1">
        <v>86.9179999999999</v>
      </c>
      <c r="AT153" s="1">
        <v>87.152</v>
      </c>
      <c r="AU153" s="1" t="b">
        <v>0</v>
      </c>
      <c r="AV153" s="1" t="b">
        <v>0</v>
      </c>
      <c r="AW153" s="1">
        <v>9.61399999999999</v>
      </c>
      <c r="AX153" s="1">
        <v>11.026</v>
      </c>
      <c r="AY153" s="1" t="b">
        <v>0</v>
      </c>
      <c r="AZ153" s="1" t="b">
        <v>0</v>
      </c>
      <c r="BA153" s="1">
        <v>81.25</v>
      </c>
      <c r="BB153" s="1">
        <v>77.78</v>
      </c>
      <c r="BC153" s="1" t="b">
        <v>0</v>
      </c>
      <c r="BD153" s="1" t="b">
        <v>0</v>
      </c>
      <c r="BE153" s="1">
        <v>11.34</v>
      </c>
      <c r="BF153" s="1">
        <v>13.285</v>
      </c>
      <c r="BG153" s="1" t="b">
        <v>1</v>
      </c>
      <c r="BH153" s="1" t="b">
        <v>0</v>
      </c>
      <c r="BI153" s="1">
        <v>77.78</v>
      </c>
      <c r="BJ153" s="1">
        <v>75.0</v>
      </c>
      <c r="BK153" s="1" t="b">
        <v>0</v>
      </c>
      <c r="BL153" s="1" t="b">
        <v>0</v>
      </c>
      <c r="BM153" s="1">
        <v>13.121</v>
      </c>
      <c r="BN153" s="1">
        <v>14.568</v>
      </c>
      <c r="BO153" s="1" t="b">
        <v>1</v>
      </c>
      <c r="BP153" s="1" t="b">
        <v>0</v>
      </c>
      <c r="BQ153" s="1">
        <v>75.0</v>
      </c>
      <c r="BR153" s="1">
        <v>72.027</v>
      </c>
      <c r="BS153" s="1" t="b">
        <v>0</v>
      </c>
      <c r="BT153" s="1" t="b">
        <v>1</v>
      </c>
      <c r="BU153" s="1" t="s">
        <v>105</v>
      </c>
      <c r="BV153" s="1" t="s">
        <v>105</v>
      </c>
      <c r="BW153" s="1" t="s">
        <v>105</v>
      </c>
      <c r="BX153" s="1" t="s">
        <v>105</v>
      </c>
      <c r="BY153" s="1" t="s">
        <v>105</v>
      </c>
      <c r="BZ153" s="1" t="s">
        <v>105</v>
      </c>
      <c r="CA153" s="1" t="s">
        <v>91</v>
      </c>
      <c r="CB153" s="1" t="s">
        <v>105</v>
      </c>
      <c r="CC153" s="1" t="s">
        <v>91</v>
      </c>
      <c r="CD153" s="1" t="s">
        <v>157</v>
      </c>
      <c r="CE153" s="4"/>
      <c r="CF153" s="4"/>
    </row>
    <row r="154" hidden="1">
      <c r="A154" s="1" t="s">
        <v>82</v>
      </c>
      <c r="B154" s="1" t="s">
        <v>333</v>
      </c>
      <c r="C154" s="1">
        <v>4.0</v>
      </c>
      <c r="D154" s="5" t="s">
        <v>786</v>
      </c>
      <c r="E154" s="1" t="s">
        <v>787</v>
      </c>
      <c r="F154" s="1">
        <v>48.0</v>
      </c>
      <c r="G154" s="1">
        <v>-0.3313</v>
      </c>
      <c r="H154" s="1" t="s">
        <v>788</v>
      </c>
      <c r="I154" s="4" t="b">
        <f>IFERROR(__xludf.DUMMYFUNCTION("IF(H154="""",,REGEXMATCH(H154,""[א-ת]""))"),FALSE)</f>
        <v>0</v>
      </c>
      <c r="J154" s="4"/>
      <c r="K154" s="4"/>
      <c r="L154" s="1">
        <v>0.1601</v>
      </c>
      <c r="M154" s="1">
        <v>10.7</v>
      </c>
      <c r="N154" s="1">
        <v>77.08</v>
      </c>
      <c r="O154" s="1">
        <v>1.605833333</v>
      </c>
      <c r="P154" s="4"/>
      <c r="Q154" s="4"/>
      <c r="R154" s="1" t="s">
        <v>89</v>
      </c>
      <c r="S154" s="1" t="s">
        <v>787</v>
      </c>
      <c r="T154" s="1" t="s">
        <v>333</v>
      </c>
      <c r="U154" s="1">
        <v>5.0</v>
      </c>
      <c r="V154" s="5" t="s">
        <v>786</v>
      </c>
      <c r="W154" s="1" t="s">
        <v>787</v>
      </c>
      <c r="X154" s="1" t="s">
        <v>789</v>
      </c>
      <c r="Y154" s="4"/>
      <c r="Z154" s="4"/>
      <c r="AA154" s="4" t="b">
        <f>IFERROR(__xludf.DUMMYFUNCTION("IF(X154="""",,REGEXMATCH(X154,""[א-ת]""))"),FALSE)</f>
        <v>0</v>
      </c>
      <c r="AB154" s="1">
        <v>8.21</v>
      </c>
      <c r="AC154" s="1">
        <v>58.33</v>
      </c>
      <c r="AD154" s="1">
        <v>0.464522786648388</v>
      </c>
      <c r="AE154" s="1">
        <v>-0.25</v>
      </c>
      <c r="AF154" s="1">
        <v>-0.3313</v>
      </c>
      <c r="AG154" s="1">
        <v>6.337</v>
      </c>
      <c r="AH154" s="1">
        <v>6.781</v>
      </c>
      <c r="AI154" s="1" t="b">
        <v>0</v>
      </c>
      <c r="AJ154" s="1" t="b">
        <v>0</v>
      </c>
      <c r="AK154" s="1">
        <v>94.182</v>
      </c>
      <c r="AL154" s="1">
        <v>96.508</v>
      </c>
      <c r="AM154" s="1" t="b">
        <v>0</v>
      </c>
      <c r="AN154" s="1" t="b">
        <v>0</v>
      </c>
      <c r="AO154" s="1">
        <v>8.05</v>
      </c>
      <c r="AP154" s="1">
        <v>8.53399999999999</v>
      </c>
      <c r="AQ154" s="1" t="b">
        <v>0</v>
      </c>
      <c r="AR154" s="1" t="b">
        <v>1</v>
      </c>
      <c r="AS154" s="1">
        <v>86.9179999999999</v>
      </c>
      <c r="AT154" s="1">
        <v>87.152</v>
      </c>
      <c r="AU154" s="1" t="b">
        <v>0</v>
      </c>
      <c r="AV154" s="1" t="b">
        <v>0</v>
      </c>
      <c r="AW154" s="1">
        <v>9.61399999999999</v>
      </c>
      <c r="AX154" s="1">
        <v>11.026</v>
      </c>
      <c r="AY154" s="1" t="b">
        <v>0</v>
      </c>
      <c r="AZ154" s="1" t="b">
        <v>1</v>
      </c>
      <c r="BA154" s="1">
        <v>81.25</v>
      </c>
      <c r="BB154" s="1">
        <v>77.78</v>
      </c>
      <c r="BC154" s="1" t="b">
        <v>0</v>
      </c>
      <c r="BD154" s="1" t="b">
        <v>0</v>
      </c>
      <c r="BE154" s="1">
        <v>11.34</v>
      </c>
      <c r="BF154" s="1">
        <v>13.285</v>
      </c>
      <c r="BG154" s="1" t="b">
        <v>1</v>
      </c>
      <c r="BH154" s="1" t="b">
        <v>1</v>
      </c>
      <c r="BI154" s="1">
        <v>77.78</v>
      </c>
      <c r="BJ154" s="1">
        <v>75.0</v>
      </c>
      <c r="BK154" s="1" t="b">
        <v>0</v>
      </c>
      <c r="BL154" s="1" t="b">
        <v>0</v>
      </c>
      <c r="BM154" s="1">
        <v>13.121</v>
      </c>
      <c r="BN154" s="1">
        <v>14.568</v>
      </c>
      <c r="BO154" s="1" t="b">
        <v>1</v>
      </c>
      <c r="BP154" s="1" t="b">
        <v>1</v>
      </c>
      <c r="BQ154" s="1">
        <v>75.0</v>
      </c>
      <c r="BR154" s="1">
        <v>72.027</v>
      </c>
      <c r="BS154" s="1" t="b">
        <v>1</v>
      </c>
      <c r="BT154" s="1" t="b">
        <v>0</v>
      </c>
      <c r="BU154" s="1" t="s">
        <v>105</v>
      </c>
      <c r="BV154" s="1" t="s">
        <v>105</v>
      </c>
      <c r="BW154" s="1" t="s">
        <v>157</v>
      </c>
      <c r="BX154" s="1" t="s">
        <v>105</v>
      </c>
      <c r="BY154" s="1" t="s">
        <v>157</v>
      </c>
      <c r="BZ154" s="1" t="s">
        <v>105</v>
      </c>
      <c r="CA154" s="1" t="s">
        <v>104</v>
      </c>
      <c r="CB154" s="1" t="s">
        <v>105</v>
      </c>
      <c r="CC154" s="1" t="s">
        <v>104</v>
      </c>
      <c r="CD154" s="1" t="s">
        <v>91</v>
      </c>
      <c r="CE154" s="4"/>
      <c r="CF154" s="4"/>
    </row>
    <row r="155" hidden="1">
      <c r="A155" s="1" t="s">
        <v>82</v>
      </c>
      <c r="B155" s="1" t="s">
        <v>304</v>
      </c>
      <c r="C155" s="1">
        <v>22.0</v>
      </c>
      <c r="D155" s="5" t="s">
        <v>790</v>
      </c>
      <c r="E155" s="1" t="s">
        <v>791</v>
      </c>
      <c r="F155" s="1">
        <v>35.0</v>
      </c>
      <c r="G155" s="1">
        <v>-0.4404</v>
      </c>
      <c r="H155" s="1" t="s">
        <v>792</v>
      </c>
      <c r="I155" s="4" t="b">
        <f>IFERROR(__xludf.DUMMYFUNCTION("IF(H155="""",,REGEXMATCH(H155,""[א-ת]""))"),FALSE)</f>
        <v>0</v>
      </c>
      <c r="J155" s="4"/>
      <c r="K155" s="4"/>
      <c r="L155" s="1">
        <v>0.5106</v>
      </c>
      <c r="M155" s="1">
        <v>10.76</v>
      </c>
      <c r="N155" s="1">
        <v>68.57</v>
      </c>
      <c r="O155" s="1">
        <v>1.959142857</v>
      </c>
      <c r="P155" s="4"/>
      <c r="Q155" s="4"/>
      <c r="R155" s="1" t="s">
        <v>89</v>
      </c>
      <c r="S155" s="1" t="s">
        <v>791</v>
      </c>
      <c r="T155" s="1" t="s">
        <v>304</v>
      </c>
      <c r="U155" s="1">
        <v>23.0</v>
      </c>
      <c r="V155" s="5" t="s">
        <v>790</v>
      </c>
      <c r="W155" s="1" t="s">
        <v>791</v>
      </c>
      <c r="X155" s="1" t="s">
        <v>793</v>
      </c>
      <c r="Y155" s="4"/>
      <c r="Z155" s="4"/>
      <c r="AA155" s="4" t="b">
        <f>IFERROR(__xludf.DUMMYFUNCTION("IF(X155="""",,REGEXMATCH(X155,""[א-ת]""))"),FALSE)</f>
        <v>0</v>
      </c>
      <c r="AB155" s="1">
        <v>18.86</v>
      </c>
      <c r="AC155" s="1">
        <v>62.86</v>
      </c>
      <c r="AD155" s="1">
        <v>0.326045151177686</v>
      </c>
      <c r="AE155" s="1">
        <v>0.0</v>
      </c>
      <c r="AF155" s="1">
        <v>-0.4404</v>
      </c>
      <c r="AG155" s="1">
        <v>6.337</v>
      </c>
      <c r="AH155" s="1">
        <v>6.781</v>
      </c>
      <c r="AI155" s="1" t="b">
        <v>0</v>
      </c>
      <c r="AJ155" s="1" t="b">
        <v>0</v>
      </c>
      <c r="AK155" s="1">
        <v>94.182</v>
      </c>
      <c r="AL155" s="1">
        <v>96.508</v>
      </c>
      <c r="AM155" s="1" t="b">
        <v>0</v>
      </c>
      <c r="AN155" s="1" t="b">
        <v>0</v>
      </c>
      <c r="AO155" s="1">
        <v>8.05</v>
      </c>
      <c r="AP155" s="1">
        <v>8.53399999999999</v>
      </c>
      <c r="AQ155" s="1" t="b">
        <v>0</v>
      </c>
      <c r="AR155" s="1" t="b">
        <v>0</v>
      </c>
      <c r="AS155" s="1">
        <v>86.9179999999999</v>
      </c>
      <c r="AT155" s="1">
        <v>87.152</v>
      </c>
      <c r="AU155" s="1" t="b">
        <v>0</v>
      </c>
      <c r="AV155" s="1" t="b">
        <v>0</v>
      </c>
      <c r="AW155" s="1">
        <v>9.61399999999999</v>
      </c>
      <c r="AX155" s="1">
        <v>11.026</v>
      </c>
      <c r="AY155" s="1" t="b">
        <v>0</v>
      </c>
      <c r="AZ155" s="1" t="b">
        <v>0</v>
      </c>
      <c r="BA155" s="1">
        <v>81.25</v>
      </c>
      <c r="BB155" s="1">
        <v>77.78</v>
      </c>
      <c r="BC155" s="1" t="b">
        <v>0</v>
      </c>
      <c r="BD155" s="1" t="b">
        <v>0</v>
      </c>
      <c r="BE155" s="1">
        <v>11.34</v>
      </c>
      <c r="BF155" s="1">
        <v>13.285</v>
      </c>
      <c r="BG155" s="1" t="b">
        <v>1</v>
      </c>
      <c r="BH155" s="1" t="b">
        <v>0</v>
      </c>
      <c r="BI155" s="1">
        <v>77.78</v>
      </c>
      <c r="BJ155" s="1">
        <v>75.0</v>
      </c>
      <c r="BK155" s="1" t="b">
        <v>0</v>
      </c>
      <c r="BL155" s="1" t="b">
        <v>0</v>
      </c>
      <c r="BM155" s="1">
        <v>13.121</v>
      </c>
      <c r="BN155" s="1">
        <v>14.568</v>
      </c>
      <c r="BO155" s="1" t="b">
        <v>1</v>
      </c>
      <c r="BP155" s="1" t="b">
        <v>0</v>
      </c>
      <c r="BQ155" s="1">
        <v>75.0</v>
      </c>
      <c r="BR155" s="1">
        <v>72.027</v>
      </c>
      <c r="BS155" s="1" t="b">
        <v>0</v>
      </c>
      <c r="BT155" s="1" t="b">
        <v>0</v>
      </c>
      <c r="BU155" s="1" t="s">
        <v>105</v>
      </c>
      <c r="BV155" s="1" t="s">
        <v>105</v>
      </c>
      <c r="BW155" s="1" t="s">
        <v>105</v>
      </c>
      <c r="BX155" s="1" t="s">
        <v>105</v>
      </c>
      <c r="BY155" s="1" t="s">
        <v>105</v>
      </c>
      <c r="BZ155" s="1" t="s">
        <v>105</v>
      </c>
      <c r="CA155" s="1" t="s">
        <v>91</v>
      </c>
      <c r="CB155" s="1" t="s">
        <v>105</v>
      </c>
      <c r="CC155" s="1" t="s">
        <v>91</v>
      </c>
      <c r="CD155" s="1" t="s">
        <v>105</v>
      </c>
      <c r="CE155" s="4"/>
      <c r="CF155" s="4"/>
    </row>
    <row r="156">
      <c r="A156" s="1" t="s">
        <v>82</v>
      </c>
      <c r="B156" s="1" t="s">
        <v>116</v>
      </c>
      <c r="C156" s="1">
        <v>15.0</v>
      </c>
      <c r="D156" s="5" t="s">
        <v>794</v>
      </c>
      <c r="E156" s="1" t="s">
        <v>795</v>
      </c>
      <c r="F156" s="1">
        <v>23.0</v>
      </c>
      <c r="G156" s="1">
        <v>0.2023</v>
      </c>
      <c r="H156" s="1" t="s">
        <v>796</v>
      </c>
      <c r="I156" s="4" t="b">
        <f>IFERROR(__xludf.DUMMYFUNCTION("IF(H156="""",,REGEXMATCH(H156,""[א-ת]""))"),FALSE)</f>
        <v>0</v>
      </c>
      <c r="J156" s="4"/>
      <c r="K156" s="4"/>
      <c r="L156" s="1">
        <v>0.0</v>
      </c>
      <c r="M156" s="1">
        <v>11.02</v>
      </c>
      <c r="N156" s="1">
        <v>91.3</v>
      </c>
      <c r="O156" s="1">
        <v>3.969565217</v>
      </c>
      <c r="P156" s="4"/>
      <c r="Q156" s="4"/>
      <c r="R156" s="1" t="s">
        <v>89</v>
      </c>
      <c r="S156" s="1" t="s">
        <v>795</v>
      </c>
      <c r="T156" s="1" t="s">
        <v>116</v>
      </c>
      <c r="U156" s="1">
        <v>16.0</v>
      </c>
      <c r="V156" s="5" t="s">
        <v>794</v>
      </c>
      <c r="W156" s="1" t="s">
        <v>795</v>
      </c>
      <c r="X156" s="1" t="s">
        <v>797</v>
      </c>
      <c r="Y156" s="1" t="s">
        <v>798</v>
      </c>
      <c r="Z156" s="1" t="s">
        <v>799</v>
      </c>
      <c r="AA156" s="4" t="b">
        <f>IFERROR(__xludf.DUMMYFUNCTION("IF(X156="""",,REGEXMATCH(X156,""[א-ת]""))"),TRUE)</f>
        <v>1</v>
      </c>
      <c r="AB156" s="1">
        <v>6.38</v>
      </c>
      <c r="AC156" s="1">
        <v>117.39</v>
      </c>
      <c r="AD156" s="1">
        <v>0.181513154861906</v>
      </c>
      <c r="AE156" s="1">
        <v>0.0</v>
      </c>
      <c r="AF156" s="1">
        <v>0.2023</v>
      </c>
      <c r="AG156" s="1">
        <v>6.337</v>
      </c>
      <c r="AH156" s="1">
        <v>6.781</v>
      </c>
      <c r="AI156" s="1" t="b">
        <v>0</v>
      </c>
      <c r="AJ156" s="1" t="b">
        <v>1</v>
      </c>
      <c r="AK156" s="1">
        <v>94.182</v>
      </c>
      <c r="AL156" s="1">
        <v>96.508</v>
      </c>
      <c r="AM156" s="1" t="b">
        <v>0</v>
      </c>
      <c r="AN156" s="1" t="b">
        <v>1</v>
      </c>
      <c r="AO156" s="1">
        <v>8.05</v>
      </c>
      <c r="AP156" s="1">
        <v>8.53399999999999</v>
      </c>
      <c r="AQ156" s="1" t="b">
        <v>0</v>
      </c>
      <c r="AR156" s="1" t="b">
        <v>1</v>
      </c>
      <c r="AS156" s="1">
        <v>86.9179999999999</v>
      </c>
      <c r="AT156" s="1">
        <v>87.152</v>
      </c>
      <c r="AU156" s="1" t="b">
        <v>1</v>
      </c>
      <c r="AV156" s="1" t="b">
        <v>1</v>
      </c>
      <c r="AW156" s="1">
        <v>9.61399999999999</v>
      </c>
      <c r="AX156" s="1">
        <v>11.026</v>
      </c>
      <c r="AY156" s="1" t="b">
        <v>0</v>
      </c>
      <c r="AZ156" s="1" t="b">
        <v>1</v>
      </c>
      <c r="BA156" s="1">
        <v>81.25</v>
      </c>
      <c r="BB156" s="1">
        <v>77.78</v>
      </c>
      <c r="BC156" s="1" t="b">
        <v>1</v>
      </c>
      <c r="BD156" s="1" t="b">
        <v>1</v>
      </c>
      <c r="BE156" s="1">
        <v>11.34</v>
      </c>
      <c r="BF156" s="1">
        <v>13.285</v>
      </c>
      <c r="BG156" s="1" t="b">
        <v>1</v>
      </c>
      <c r="BH156" s="1" t="b">
        <v>1</v>
      </c>
      <c r="BI156" s="1">
        <v>77.78</v>
      </c>
      <c r="BJ156" s="1">
        <v>75.0</v>
      </c>
      <c r="BK156" s="1" t="b">
        <v>1</v>
      </c>
      <c r="BL156" s="1" t="b">
        <v>1</v>
      </c>
      <c r="BM156" s="1">
        <v>13.121</v>
      </c>
      <c r="BN156" s="1">
        <v>14.568</v>
      </c>
      <c r="BO156" s="1" t="b">
        <v>1</v>
      </c>
      <c r="BP156" s="1" t="b">
        <v>1</v>
      </c>
      <c r="BQ156" s="1">
        <v>75.0</v>
      </c>
      <c r="BR156" s="1">
        <v>72.027</v>
      </c>
      <c r="BS156" s="1" t="b">
        <v>1</v>
      </c>
      <c r="BT156" s="1" t="b">
        <v>1</v>
      </c>
      <c r="BU156" s="1" t="s">
        <v>157</v>
      </c>
      <c r="BV156" s="1" t="s">
        <v>157</v>
      </c>
      <c r="BW156" s="1" t="s">
        <v>157</v>
      </c>
      <c r="BX156" s="1" t="s">
        <v>104</v>
      </c>
      <c r="BY156" s="1" t="s">
        <v>157</v>
      </c>
      <c r="BZ156" s="1" t="s">
        <v>104</v>
      </c>
      <c r="CA156" s="1" t="s">
        <v>104</v>
      </c>
      <c r="CB156" s="1" t="s">
        <v>104</v>
      </c>
      <c r="CC156" s="1" t="s">
        <v>104</v>
      </c>
      <c r="CD156" s="1" t="s">
        <v>104</v>
      </c>
      <c r="CE156" s="4"/>
      <c r="CF156" s="4"/>
    </row>
    <row r="157" hidden="1">
      <c r="A157" s="1" t="s">
        <v>82</v>
      </c>
      <c r="B157" s="1" t="s">
        <v>333</v>
      </c>
      <c r="C157" s="1">
        <v>7.0</v>
      </c>
      <c r="D157" s="5" t="s">
        <v>800</v>
      </c>
      <c r="E157" s="1" t="s">
        <v>801</v>
      </c>
      <c r="F157" s="1">
        <v>44.0</v>
      </c>
      <c r="G157" s="1">
        <v>-0.4767</v>
      </c>
      <c r="H157" s="1" t="s">
        <v>802</v>
      </c>
      <c r="I157" s="4" t="b">
        <f>IFERROR(__xludf.DUMMYFUNCTION("IF(H157="""",,REGEXMATCH(H157,""[א-ת]""))"),FALSE)</f>
        <v>0</v>
      </c>
      <c r="J157" s="4"/>
      <c r="K157" s="4"/>
      <c r="L157" s="1">
        <v>-0.1511</v>
      </c>
      <c r="M157" s="1">
        <v>11.06</v>
      </c>
      <c r="N157" s="1">
        <v>61.36</v>
      </c>
      <c r="O157" s="1">
        <v>1.394545455</v>
      </c>
      <c r="P157" s="4"/>
      <c r="Q157" s="4"/>
      <c r="R157" s="1" t="s">
        <v>89</v>
      </c>
      <c r="S157" s="1" t="s">
        <v>801</v>
      </c>
      <c r="T157" s="1" t="s">
        <v>333</v>
      </c>
      <c r="U157" s="1">
        <v>8.0</v>
      </c>
      <c r="V157" s="5" t="s">
        <v>800</v>
      </c>
      <c r="W157" s="1" t="s">
        <v>801</v>
      </c>
      <c r="X157" s="1" t="s">
        <v>803</v>
      </c>
      <c r="Y157" s="4"/>
      <c r="Z157" s="4"/>
      <c r="AA157" s="4" t="b">
        <f>IFERROR(__xludf.DUMMYFUNCTION("IF(X157="""",,REGEXMATCH(X157,""[א-ת]""))"),FALSE)</f>
        <v>0</v>
      </c>
      <c r="AB157" s="1">
        <v>12.36</v>
      </c>
      <c r="AC157" s="1">
        <v>86.36</v>
      </c>
      <c r="AD157" s="1">
        <v>0.33685964942236</v>
      </c>
      <c r="AE157" s="1">
        <v>0.0</v>
      </c>
      <c r="AF157" s="1">
        <v>-0.4767</v>
      </c>
      <c r="AG157" s="1">
        <v>6.337</v>
      </c>
      <c r="AH157" s="1">
        <v>6.781</v>
      </c>
      <c r="AI157" s="1" t="b">
        <v>0</v>
      </c>
      <c r="AJ157" s="1" t="b">
        <v>0</v>
      </c>
      <c r="AK157" s="1">
        <v>94.182</v>
      </c>
      <c r="AL157" s="1">
        <v>96.508</v>
      </c>
      <c r="AM157" s="1" t="b">
        <v>0</v>
      </c>
      <c r="AN157" s="1" t="b">
        <v>0</v>
      </c>
      <c r="AO157" s="1">
        <v>8.05</v>
      </c>
      <c r="AP157" s="1">
        <v>8.53399999999999</v>
      </c>
      <c r="AQ157" s="1" t="b">
        <v>0</v>
      </c>
      <c r="AR157" s="1" t="b">
        <v>0</v>
      </c>
      <c r="AS157" s="1">
        <v>86.9179999999999</v>
      </c>
      <c r="AT157" s="1">
        <v>87.152</v>
      </c>
      <c r="AU157" s="1" t="b">
        <v>0</v>
      </c>
      <c r="AV157" s="1" t="b">
        <v>0</v>
      </c>
      <c r="AW157" s="1">
        <v>9.61399999999999</v>
      </c>
      <c r="AX157" s="1">
        <v>11.026</v>
      </c>
      <c r="AY157" s="1" t="b">
        <v>0</v>
      </c>
      <c r="AZ157" s="1" t="b">
        <v>0</v>
      </c>
      <c r="BA157" s="1">
        <v>81.25</v>
      </c>
      <c r="BB157" s="1">
        <v>77.78</v>
      </c>
      <c r="BC157" s="1" t="b">
        <v>0</v>
      </c>
      <c r="BD157" s="1" t="b">
        <v>1</v>
      </c>
      <c r="BE157" s="1">
        <v>11.34</v>
      </c>
      <c r="BF157" s="1">
        <v>13.285</v>
      </c>
      <c r="BG157" s="1" t="b">
        <v>1</v>
      </c>
      <c r="BH157" s="1" t="b">
        <v>1</v>
      </c>
      <c r="BI157" s="1">
        <v>77.78</v>
      </c>
      <c r="BJ157" s="1">
        <v>75.0</v>
      </c>
      <c r="BK157" s="1" t="b">
        <v>0</v>
      </c>
      <c r="BL157" s="1" t="b">
        <v>1</v>
      </c>
      <c r="BM157" s="1">
        <v>13.121</v>
      </c>
      <c r="BN157" s="1">
        <v>14.568</v>
      </c>
      <c r="BO157" s="1" t="b">
        <v>1</v>
      </c>
      <c r="BP157" s="1" t="b">
        <v>1</v>
      </c>
      <c r="BQ157" s="1">
        <v>75.0</v>
      </c>
      <c r="BR157" s="1">
        <v>72.027</v>
      </c>
      <c r="BS157" s="1" t="b">
        <v>0</v>
      </c>
      <c r="BT157" s="1" t="b">
        <v>1</v>
      </c>
      <c r="BU157" s="1" t="s">
        <v>105</v>
      </c>
      <c r="BV157" s="1" t="s">
        <v>105</v>
      </c>
      <c r="BW157" s="1" t="s">
        <v>105</v>
      </c>
      <c r="BX157" s="1" t="s">
        <v>105</v>
      </c>
      <c r="BY157" s="1" t="s">
        <v>105</v>
      </c>
      <c r="BZ157" s="1" t="s">
        <v>157</v>
      </c>
      <c r="CA157" s="1" t="s">
        <v>104</v>
      </c>
      <c r="CB157" s="1" t="s">
        <v>157</v>
      </c>
      <c r="CC157" s="1" t="s">
        <v>104</v>
      </c>
      <c r="CD157" s="1" t="s">
        <v>157</v>
      </c>
      <c r="CE157" s="4"/>
      <c r="CF157" s="4"/>
    </row>
    <row r="158" hidden="1">
      <c r="A158" s="1" t="s">
        <v>82</v>
      </c>
      <c r="B158" s="1" t="s">
        <v>111</v>
      </c>
      <c r="C158" s="1">
        <v>44.0</v>
      </c>
      <c r="D158" s="5" t="s">
        <v>804</v>
      </c>
      <c r="E158" s="1" t="s">
        <v>805</v>
      </c>
      <c r="F158" s="1">
        <v>20.0</v>
      </c>
      <c r="G158" s="1">
        <v>0.0</v>
      </c>
      <c r="H158" s="1" t="s">
        <v>806</v>
      </c>
      <c r="I158" s="4" t="b">
        <f>IFERROR(__xludf.DUMMYFUNCTION("IF(H158="""",,REGEXMATCH(H158,""[א-ת]""))"),FALSE)</f>
        <v>0</v>
      </c>
      <c r="J158" s="4"/>
      <c r="K158" s="4"/>
      <c r="L158" s="1">
        <v>0.0</v>
      </c>
      <c r="M158" s="1">
        <v>11.12</v>
      </c>
      <c r="N158" s="1">
        <v>60.0</v>
      </c>
      <c r="O158" s="1">
        <v>3.0</v>
      </c>
      <c r="P158" s="4"/>
      <c r="Q158" s="4"/>
      <c r="R158" s="1" t="s">
        <v>89</v>
      </c>
      <c r="S158" s="1" t="s">
        <v>805</v>
      </c>
      <c r="T158" s="1" t="s">
        <v>111</v>
      </c>
      <c r="U158" s="1">
        <v>45.0</v>
      </c>
      <c r="V158" s="5" t="s">
        <v>804</v>
      </c>
      <c r="W158" s="1" t="s">
        <v>805</v>
      </c>
      <c r="X158" s="1" t="s">
        <v>807</v>
      </c>
      <c r="Y158" s="4"/>
      <c r="Z158" s="4"/>
      <c r="AA158" s="4" t="b">
        <f>IFERROR(__xludf.DUMMYFUNCTION("IF(X158="""",,REGEXMATCH(X158,""[א-ת]""))"),FALSE)</f>
        <v>0</v>
      </c>
      <c r="AB158" s="1">
        <v>23.28</v>
      </c>
      <c r="AC158" s="1">
        <v>60.0</v>
      </c>
      <c r="AD158" s="1">
        <v>0.529448077680597</v>
      </c>
      <c r="AE158" s="1">
        <v>0.0</v>
      </c>
      <c r="AF158" s="1">
        <v>0.0</v>
      </c>
      <c r="AG158" s="1">
        <v>6.337</v>
      </c>
      <c r="AH158" s="1">
        <v>6.781</v>
      </c>
      <c r="AI158" s="1" t="b">
        <v>0</v>
      </c>
      <c r="AJ158" s="1" t="b">
        <v>0</v>
      </c>
      <c r="AK158" s="1">
        <v>94.182</v>
      </c>
      <c r="AL158" s="1">
        <v>96.508</v>
      </c>
      <c r="AM158" s="1" t="b">
        <v>0</v>
      </c>
      <c r="AN158" s="1" t="b">
        <v>0</v>
      </c>
      <c r="AO158" s="1">
        <v>8.05</v>
      </c>
      <c r="AP158" s="1">
        <v>8.53399999999999</v>
      </c>
      <c r="AQ158" s="1" t="b">
        <v>0</v>
      </c>
      <c r="AR158" s="1" t="b">
        <v>0</v>
      </c>
      <c r="AS158" s="1">
        <v>86.9179999999999</v>
      </c>
      <c r="AT158" s="1">
        <v>87.152</v>
      </c>
      <c r="AU158" s="1" t="b">
        <v>0</v>
      </c>
      <c r="AV158" s="1" t="b">
        <v>0</v>
      </c>
      <c r="AW158" s="1">
        <v>9.61399999999999</v>
      </c>
      <c r="AX158" s="1">
        <v>11.026</v>
      </c>
      <c r="AY158" s="1" t="b">
        <v>0</v>
      </c>
      <c r="AZ158" s="1" t="b">
        <v>0</v>
      </c>
      <c r="BA158" s="1">
        <v>81.25</v>
      </c>
      <c r="BB158" s="1">
        <v>77.78</v>
      </c>
      <c r="BC158" s="1" t="b">
        <v>0</v>
      </c>
      <c r="BD158" s="1" t="b">
        <v>0</v>
      </c>
      <c r="BE158" s="1">
        <v>11.34</v>
      </c>
      <c r="BF158" s="1">
        <v>13.285</v>
      </c>
      <c r="BG158" s="1" t="b">
        <v>1</v>
      </c>
      <c r="BH158" s="1" t="b">
        <v>0</v>
      </c>
      <c r="BI158" s="1">
        <v>77.78</v>
      </c>
      <c r="BJ158" s="1">
        <v>75.0</v>
      </c>
      <c r="BK158" s="1" t="b">
        <v>0</v>
      </c>
      <c r="BL158" s="1" t="b">
        <v>0</v>
      </c>
      <c r="BM158" s="1">
        <v>13.121</v>
      </c>
      <c r="BN158" s="1">
        <v>14.568</v>
      </c>
      <c r="BO158" s="1" t="b">
        <v>1</v>
      </c>
      <c r="BP158" s="1" t="b">
        <v>0</v>
      </c>
      <c r="BQ158" s="1">
        <v>75.0</v>
      </c>
      <c r="BR158" s="1">
        <v>72.027</v>
      </c>
      <c r="BS158" s="1" t="b">
        <v>0</v>
      </c>
      <c r="BT158" s="1" t="b">
        <v>0</v>
      </c>
      <c r="BU158" s="1" t="s">
        <v>105</v>
      </c>
      <c r="BV158" s="1" t="s">
        <v>105</v>
      </c>
      <c r="BW158" s="1" t="s">
        <v>105</v>
      </c>
      <c r="BX158" s="1" t="s">
        <v>105</v>
      </c>
      <c r="BY158" s="1" t="s">
        <v>105</v>
      </c>
      <c r="BZ158" s="1" t="s">
        <v>105</v>
      </c>
      <c r="CA158" s="1" t="s">
        <v>91</v>
      </c>
      <c r="CB158" s="1" t="s">
        <v>105</v>
      </c>
      <c r="CC158" s="1" t="s">
        <v>91</v>
      </c>
      <c r="CD158" s="1" t="s">
        <v>105</v>
      </c>
      <c r="CE158" s="4"/>
      <c r="CF158" s="4"/>
    </row>
    <row r="159" hidden="1">
      <c r="A159" s="1" t="s">
        <v>82</v>
      </c>
      <c r="B159" s="1" t="s">
        <v>333</v>
      </c>
      <c r="C159" s="1">
        <v>29.0</v>
      </c>
      <c r="D159" s="5" t="s">
        <v>808</v>
      </c>
      <c r="E159" s="1" t="s">
        <v>809</v>
      </c>
      <c r="F159" s="1">
        <v>63.0</v>
      </c>
      <c r="G159" s="1">
        <v>0.0</v>
      </c>
      <c r="H159" s="1" t="s">
        <v>810</v>
      </c>
      <c r="I159" s="4" t="b">
        <f>IFERROR(__xludf.DUMMYFUNCTION("IF(H159="""",,REGEXMATCH(H159,""[א-ת]""))"),FALSE)</f>
        <v>0</v>
      </c>
      <c r="J159" s="4"/>
      <c r="K159" s="4"/>
      <c r="L159" s="1">
        <v>-0.0772</v>
      </c>
      <c r="M159" s="1">
        <v>11.13</v>
      </c>
      <c r="N159" s="1">
        <v>69.84</v>
      </c>
      <c r="O159" s="1">
        <v>1.108571429</v>
      </c>
      <c r="P159" s="4"/>
      <c r="Q159" s="4"/>
      <c r="R159" s="1" t="s">
        <v>89</v>
      </c>
      <c r="S159" s="1" t="s">
        <v>809</v>
      </c>
      <c r="T159" s="1" t="s">
        <v>333</v>
      </c>
      <c r="U159" s="1">
        <v>30.0</v>
      </c>
      <c r="V159" s="5" t="s">
        <v>808</v>
      </c>
      <c r="W159" s="1" t="s">
        <v>809</v>
      </c>
      <c r="X159" s="1" t="s">
        <v>811</v>
      </c>
      <c r="Y159" s="4"/>
      <c r="Z159" s="4"/>
      <c r="AA159" s="4" t="b">
        <f>IFERROR(__xludf.DUMMYFUNCTION("IF(X159="""",,REGEXMATCH(X159,""[א-ת]""))"),FALSE)</f>
        <v>0</v>
      </c>
      <c r="AB159" s="1">
        <v>8.26</v>
      </c>
      <c r="AC159" s="1">
        <v>77.78</v>
      </c>
      <c r="AD159" s="1">
        <v>0.681800073498373</v>
      </c>
      <c r="AE159" s="1">
        <v>0.0</v>
      </c>
      <c r="AF159" s="1">
        <v>0.0</v>
      </c>
      <c r="AG159" s="1">
        <v>6.337</v>
      </c>
      <c r="AH159" s="1">
        <v>6.781</v>
      </c>
      <c r="AI159" s="1" t="b">
        <v>0</v>
      </c>
      <c r="AJ159" s="1" t="b">
        <v>0</v>
      </c>
      <c r="AK159" s="1">
        <v>94.182</v>
      </c>
      <c r="AL159" s="1">
        <v>96.508</v>
      </c>
      <c r="AM159" s="1" t="b">
        <v>0</v>
      </c>
      <c r="AN159" s="1" t="b">
        <v>0</v>
      </c>
      <c r="AO159" s="1">
        <v>8.05</v>
      </c>
      <c r="AP159" s="1">
        <v>8.53399999999999</v>
      </c>
      <c r="AQ159" s="1" t="b">
        <v>0</v>
      </c>
      <c r="AR159" s="1" t="b">
        <v>1</v>
      </c>
      <c r="AS159" s="1">
        <v>86.9179999999999</v>
      </c>
      <c r="AT159" s="1">
        <v>87.152</v>
      </c>
      <c r="AU159" s="1" t="b">
        <v>0</v>
      </c>
      <c r="AV159" s="1" t="b">
        <v>0</v>
      </c>
      <c r="AW159" s="1">
        <v>9.61399999999999</v>
      </c>
      <c r="AX159" s="1">
        <v>11.026</v>
      </c>
      <c r="AY159" s="1" t="b">
        <v>0</v>
      </c>
      <c r="AZ159" s="1" t="b">
        <v>1</v>
      </c>
      <c r="BA159" s="1">
        <v>81.25</v>
      </c>
      <c r="BB159" s="1">
        <v>77.78</v>
      </c>
      <c r="BC159" s="1" t="b">
        <v>0</v>
      </c>
      <c r="BD159" s="1" t="b">
        <v>1</v>
      </c>
      <c r="BE159" s="1">
        <v>11.34</v>
      </c>
      <c r="BF159" s="1">
        <v>13.285</v>
      </c>
      <c r="BG159" s="1" t="b">
        <v>1</v>
      </c>
      <c r="BH159" s="1" t="b">
        <v>1</v>
      </c>
      <c r="BI159" s="1">
        <v>77.78</v>
      </c>
      <c r="BJ159" s="1">
        <v>75.0</v>
      </c>
      <c r="BK159" s="1" t="b">
        <v>0</v>
      </c>
      <c r="BL159" s="1" t="b">
        <v>1</v>
      </c>
      <c r="BM159" s="1">
        <v>13.121</v>
      </c>
      <c r="BN159" s="1">
        <v>14.568</v>
      </c>
      <c r="BO159" s="1" t="b">
        <v>1</v>
      </c>
      <c r="BP159" s="1" t="b">
        <v>1</v>
      </c>
      <c r="BQ159" s="1">
        <v>75.0</v>
      </c>
      <c r="BR159" s="1">
        <v>72.027</v>
      </c>
      <c r="BS159" s="1" t="b">
        <v>0</v>
      </c>
      <c r="BT159" s="1" t="b">
        <v>1</v>
      </c>
      <c r="BU159" s="1" t="s">
        <v>105</v>
      </c>
      <c r="BV159" s="1" t="s">
        <v>105</v>
      </c>
      <c r="BW159" s="1" t="s">
        <v>157</v>
      </c>
      <c r="BX159" s="1" t="s">
        <v>105</v>
      </c>
      <c r="BY159" s="1" t="s">
        <v>157</v>
      </c>
      <c r="BZ159" s="1" t="s">
        <v>157</v>
      </c>
      <c r="CA159" s="1" t="s">
        <v>104</v>
      </c>
      <c r="CB159" s="1" t="s">
        <v>157</v>
      </c>
      <c r="CC159" s="1" t="s">
        <v>104</v>
      </c>
      <c r="CD159" s="1" t="s">
        <v>157</v>
      </c>
      <c r="CE159" s="4"/>
      <c r="CF159" s="4"/>
    </row>
    <row r="160" hidden="1">
      <c r="A160" s="1" t="s">
        <v>82</v>
      </c>
      <c r="B160" s="1" t="s">
        <v>139</v>
      </c>
      <c r="C160" s="1">
        <v>23.0</v>
      </c>
      <c r="D160" s="5" t="s">
        <v>812</v>
      </c>
      <c r="E160" s="1" t="s">
        <v>813</v>
      </c>
      <c r="F160" s="1">
        <v>18.0</v>
      </c>
      <c r="G160" s="1">
        <v>0.5994</v>
      </c>
      <c r="H160" s="1" t="s">
        <v>814</v>
      </c>
      <c r="I160" s="4" t="b">
        <f>IFERROR(__xludf.DUMMYFUNCTION("IF(H160="""",,REGEXMATCH(H160,""[א-ת]""))"),FALSE)</f>
        <v>0</v>
      </c>
      <c r="J160" s="4"/>
      <c r="K160" s="4"/>
      <c r="L160" s="1">
        <v>0.0</v>
      </c>
      <c r="M160" s="1">
        <v>11.13</v>
      </c>
      <c r="N160" s="1">
        <v>72.22</v>
      </c>
      <c r="O160" s="1">
        <v>4.012222222</v>
      </c>
      <c r="P160" s="4"/>
      <c r="Q160" s="4"/>
      <c r="R160" s="1" t="s">
        <v>96</v>
      </c>
      <c r="S160" s="1" t="s">
        <v>813</v>
      </c>
      <c r="T160" s="1" t="s">
        <v>139</v>
      </c>
      <c r="U160" s="1">
        <v>24.0</v>
      </c>
      <c r="V160" s="5" t="s">
        <v>812</v>
      </c>
      <c r="W160" s="1" t="s">
        <v>813</v>
      </c>
      <c r="X160" s="1" t="s">
        <v>815</v>
      </c>
      <c r="Y160" s="4"/>
      <c r="Z160" s="4"/>
      <c r="AA160" s="4" t="b">
        <f>IFERROR(__xludf.DUMMYFUNCTION("IF(X160="""",,REGEXMATCH(X160,""[א-ת]""))"),FALSE)</f>
        <v>0</v>
      </c>
      <c r="AB160" s="1">
        <v>30.83</v>
      </c>
      <c r="AC160" s="1">
        <v>44.44</v>
      </c>
      <c r="AD160" s="1">
        <v>0.250105811061898</v>
      </c>
      <c r="AE160" s="1">
        <v>0.0</v>
      </c>
      <c r="AF160" s="1">
        <v>0.5994</v>
      </c>
      <c r="AG160" s="1">
        <v>6.337</v>
      </c>
      <c r="AH160" s="1">
        <v>6.781</v>
      </c>
      <c r="AI160" s="1" t="b">
        <v>0</v>
      </c>
      <c r="AJ160" s="1" t="b">
        <v>0</v>
      </c>
      <c r="AK160" s="1">
        <v>94.182</v>
      </c>
      <c r="AL160" s="1">
        <v>96.508</v>
      </c>
      <c r="AM160" s="1" t="b">
        <v>0</v>
      </c>
      <c r="AN160" s="1" t="b">
        <v>0</v>
      </c>
      <c r="AO160" s="1">
        <v>8.05</v>
      </c>
      <c r="AP160" s="1">
        <v>8.53399999999999</v>
      </c>
      <c r="AQ160" s="1" t="b">
        <v>0</v>
      </c>
      <c r="AR160" s="1" t="b">
        <v>0</v>
      </c>
      <c r="AS160" s="1">
        <v>86.9179999999999</v>
      </c>
      <c r="AT160" s="1">
        <v>87.152</v>
      </c>
      <c r="AU160" s="1" t="b">
        <v>0</v>
      </c>
      <c r="AV160" s="1" t="b">
        <v>0</v>
      </c>
      <c r="AW160" s="1">
        <v>9.61399999999999</v>
      </c>
      <c r="AX160" s="1">
        <v>11.026</v>
      </c>
      <c r="AY160" s="1" t="b">
        <v>0</v>
      </c>
      <c r="AZ160" s="1" t="b">
        <v>0</v>
      </c>
      <c r="BA160" s="1">
        <v>81.25</v>
      </c>
      <c r="BB160" s="1">
        <v>77.78</v>
      </c>
      <c r="BC160" s="1" t="b">
        <v>0</v>
      </c>
      <c r="BD160" s="1" t="b">
        <v>0</v>
      </c>
      <c r="BE160" s="1">
        <v>11.34</v>
      </c>
      <c r="BF160" s="1">
        <v>13.285</v>
      </c>
      <c r="BG160" s="1" t="b">
        <v>1</v>
      </c>
      <c r="BH160" s="1" t="b">
        <v>0</v>
      </c>
      <c r="BI160" s="1">
        <v>77.78</v>
      </c>
      <c r="BJ160" s="1">
        <v>75.0</v>
      </c>
      <c r="BK160" s="1" t="b">
        <v>0</v>
      </c>
      <c r="BL160" s="1" t="b">
        <v>0</v>
      </c>
      <c r="BM160" s="1">
        <v>13.121</v>
      </c>
      <c r="BN160" s="1">
        <v>14.568</v>
      </c>
      <c r="BO160" s="1" t="b">
        <v>1</v>
      </c>
      <c r="BP160" s="1" t="b">
        <v>0</v>
      </c>
      <c r="BQ160" s="1">
        <v>75.0</v>
      </c>
      <c r="BR160" s="1">
        <v>72.027</v>
      </c>
      <c r="BS160" s="1" t="b">
        <v>0</v>
      </c>
      <c r="BT160" s="1" t="b">
        <v>0</v>
      </c>
      <c r="BU160" s="1" t="s">
        <v>105</v>
      </c>
      <c r="BV160" s="1" t="s">
        <v>105</v>
      </c>
      <c r="BW160" s="1" t="s">
        <v>105</v>
      </c>
      <c r="BX160" s="1" t="s">
        <v>105</v>
      </c>
      <c r="BY160" s="1" t="s">
        <v>105</v>
      </c>
      <c r="BZ160" s="1" t="s">
        <v>105</v>
      </c>
      <c r="CA160" s="1" t="s">
        <v>91</v>
      </c>
      <c r="CB160" s="1" t="s">
        <v>105</v>
      </c>
      <c r="CC160" s="1" t="s">
        <v>91</v>
      </c>
      <c r="CD160" s="1" t="s">
        <v>105</v>
      </c>
      <c r="CE160" s="4"/>
      <c r="CF160" s="4"/>
    </row>
    <row r="161" hidden="1">
      <c r="A161" s="1" t="s">
        <v>82</v>
      </c>
      <c r="B161" s="1" t="s">
        <v>176</v>
      </c>
      <c r="C161" s="1">
        <v>7.0</v>
      </c>
      <c r="D161" s="5" t="s">
        <v>816</v>
      </c>
      <c r="E161" s="1" t="s">
        <v>817</v>
      </c>
      <c r="F161" s="1">
        <v>43.0</v>
      </c>
      <c r="G161" s="1">
        <v>0.6124</v>
      </c>
      <c r="H161" s="1" t="s">
        <v>818</v>
      </c>
      <c r="I161" s="4" t="b">
        <f>IFERROR(__xludf.DUMMYFUNCTION("IF(H161="""",,REGEXMATCH(H161,""[א-ת]""))"),FALSE)</f>
        <v>0</v>
      </c>
      <c r="J161" s="4"/>
      <c r="K161" s="4"/>
      <c r="L161" s="1">
        <v>0.8481</v>
      </c>
      <c r="M161" s="1">
        <v>11.21</v>
      </c>
      <c r="N161" s="1">
        <v>104.65</v>
      </c>
      <c r="O161" s="1">
        <v>2.43372093</v>
      </c>
      <c r="P161" s="4"/>
      <c r="Q161" s="4"/>
      <c r="R161" s="1" t="s">
        <v>89</v>
      </c>
      <c r="S161" s="1" t="s">
        <v>817</v>
      </c>
      <c r="T161" s="1" t="s">
        <v>176</v>
      </c>
      <c r="U161" s="1">
        <v>8.0</v>
      </c>
      <c r="V161" s="5" t="s">
        <v>816</v>
      </c>
      <c r="W161" s="1" t="s">
        <v>817</v>
      </c>
      <c r="X161" s="1" t="s">
        <v>819</v>
      </c>
      <c r="Y161" s="4"/>
      <c r="Z161" s="4"/>
      <c r="AA161" s="4" t="b">
        <f>IFERROR(__xludf.DUMMYFUNCTION("IF(X161="""",,REGEXMATCH(X161,""[א-ת]""))"),FALSE)</f>
        <v>0</v>
      </c>
      <c r="AB161" s="1">
        <v>13.81</v>
      </c>
      <c r="AC161" s="1">
        <v>79.07</v>
      </c>
      <c r="AD161" s="1">
        <v>0.378079901469509</v>
      </c>
      <c r="AE161" s="1">
        <v>0.8442</v>
      </c>
      <c r="AF161" s="1">
        <v>0.6124</v>
      </c>
      <c r="AG161" s="1">
        <v>6.337</v>
      </c>
      <c r="AH161" s="1">
        <v>6.781</v>
      </c>
      <c r="AI161" s="1" t="b">
        <v>0</v>
      </c>
      <c r="AJ161" s="1" t="b">
        <v>0</v>
      </c>
      <c r="AK161" s="1">
        <v>94.182</v>
      </c>
      <c r="AL161" s="1">
        <v>96.508</v>
      </c>
      <c r="AM161" s="1" t="b">
        <v>1</v>
      </c>
      <c r="AN161" s="1" t="b">
        <v>0</v>
      </c>
      <c r="AO161" s="1">
        <v>8.05</v>
      </c>
      <c r="AP161" s="1">
        <v>8.53399999999999</v>
      </c>
      <c r="AQ161" s="1" t="b">
        <v>0</v>
      </c>
      <c r="AR161" s="1" t="b">
        <v>0</v>
      </c>
      <c r="AS161" s="1">
        <v>86.9179999999999</v>
      </c>
      <c r="AT161" s="1">
        <v>87.152</v>
      </c>
      <c r="AU161" s="1" t="b">
        <v>1</v>
      </c>
      <c r="AV161" s="1" t="b">
        <v>0</v>
      </c>
      <c r="AW161" s="1">
        <v>9.61399999999999</v>
      </c>
      <c r="AX161" s="1">
        <v>11.026</v>
      </c>
      <c r="AY161" s="1" t="b">
        <v>0</v>
      </c>
      <c r="AZ161" s="1" t="b">
        <v>0</v>
      </c>
      <c r="BA161" s="1">
        <v>81.25</v>
      </c>
      <c r="BB161" s="1">
        <v>77.78</v>
      </c>
      <c r="BC161" s="1" t="b">
        <v>1</v>
      </c>
      <c r="BD161" s="1" t="b">
        <v>1</v>
      </c>
      <c r="BE161" s="1">
        <v>11.34</v>
      </c>
      <c r="BF161" s="1">
        <v>13.285</v>
      </c>
      <c r="BG161" s="1" t="b">
        <v>1</v>
      </c>
      <c r="BH161" s="1" t="b">
        <v>0</v>
      </c>
      <c r="BI161" s="1">
        <v>77.78</v>
      </c>
      <c r="BJ161" s="1">
        <v>75.0</v>
      </c>
      <c r="BK161" s="1" t="b">
        <v>1</v>
      </c>
      <c r="BL161" s="1" t="b">
        <v>1</v>
      </c>
      <c r="BM161" s="1">
        <v>13.121</v>
      </c>
      <c r="BN161" s="1">
        <v>14.568</v>
      </c>
      <c r="BO161" s="1" t="b">
        <v>1</v>
      </c>
      <c r="BP161" s="1" t="b">
        <v>1</v>
      </c>
      <c r="BQ161" s="1">
        <v>75.0</v>
      </c>
      <c r="BR161" s="1">
        <v>72.027</v>
      </c>
      <c r="BS161" s="1" t="b">
        <v>1</v>
      </c>
      <c r="BT161" s="1" t="b">
        <v>1</v>
      </c>
      <c r="BU161" s="1" t="s">
        <v>105</v>
      </c>
      <c r="BV161" s="1" t="s">
        <v>91</v>
      </c>
      <c r="BW161" s="1" t="s">
        <v>105</v>
      </c>
      <c r="BX161" s="1" t="s">
        <v>91</v>
      </c>
      <c r="BY161" s="1" t="s">
        <v>105</v>
      </c>
      <c r="BZ161" s="1" t="s">
        <v>104</v>
      </c>
      <c r="CA161" s="1" t="s">
        <v>91</v>
      </c>
      <c r="CB161" s="1" t="s">
        <v>104</v>
      </c>
      <c r="CC161" s="1" t="s">
        <v>104</v>
      </c>
      <c r="CD161" s="1" t="s">
        <v>104</v>
      </c>
      <c r="CE161" s="4"/>
      <c r="CF161" s="4"/>
    </row>
    <row r="162" hidden="1">
      <c r="A162" s="1" t="s">
        <v>82</v>
      </c>
      <c r="B162" s="1" t="s">
        <v>123</v>
      </c>
      <c r="C162" s="1">
        <v>24.0</v>
      </c>
      <c r="D162" s="5" t="s">
        <v>820</v>
      </c>
      <c r="E162" s="1" t="s">
        <v>821</v>
      </c>
      <c r="F162" s="1">
        <v>26.0</v>
      </c>
      <c r="G162" s="1">
        <v>0.0</v>
      </c>
      <c r="H162" s="1" t="s">
        <v>822</v>
      </c>
      <c r="I162" s="4" t="b">
        <f>IFERROR(__xludf.DUMMYFUNCTION("IF(H162="""",,REGEXMATCH(H162,""[א-ת]""))"),FALSE)</f>
        <v>0</v>
      </c>
      <c r="J162" s="4"/>
      <c r="K162" s="4"/>
      <c r="L162" s="1">
        <v>0.0</v>
      </c>
      <c r="M162" s="1">
        <v>11.29</v>
      </c>
      <c r="N162" s="1">
        <v>80.77</v>
      </c>
      <c r="O162" s="1">
        <v>3.106538462</v>
      </c>
      <c r="P162" s="4"/>
      <c r="Q162" s="4"/>
      <c r="R162" s="1" t="s">
        <v>127</v>
      </c>
      <c r="S162" s="1" t="s">
        <v>821</v>
      </c>
      <c r="T162" s="1" t="s">
        <v>123</v>
      </c>
      <c r="U162" s="1">
        <v>25.0</v>
      </c>
      <c r="V162" s="5" t="s">
        <v>820</v>
      </c>
      <c r="W162" s="1" t="s">
        <v>821</v>
      </c>
      <c r="X162" s="1" t="s">
        <v>823</v>
      </c>
      <c r="Y162" s="4"/>
      <c r="Z162" s="4"/>
      <c r="AA162" s="4" t="b">
        <f>IFERROR(__xludf.DUMMYFUNCTION("IF(X162="""",,REGEXMATCH(X162,""[א-ת]""))"),FALSE)</f>
        <v>0</v>
      </c>
      <c r="AB162" s="1">
        <v>17.27</v>
      </c>
      <c r="AC162" s="1">
        <v>69.23</v>
      </c>
      <c r="AD162" s="1">
        <v>0.554474929829856</v>
      </c>
      <c r="AE162" s="1">
        <v>0.0</v>
      </c>
      <c r="AF162" s="1">
        <v>0.0</v>
      </c>
      <c r="AG162" s="1">
        <v>6.337</v>
      </c>
      <c r="AH162" s="1">
        <v>6.781</v>
      </c>
      <c r="AI162" s="1" t="b">
        <v>0</v>
      </c>
      <c r="AJ162" s="1" t="b">
        <v>0</v>
      </c>
      <c r="AK162" s="1">
        <v>94.182</v>
      </c>
      <c r="AL162" s="1">
        <v>96.508</v>
      </c>
      <c r="AM162" s="1" t="b">
        <v>0</v>
      </c>
      <c r="AN162" s="1" t="b">
        <v>0</v>
      </c>
      <c r="AO162" s="1">
        <v>8.05</v>
      </c>
      <c r="AP162" s="1">
        <v>8.53399999999999</v>
      </c>
      <c r="AQ162" s="1" t="b">
        <v>0</v>
      </c>
      <c r="AR162" s="1" t="b">
        <v>0</v>
      </c>
      <c r="AS162" s="1">
        <v>86.9179999999999</v>
      </c>
      <c r="AT162" s="1">
        <v>87.152</v>
      </c>
      <c r="AU162" s="1" t="b">
        <v>0</v>
      </c>
      <c r="AV162" s="1" t="b">
        <v>0</v>
      </c>
      <c r="AW162" s="1">
        <v>9.61399999999999</v>
      </c>
      <c r="AX162" s="1">
        <v>11.026</v>
      </c>
      <c r="AY162" s="1" t="b">
        <v>0</v>
      </c>
      <c r="AZ162" s="1" t="b">
        <v>0</v>
      </c>
      <c r="BA162" s="1">
        <v>81.25</v>
      </c>
      <c r="BB162" s="1">
        <v>77.78</v>
      </c>
      <c r="BC162" s="1" t="b">
        <v>0</v>
      </c>
      <c r="BD162" s="1" t="b">
        <v>0</v>
      </c>
      <c r="BE162" s="1">
        <v>11.34</v>
      </c>
      <c r="BF162" s="1">
        <v>13.285</v>
      </c>
      <c r="BG162" s="1" t="b">
        <v>1</v>
      </c>
      <c r="BH162" s="1" t="b">
        <v>0</v>
      </c>
      <c r="BI162" s="1">
        <v>77.78</v>
      </c>
      <c r="BJ162" s="1">
        <v>75.0</v>
      </c>
      <c r="BK162" s="1" t="b">
        <v>1</v>
      </c>
      <c r="BL162" s="1" t="b">
        <v>0</v>
      </c>
      <c r="BM162" s="1">
        <v>13.121</v>
      </c>
      <c r="BN162" s="1">
        <v>14.568</v>
      </c>
      <c r="BO162" s="1" t="b">
        <v>1</v>
      </c>
      <c r="BP162" s="1" t="b">
        <v>0</v>
      </c>
      <c r="BQ162" s="1">
        <v>75.0</v>
      </c>
      <c r="BR162" s="1">
        <v>72.027</v>
      </c>
      <c r="BS162" s="1" t="b">
        <v>1</v>
      </c>
      <c r="BT162" s="1" t="b">
        <v>0</v>
      </c>
      <c r="BU162" s="1" t="s">
        <v>105</v>
      </c>
      <c r="BV162" s="1" t="s">
        <v>105</v>
      </c>
      <c r="BW162" s="1" t="s">
        <v>105</v>
      </c>
      <c r="BX162" s="1" t="s">
        <v>105</v>
      </c>
      <c r="BY162" s="1" t="s">
        <v>105</v>
      </c>
      <c r="BZ162" s="1" t="s">
        <v>105</v>
      </c>
      <c r="CA162" s="1" t="s">
        <v>91</v>
      </c>
      <c r="CB162" s="1" t="s">
        <v>91</v>
      </c>
      <c r="CC162" s="1" t="s">
        <v>91</v>
      </c>
      <c r="CD162" s="1" t="s">
        <v>91</v>
      </c>
      <c r="CE162" s="4"/>
      <c r="CF162" s="4"/>
    </row>
    <row r="163" hidden="1">
      <c r="A163" s="1" t="s">
        <v>82</v>
      </c>
      <c r="B163" s="1" t="s">
        <v>123</v>
      </c>
      <c r="C163" s="1">
        <v>40.0</v>
      </c>
      <c r="D163" s="5" t="s">
        <v>824</v>
      </c>
      <c r="E163" s="1" t="s">
        <v>825</v>
      </c>
      <c r="F163" s="1">
        <v>66.0</v>
      </c>
      <c r="G163" s="1">
        <v>-0.926</v>
      </c>
      <c r="H163" s="1" t="s">
        <v>826</v>
      </c>
      <c r="I163" s="4" t="b">
        <f>IFERROR(__xludf.DUMMYFUNCTION("IF(H163="""",,REGEXMATCH(H163,""[א-ת]""))"),FALSE)</f>
        <v>0</v>
      </c>
      <c r="J163" s="4"/>
      <c r="K163" s="4"/>
      <c r="L163" s="1">
        <v>-0.7579</v>
      </c>
      <c r="M163" s="1">
        <v>11.3</v>
      </c>
      <c r="N163" s="1">
        <v>69.7</v>
      </c>
      <c r="O163" s="1">
        <v>1.056060606</v>
      </c>
      <c r="P163" s="4"/>
      <c r="Q163" s="4"/>
      <c r="R163" s="1" t="s">
        <v>127</v>
      </c>
      <c r="S163" s="1" t="s">
        <v>825</v>
      </c>
      <c r="T163" s="1" t="s">
        <v>123</v>
      </c>
      <c r="U163" s="1">
        <v>41.0</v>
      </c>
      <c r="V163" s="5" t="s">
        <v>824</v>
      </c>
      <c r="W163" s="1" t="s">
        <v>825</v>
      </c>
      <c r="X163" s="1" t="s">
        <v>827</v>
      </c>
      <c r="Y163" s="4"/>
      <c r="Z163" s="4"/>
      <c r="AA163" s="4" t="b">
        <f>IFERROR(__xludf.DUMMYFUNCTION("IF(X163="""",,REGEXMATCH(X163,""[א-ת]""))"),TRUE)</f>
        <v>1</v>
      </c>
      <c r="AB163" s="1">
        <v>7.91</v>
      </c>
      <c r="AC163" s="1">
        <v>100.0</v>
      </c>
      <c r="AD163" s="1">
        <v>0.255761856110942</v>
      </c>
      <c r="AE163" s="1">
        <v>-0.6808</v>
      </c>
      <c r="AF163" s="1">
        <v>-0.926</v>
      </c>
      <c r="AG163" s="1">
        <v>6.337</v>
      </c>
      <c r="AH163" s="1">
        <v>6.781</v>
      </c>
      <c r="AI163" s="1" t="b">
        <v>0</v>
      </c>
      <c r="AJ163" s="1" t="b">
        <v>0</v>
      </c>
      <c r="AK163" s="1">
        <v>94.182</v>
      </c>
      <c r="AL163" s="1">
        <v>96.508</v>
      </c>
      <c r="AM163" s="1" t="b">
        <v>0</v>
      </c>
      <c r="AN163" s="1" t="b">
        <v>1</v>
      </c>
      <c r="AO163" s="1">
        <v>8.05</v>
      </c>
      <c r="AP163" s="1">
        <v>8.53399999999999</v>
      </c>
      <c r="AQ163" s="1" t="b">
        <v>0</v>
      </c>
      <c r="AR163" s="1" t="b">
        <v>1</v>
      </c>
      <c r="AS163" s="1">
        <v>86.9179999999999</v>
      </c>
      <c r="AT163" s="1">
        <v>87.152</v>
      </c>
      <c r="AU163" s="1" t="b">
        <v>0</v>
      </c>
      <c r="AV163" s="1" t="b">
        <v>1</v>
      </c>
      <c r="AW163" s="1">
        <v>9.61399999999999</v>
      </c>
      <c r="AX163" s="1">
        <v>11.026</v>
      </c>
      <c r="AY163" s="1" t="b">
        <v>0</v>
      </c>
      <c r="AZ163" s="1" t="b">
        <v>1</v>
      </c>
      <c r="BA163" s="1">
        <v>81.25</v>
      </c>
      <c r="BB163" s="1">
        <v>77.78</v>
      </c>
      <c r="BC163" s="1" t="b">
        <v>0</v>
      </c>
      <c r="BD163" s="1" t="b">
        <v>1</v>
      </c>
      <c r="BE163" s="1">
        <v>11.34</v>
      </c>
      <c r="BF163" s="1">
        <v>13.285</v>
      </c>
      <c r="BG163" s="1" t="b">
        <v>1</v>
      </c>
      <c r="BH163" s="1" t="b">
        <v>1</v>
      </c>
      <c r="BI163" s="1">
        <v>77.78</v>
      </c>
      <c r="BJ163" s="1">
        <v>75.0</v>
      </c>
      <c r="BK163" s="1" t="b">
        <v>0</v>
      </c>
      <c r="BL163" s="1" t="b">
        <v>1</v>
      </c>
      <c r="BM163" s="1">
        <v>13.121</v>
      </c>
      <c r="BN163" s="1">
        <v>14.568</v>
      </c>
      <c r="BO163" s="1" t="b">
        <v>1</v>
      </c>
      <c r="BP163" s="1" t="b">
        <v>1</v>
      </c>
      <c r="BQ163" s="1">
        <v>75.0</v>
      </c>
      <c r="BR163" s="1">
        <v>72.027</v>
      </c>
      <c r="BS163" s="1" t="b">
        <v>0</v>
      </c>
      <c r="BT163" s="1" t="b">
        <v>1</v>
      </c>
      <c r="BU163" s="1" t="s">
        <v>105</v>
      </c>
      <c r="BV163" s="1" t="s">
        <v>157</v>
      </c>
      <c r="BW163" s="1" t="s">
        <v>157</v>
      </c>
      <c r="BX163" s="1" t="s">
        <v>157</v>
      </c>
      <c r="BY163" s="1" t="s">
        <v>157</v>
      </c>
      <c r="BZ163" s="1" t="s">
        <v>157</v>
      </c>
      <c r="CA163" s="1" t="s">
        <v>104</v>
      </c>
      <c r="CB163" s="1" t="s">
        <v>157</v>
      </c>
      <c r="CC163" s="1" t="s">
        <v>104</v>
      </c>
      <c r="CD163" s="1" t="s">
        <v>157</v>
      </c>
      <c r="CE163" s="4"/>
      <c r="CF163" s="4"/>
    </row>
    <row r="164" hidden="1">
      <c r="A164" s="1" t="s">
        <v>82</v>
      </c>
      <c r="B164" s="1" t="s">
        <v>116</v>
      </c>
      <c r="C164" s="1">
        <v>18.0</v>
      </c>
      <c r="D164" s="5" t="s">
        <v>828</v>
      </c>
      <c r="E164" s="1" t="s">
        <v>829</v>
      </c>
      <c r="F164" s="1">
        <v>9.0</v>
      </c>
      <c r="G164" s="1">
        <v>0.0</v>
      </c>
      <c r="H164" s="1" t="s">
        <v>830</v>
      </c>
      <c r="I164" s="4" t="b">
        <f>IFERROR(__xludf.DUMMYFUNCTION("IF(H164="""",,REGEXMATCH(H164,""[א-ת]""))"),FALSE)</f>
        <v>0</v>
      </c>
      <c r="J164" s="4"/>
      <c r="K164" s="4"/>
      <c r="L164" s="1">
        <v>0.0</v>
      </c>
      <c r="M164" s="1">
        <v>11.34</v>
      </c>
      <c r="N164" s="1">
        <v>77.78</v>
      </c>
      <c r="O164" s="1">
        <v>8.642222222</v>
      </c>
      <c r="P164" s="4"/>
      <c r="Q164" s="4"/>
      <c r="R164" s="1" t="s">
        <v>89</v>
      </c>
      <c r="S164" s="1" t="s">
        <v>829</v>
      </c>
      <c r="T164" s="1" t="s">
        <v>116</v>
      </c>
      <c r="U164" s="1">
        <v>19.0</v>
      </c>
      <c r="V164" s="5" t="s">
        <v>828</v>
      </c>
      <c r="W164" s="1" t="s">
        <v>829</v>
      </c>
      <c r="X164" s="1" t="s">
        <v>831</v>
      </c>
      <c r="Y164" s="4"/>
      <c r="Z164" s="4"/>
      <c r="AA164" s="4" t="b">
        <f>IFERROR(__xludf.DUMMYFUNCTION("IF(X164="""",,REGEXMATCH(X164,""[א-ת]""))"),FALSE)</f>
        <v>0</v>
      </c>
      <c r="AB164" s="1">
        <v>14.32</v>
      </c>
      <c r="AC164" s="1">
        <v>55.56</v>
      </c>
      <c r="AD164" s="1">
        <v>0.348847689753005</v>
      </c>
      <c r="AE164" s="1">
        <v>0.0</v>
      </c>
      <c r="AF164" s="1">
        <v>0.0</v>
      </c>
      <c r="AG164" s="1">
        <v>6.337</v>
      </c>
      <c r="AH164" s="1">
        <v>6.781</v>
      </c>
      <c r="AI164" s="1" t="b">
        <v>0</v>
      </c>
      <c r="AJ164" s="1" t="b">
        <v>0</v>
      </c>
      <c r="AK164" s="1">
        <v>94.182</v>
      </c>
      <c r="AL164" s="1">
        <v>96.508</v>
      </c>
      <c r="AM164" s="1" t="b">
        <v>0</v>
      </c>
      <c r="AN164" s="1" t="b">
        <v>0</v>
      </c>
      <c r="AO164" s="1">
        <v>8.05</v>
      </c>
      <c r="AP164" s="1">
        <v>8.53399999999999</v>
      </c>
      <c r="AQ164" s="1" t="b">
        <v>0</v>
      </c>
      <c r="AR164" s="1" t="b">
        <v>0</v>
      </c>
      <c r="AS164" s="1">
        <v>86.9179999999999</v>
      </c>
      <c r="AT164" s="1">
        <v>87.152</v>
      </c>
      <c r="AU164" s="1" t="b">
        <v>0</v>
      </c>
      <c r="AV164" s="1" t="b">
        <v>0</v>
      </c>
      <c r="AW164" s="1">
        <v>9.61399999999999</v>
      </c>
      <c r="AX164" s="1">
        <v>11.026</v>
      </c>
      <c r="AY164" s="1" t="b">
        <v>0</v>
      </c>
      <c r="AZ164" s="1" t="b">
        <v>0</v>
      </c>
      <c r="BA164" s="1">
        <v>81.25</v>
      </c>
      <c r="BB164" s="1">
        <v>77.78</v>
      </c>
      <c r="BC164" s="1" t="b">
        <v>0</v>
      </c>
      <c r="BD164" s="1" t="b">
        <v>0</v>
      </c>
      <c r="BE164" s="1">
        <v>11.34</v>
      </c>
      <c r="BF164" s="1">
        <v>13.285</v>
      </c>
      <c r="BG164" s="1" t="b">
        <v>1</v>
      </c>
      <c r="BH164" s="1" t="b">
        <v>0</v>
      </c>
      <c r="BI164" s="1">
        <v>77.78</v>
      </c>
      <c r="BJ164" s="1">
        <v>75.0</v>
      </c>
      <c r="BK164" s="1" t="b">
        <v>1</v>
      </c>
      <c r="BL164" s="1" t="b">
        <v>0</v>
      </c>
      <c r="BM164" s="1">
        <v>13.121</v>
      </c>
      <c r="BN164" s="1">
        <v>14.568</v>
      </c>
      <c r="BO164" s="1" t="b">
        <v>1</v>
      </c>
      <c r="BP164" s="1" t="b">
        <v>1</v>
      </c>
      <c r="BQ164" s="1">
        <v>75.0</v>
      </c>
      <c r="BR164" s="1">
        <v>72.027</v>
      </c>
      <c r="BS164" s="1" t="b">
        <v>1</v>
      </c>
      <c r="BT164" s="1" t="b">
        <v>0</v>
      </c>
      <c r="BU164" s="1" t="s">
        <v>105</v>
      </c>
      <c r="BV164" s="1" t="s">
        <v>105</v>
      </c>
      <c r="BW164" s="1" t="s">
        <v>105</v>
      </c>
      <c r="BX164" s="1" t="s">
        <v>105</v>
      </c>
      <c r="BY164" s="1" t="s">
        <v>105</v>
      </c>
      <c r="BZ164" s="1" t="s">
        <v>105</v>
      </c>
      <c r="CA164" s="1" t="s">
        <v>91</v>
      </c>
      <c r="CB164" s="1" t="s">
        <v>91</v>
      </c>
      <c r="CC164" s="1" t="s">
        <v>104</v>
      </c>
      <c r="CD164" s="1" t="s">
        <v>91</v>
      </c>
      <c r="CE164" s="4"/>
      <c r="CF164" s="4"/>
    </row>
    <row r="165" hidden="1">
      <c r="A165" s="1" t="s">
        <v>82</v>
      </c>
      <c r="B165" s="1" t="s">
        <v>145</v>
      </c>
      <c r="C165" s="1">
        <v>3.0</v>
      </c>
      <c r="D165" s="5" t="s">
        <v>832</v>
      </c>
      <c r="E165" s="1" t="s">
        <v>833</v>
      </c>
      <c r="F165" s="1">
        <v>57.0</v>
      </c>
      <c r="G165" s="1">
        <v>-0.1779</v>
      </c>
      <c r="H165" s="1" t="s">
        <v>834</v>
      </c>
      <c r="I165" s="4" t="b">
        <f>IFERROR(__xludf.DUMMYFUNCTION("IF(H165="""",,REGEXMATCH(H165,""[א-ת]""))"),FALSE)</f>
        <v>0</v>
      </c>
      <c r="J165" s="4"/>
      <c r="K165" s="4"/>
      <c r="L165" s="1">
        <v>0.0</v>
      </c>
      <c r="M165" s="1">
        <v>11.34</v>
      </c>
      <c r="N165" s="1">
        <v>73.68</v>
      </c>
      <c r="O165" s="1">
        <v>1.292631579</v>
      </c>
      <c r="P165" s="4"/>
      <c r="Q165" s="4"/>
      <c r="R165" s="1" t="s">
        <v>89</v>
      </c>
      <c r="S165" s="1" t="s">
        <v>833</v>
      </c>
      <c r="T165" s="1" t="s">
        <v>145</v>
      </c>
      <c r="U165" s="1">
        <v>4.0</v>
      </c>
      <c r="V165" s="5" t="s">
        <v>832</v>
      </c>
      <c r="W165" s="1" t="s">
        <v>833</v>
      </c>
      <c r="X165" s="1" t="s">
        <v>835</v>
      </c>
      <c r="Y165" s="4"/>
      <c r="Z165" s="4"/>
      <c r="AA165" s="4" t="b">
        <f>IFERROR(__xludf.DUMMYFUNCTION("IF(X165="""",,REGEXMATCH(X165,""[א-ת]""))"),FALSE)</f>
        <v>0</v>
      </c>
      <c r="AB165" s="1">
        <v>13.28</v>
      </c>
      <c r="AC165" s="1">
        <v>70.18</v>
      </c>
      <c r="AD165" s="1">
        <v>0.420365076074669</v>
      </c>
      <c r="AE165" s="1">
        <v>0.0</v>
      </c>
      <c r="AF165" s="1">
        <v>-0.1779</v>
      </c>
      <c r="AG165" s="1">
        <v>6.337</v>
      </c>
      <c r="AH165" s="1">
        <v>6.781</v>
      </c>
      <c r="AI165" s="1" t="b">
        <v>0</v>
      </c>
      <c r="AJ165" s="1" t="b">
        <v>0</v>
      </c>
      <c r="AK165" s="1">
        <v>94.182</v>
      </c>
      <c r="AL165" s="1">
        <v>96.508</v>
      </c>
      <c r="AM165" s="1" t="b">
        <v>0</v>
      </c>
      <c r="AN165" s="1" t="b">
        <v>0</v>
      </c>
      <c r="AO165" s="1">
        <v>8.05</v>
      </c>
      <c r="AP165" s="1">
        <v>8.53399999999999</v>
      </c>
      <c r="AQ165" s="1" t="b">
        <v>0</v>
      </c>
      <c r="AR165" s="1" t="b">
        <v>0</v>
      </c>
      <c r="AS165" s="1">
        <v>86.9179999999999</v>
      </c>
      <c r="AT165" s="1">
        <v>87.152</v>
      </c>
      <c r="AU165" s="1" t="b">
        <v>0</v>
      </c>
      <c r="AV165" s="1" t="b">
        <v>0</v>
      </c>
      <c r="AW165" s="1">
        <v>9.61399999999999</v>
      </c>
      <c r="AX165" s="1">
        <v>11.026</v>
      </c>
      <c r="AY165" s="1" t="b">
        <v>0</v>
      </c>
      <c r="AZ165" s="1" t="b">
        <v>0</v>
      </c>
      <c r="BA165" s="1">
        <v>81.25</v>
      </c>
      <c r="BB165" s="1">
        <v>77.78</v>
      </c>
      <c r="BC165" s="1" t="b">
        <v>0</v>
      </c>
      <c r="BD165" s="1" t="b">
        <v>0</v>
      </c>
      <c r="BE165" s="1">
        <v>11.34</v>
      </c>
      <c r="BF165" s="1">
        <v>13.285</v>
      </c>
      <c r="BG165" s="1" t="b">
        <v>1</v>
      </c>
      <c r="BH165" s="1" t="b">
        <v>1</v>
      </c>
      <c r="BI165" s="1">
        <v>77.78</v>
      </c>
      <c r="BJ165" s="1">
        <v>75.0</v>
      </c>
      <c r="BK165" s="1" t="b">
        <v>0</v>
      </c>
      <c r="BL165" s="1" t="b">
        <v>0</v>
      </c>
      <c r="BM165" s="1">
        <v>13.121</v>
      </c>
      <c r="BN165" s="1">
        <v>14.568</v>
      </c>
      <c r="BO165" s="1" t="b">
        <v>1</v>
      </c>
      <c r="BP165" s="1" t="b">
        <v>1</v>
      </c>
      <c r="BQ165" s="1">
        <v>75.0</v>
      </c>
      <c r="BR165" s="1">
        <v>72.027</v>
      </c>
      <c r="BS165" s="1" t="b">
        <v>0</v>
      </c>
      <c r="BT165" s="1" t="b">
        <v>0</v>
      </c>
      <c r="BU165" s="1" t="s">
        <v>105</v>
      </c>
      <c r="BV165" s="1" t="s">
        <v>105</v>
      </c>
      <c r="BW165" s="1" t="s">
        <v>105</v>
      </c>
      <c r="BX165" s="1" t="s">
        <v>105</v>
      </c>
      <c r="BY165" s="1" t="s">
        <v>105</v>
      </c>
      <c r="BZ165" s="1" t="s">
        <v>105</v>
      </c>
      <c r="CA165" s="1" t="s">
        <v>104</v>
      </c>
      <c r="CB165" s="1" t="s">
        <v>105</v>
      </c>
      <c r="CC165" s="1" t="s">
        <v>104</v>
      </c>
      <c r="CD165" s="1" t="s">
        <v>105</v>
      </c>
      <c r="CE165" s="4"/>
      <c r="CF165" s="4"/>
    </row>
    <row r="166" hidden="1">
      <c r="A166" s="1" t="s">
        <v>82</v>
      </c>
      <c r="B166" s="1" t="s">
        <v>116</v>
      </c>
      <c r="C166" s="1">
        <v>6.0</v>
      </c>
      <c r="D166" s="5" t="s">
        <v>836</v>
      </c>
      <c r="E166" s="1" t="s">
        <v>837</v>
      </c>
      <c r="F166" s="1">
        <v>44.0</v>
      </c>
      <c r="G166" s="1">
        <v>0.5267</v>
      </c>
      <c r="H166" s="1" t="s">
        <v>838</v>
      </c>
      <c r="I166" s="4" t="b">
        <f>IFERROR(__xludf.DUMMYFUNCTION("IF(H166="""",,REGEXMATCH(H166,""[א-ת]""))"),FALSE)</f>
        <v>0</v>
      </c>
      <c r="J166" s="4"/>
      <c r="K166" s="4"/>
      <c r="L166" s="1">
        <v>0.1779</v>
      </c>
      <c r="M166" s="1">
        <v>11.4</v>
      </c>
      <c r="N166" s="1">
        <v>65.91</v>
      </c>
      <c r="O166" s="1">
        <v>1.497954545</v>
      </c>
      <c r="P166" s="4"/>
      <c r="Q166" s="4"/>
      <c r="R166" s="1" t="s">
        <v>89</v>
      </c>
      <c r="S166" s="1" t="s">
        <v>837</v>
      </c>
      <c r="T166" s="1" t="s">
        <v>116</v>
      </c>
      <c r="U166" s="1">
        <v>7.0</v>
      </c>
      <c r="V166" s="5" t="s">
        <v>836</v>
      </c>
      <c r="W166" s="1" t="s">
        <v>837</v>
      </c>
      <c r="X166" s="1" t="s">
        <v>839</v>
      </c>
      <c r="Y166" s="4"/>
      <c r="Z166" s="4"/>
      <c r="AA166" s="4" t="b">
        <f>IFERROR(__xludf.DUMMYFUNCTION("IF(X166="""",,REGEXMATCH(X166,""[א-ת]""))"),FALSE)</f>
        <v>0</v>
      </c>
      <c r="AB166" s="1">
        <v>24.88</v>
      </c>
      <c r="AC166" s="1">
        <v>56.82</v>
      </c>
      <c r="AD166" s="1">
        <v>0.694293253948486</v>
      </c>
      <c r="AE166" s="1">
        <v>0.5267</v>
      </c>
      <c r="AF166" s="1">
        <v>0.5267</v>
      </c>
      <c r="AG166" s="1">
        <v>6.337</v>
      </c>
      <c r="AH166" s="1">
        <v>6.781</v>
      </c>
      <c r="AI166" s="1" t="b">
        <v>0</v>
      </c>
      <c r="AJ166" s="1" t="b">
        <v>0</v>
      </c>
      <c r="AK166" s="1">
        <v>94.182</v>
      </c>
      <c r="AL166" s="1">
        <v>96.508</v>
      </c>
      <c r="AM166" s="1" t="b">
        <v>0</v>
      </c>
      <c r="AN166" s="1" t="b">
        <v>0</v>
      </c>
      <c r="AO166" s="1">
        <v>8.05</v>
      </c>
      <c r="AP166" s="1">
        <v>8.53399999999999</v>
      </c>
      <c r="AQ166" s="1" t="b">
        <v>0</v>
      </c>
      <c r="AR166" s="1" t="b">
        <v>0</v>
      </c>
      <c r="AS166" s="1">
        <v>86.9179999999999</v>
      </c>
      <c r="AT166" s="1">
        <v>87.152</v>
      </c>
      <c r="AU166" s="1" t="b">
        <v>0</v>
      </c>
      <c r="AV166" s="1" t="b">
        <v>0</v>
      </c>
      <c r="AW166" s="1">
        <v>9.61399999999999</v>
      </c>
      <c r="AX166" s="1">
        <v>11.026</v>
      </c>
      <c r="AY166" s="1" t="b">
        <v>0</v>
      </c>
      <c r="AZ166" s="1" t="b">
        <v>0</v>
      </c>
      <c r="BA166" s="1">
        <v>81.25</v>
      </c>
      <c r="BB166" s="1">
        <v>77.78</v>
      </c>
      <c r="BC166" s="1" t="b">
        <v>0</v>
      </c>
      <c r="BD166" s="1" t="b">
        <v>0</v>
      </c>
      <c r="BE166" s="1">
        <v>11.34</v>
      </c>
      <c r="BF166" s="1">
        <v>13.285</v>
      </c>
      <c r="BG166" s="1" t="b">
        <v>0</v>
      </c>
      <c r="BH166" s="1" t="b">
        <v>0</v>
      </c>
      <c r="BI166" s="1">
        <v>77.78</v>
      </c>
      <c r="BJ166" s="1">
        <v>75.0</v>
      </c>
      <c r="BK166" s="1" t="b">
        <v>0</v>
      </c>
      <c r="BL166" s="1" t="b">
        <v>0</v>
      </c>
      <c r="BM166" s="1">
        <v>13.121</v>
      </c>
      <c r="BN166" s="1">
        <v>14.568</v>
      </c>
      <c r="BO166" s="1" t="b">
        <v>1</v>
      </c>
      <c r="BP166" s="1" t="b">
        <v>0</v>
      </c>
      <c r="BQ166" s="1">
        <v>75.0</v>
      </c>
      <c r="BR166" s="1">
        <v>72.027</v>
      </c>
      <c r="BS166" s="1" t="b">
        <v>0</v>
      </c>
      <c r="BT166" s="1" t="b">
        <v>0</v>
      </c>
      <c r="BU166" s="1" t="s">
        <v>105</v>
      </c>
      <c r="BV166" s="1" t="s">
        <v>105</v>
      </c>
      <c r="BW166" s="1" t="s">
        <v>105</v>
      </c>
      <c r="BX166" s="1" t="s">
        <v>105</v>
      </c>
      <c r="BY166" s="1" t="s">
        <v>105</v>
      </c>
      <c r="BZ166" s="1" t="s">
        <v>105</v>
      </c>
      <c r="CA166" s="1" t="s">
        <v>105</v>
      </c>
      <c r="CB166" s="1" t="s">
        <v>105</v>
      </c>
      <c r="CC166" s="1" t="s">
        <v>91</v>
      </c>
      <c r="CD166" s="1" t="s">
        <v>105</v>
      </c>
      <c r="CE166" s="4"/>
      <c r="CF166" s="4"/>
    </row>
    <row r="167" hidden="1">
      <c r="A167" s="1" t="s">
        <v>82</v>
      </c>
      <c r="B167" s="1" t="s">
        <v>111</v>
      </c>
      <c r="C167" s="1">
        <v>17.0</v>
      </c>
      <c r="D167" s="5" t="s">
        <v>840</v>
      </c>
      <c r="E167" s="1" t="s">
        <v>841</v>
      </c>
      <c r="F167" s="1">
        <v>22.0</v>
      </c>
      <c r="G167" s="1">
        <v>0.0</v>
      </c>
      <c r="H167" s="1" t="s">
        <v>842</v>
      </c>
      <c r="I167" s="4" t="b">
        <f>IFERROR(__xludf.DUMMYFUNCTION("IF(H167="""",,REGEXMATCH(H167,""[א-ת]""))"),FALSE)</f>
        <v>0</v>
      </c>
      <c r="J167" s="4"/>
      <c r="K167" s="4"/>
      <c r="L167" s="1">
        <v>0.0</v>
      </c>
      <c r="M167" s="1">
        <v>11.42</v>
      </c>
      <c r="N167" s="1">
        <v>72.73</v>
      </c>
      <c r="O167" s="1">
        <v>3.305909091</v>
      </c>
      <c r="P167" s="4"/>
      <c r="Q167" s="4"/>
      <c r="R167" s="1" t="s">
        <v>89</v>
      </c>
      <c r="S167" s="1" t="s">
        <v>841</v>
      </c>
      <c r="T167" s="1" t="s">
        <v>111</v>
      </c>
      <c r="U167" s="1">
        <v>18.0</v>
      </c>
      <c r="V167" s="5" t="s">
        <v>840</v>
      </c>
      <c r="W167" s="1" t="s">
        <v>841</v>
      </c>
      <c r="X167" s="1" t="s">
        <v>843</v>
      </c>
      <c r="Y167" s="4"/>
      <c r="Z167" s="4"/>
      <c r="AA167" s="4" t="b">
        <f>IFERROR(__xludf.DUMMYFUNCTION("IF(X167="""",,REGEXMATCH(X167,""[א-ת]""))"),FALSE)</f>
        <v>0</v>
      </c>
      <c r="AB167" s="1">
        <v>12.58</v>
      </c>
      <c r="AC167" s="1">
        <v>81.82</v>
      </c>
      <c r="AD167" s="1">
        <v>0.331727929251799</v>
      </c>
      <c r="AE167" s="1">
        <v>0.0</v>
      </c>
      <c r="AF167" s="1">
        <v>0.0</v>
      </c>
      <c r="AG167" s="1">
        <v>6.337</v>
      </c>
      <c r="AH167" s="1">
        <v>6.781</v>
      </c>
      <c r="AI167" s="1" t="b">
        <v>0</v>
      </c>
      <c r="AJ167" s="1" t="b">
        <v>0</v>
      </c>
      <c r="AK167" s="1">
        <v>94.182</v>
      </c>
      <c r="AL167" s="1">
        <v>96.508</v>
      </c>
      <c r="AM167" s="1" t="b">
        <v>0</v>
      </c>
      <c r="AN167" s="1" t="b">
        <v>0</v>
      </c>
      <c r="AO167" s="1">
        <v>8.05</v>
      </c>
      <c r="AP167" s="1">
        <v>8.53399999999999</v>
      </c>
      <c r="AQ167" s="1" t="b">
        <v>0</v>
      </c>
      <c r="AR167" s="1" t="b">
        <v>0</v>
      </c>
      <c r="AS167" s="1">
        <v>86.9179999999999</v>
      </c>
      <c r="AT167" s="1">
        <v>87.152</v>
      </c>
      <c r="AU167" s="1" t="b">
        <v>0</v>
      </c>
      <c r="AV167" s="1" t="b">
        <v>0</v>
      </c>
      <c r="AW167" s="1">
        <v>9.61399999999999</v>
      </c>
      <c r="AX167" s="1">
        <v>11.026</v>
      </c>
      <c r="AY167" s="1" t="b">
        <v>0</v>
      </c>
      <c r="AZ167" s="1" t="b">
        <v>0</v>
      </c>
      <c r="BA167" s="1">
        <v>81.25</v>
      </c>
      <c r="BB167" s="1">
        <v>77.78</v>
      </c>
      <c r="BC167" s="1" t="b">
        <v>0</v>
      </c>
      <c r="BD167" s="1" t="b">
        <v>1</v>
      </c>
      <c r="BE167" s="1">
        <v>11.34</v>
      </c>
      <c r="BF167" s="1">
        <v>13.285</v>
      </c>
      <c r="BG167" s="1" t="b">
        <v>0</v>
      </c>
      <c r="BH167" s="1" t="b">
        <v>1</v>
      </c>
      <c r="BI167" s="1">
        <v>77.78</v>
      </c>
      <c r="BJ167" s="1">
        <v>75.0</v>
      </c>
      <c r="BK167" s="1" t="b">
        <v>0</v>
      </c>
      <c r="BL167" s="1" t="b">
        <v>1</v>
      </c>
      <c r="BM167" s="1">
        <v>13.121</v>
      </c>
      <c r="BN167" s="1">
        <v>14.568</v>
      </c>
      <c r="BO167" s="1" t="b">
        <v>1</v>
      </c>
      <c r="BP167" s="1" t="b">
        <v>1</v>
      </c>
      <c r="BQ167" s="1">
        <v>75.0</v>
      </c>
      <c r="BR167" s="1">
        <v>72.027</v>
      </c>
      <c r="BS167" s="1" t="b">
        <v>0</v>
      </c>
      <c r="BT167" s="1" t="b">
        <v>1</v>
      </c>
      <c r="BU167" s="1" t="s">
        <v>105</v>
      </c>
      <c r="BV167" s="1" t="s">
        <v>105</v>
      </c>
      <c r="BW167" s="1" t="s">
        <v>105</v>
      </c>
      <c r="BX167" s="1" t="s">
        <v>105</v>
      </c>
      <c r="BY167" s="1" t="s">
        <v>105</v>
      </c>
      <c r="BZ167" s="1" t="s">
        <v>157</v>
      </c>
      <c r="CA167" s="1" t="s">
        <v>157</v>
      </c>
      <c r="CB167" s="1" t="s">
        <v>157</v>
      </c>
      <c r="CC167" s="1" t="s">
        <v>104</v>
      </c>
      <c r="CD167" s="1" t="s">
        <v>157</v>
      </c>
      <c r="CE167" s="4"/>
      <c r="CF167" s="4"/>
    </row>
    <row r="168" hidden="1">
      <c r="A168" s="1" t="s">
        <v>82</v>
      </c>
      <c r="B168" s="1" t="s">
        <v>123</v>
      </c>
      <c r="C168" s="1">
        <v>8.0</v>
      </c>
      <c r="D168" s="5" t="s">
        <v>844</v>
      </c>
      <c r="E168" s="1" t="s">
        <v>845</v>
      </c>
      <c r="F168" s="1">
        <v>65.0</v>
      </c>
      <c r="G168" s="1">
        <v>0.8208</v>
      </c>
      <c r="H168" s="1" t="s">
        <v>846</v>
      </c>
      <c r="I168" s="4" t="b">
        <f>IFERROR(__xludf.DUMMYFUNCTION("IF(H168="""",,REGEXMATCH(H168,""[א-ת]""))"),FALSE)</f>
        <v>0</v>
      </c>
      <c r="J168" s="4"/>
      <c r="K168" s="4"/>
      <c r="L168" s="1">
        <v>0.3595</v>
      </c>
      <c r="M168" s="1">
        <v>11.44</v>
      </c>
      <c r="N168" s="1">
        <v>81.54</v>
      </c>
      <c r="O168" s="1">
        <v>1.254461538</v>
      </c>
      <c r="P168" s="4"/>
      <c r="Q168" s="4"/>
      <c r="R168" s="1" t="s">
        <v>127</v>
      </c>
      <c r="S168" s="1" t="s">
        <v>845</v>
      </c>
      <c r="T168" s="1" t="s">
        <v>123</v>
      </c>
      <c r="U168" s="1">
        <v>9.0</v>
      </c>
      <c r="V168" s="5" t="s">
        <v>844</v>
      </c>
      <c r="W168" s="1" t="s">
        <v>845</v>
      </c>
      <c r="X168" s="1" t="s">
        <v>847</v>
      </c>
      <c r="Y168" s="4"/>
      <c r="Z168" s="4"/>
      <c r="AA168" s="4" t="b">
        <f>IFERROR(__xludf.DUMMYFUNCTION("IF(X168="""",,REGEXMATCH(X168,""[א-ת]""))"),FALSE)</f>
        <v>0</v>
      </c>
      <c r="AB168" s="1">
        <v>19.97</v>
      </c>
      <c r="AC168" s="1">
        <v>67.69</v>
      </c>
      <c r="AD168" s="1">
        <v>0.673872213208838</v>
      </c>
      <c r="AE168" s="1">
        <v>0.451</v>
      </c>
      <c r="AF168" s="1">
        <v>0.8208</v>
      </c>
      <c r="AG168" s="1">
        <v>6.337</v>
      </c>
      <c r="AH168" s="1">
        <v>6.781</v>
      </c>
      <c r="AI168" s="1" t="b">
        <v>0</v>
      </c>
      <c r="AJ168" s="1" t="b">
        <v>0</v>
      </c>
      <c r="AK168" s="1">
        <v>94.182</v>
      </c>
      <c r="AL168" s="1">
        <v>96.508</v>
      </c>
      <c r="AM168" s="1" t="b">
        <v>0</v>
      </c>
      <c r="AN168" s="1" t="b">
        <v>0</v>
      </c>
      <c r="AO168" s="1">
        <v>8.05</v>
      </c>
      <c r="AP168" s="1">
        <v>8.53399999999999</v>
      </c>
      <c r="AQ168" s="1" t="b">
        <v>0</v>
      </c>
      <c r="AR168" s="1" t="b">
        <v>0</v>
      </c>
      <c r="AS168" s="1">
        <v>86.9179999999999</v>
      </c>
      <c r="AT168" s="1">
        <v>87.152</v>
      </c>
      <c r="AU168" s="1" t="b">
        <v>0</v>
      </c>
      <c r="AV168" s="1" t="b">
        <v>0</v>
      </c>
      <c r="AW168" s="1">
        <v>9.61399999999999</v>
      </c>
      <c r="AX168" s="1">
        <v>11.026</v>
      </c>
      <c r="AY168" s="1" t="b">
        <v>0</v>
      </c>
      <c r="AZ168" s="1" t="b">
        <v>0</v>
      </c>
      <c r="BA168" s="1">
        <v>81.25</v>
      </c>
      <c r="BB168" s="1">
        <v>77.78</v>
      </c>
      <c r="BC168" s="1" t="b">
        <v>1</v>
      </c>
      <c r="BD168" s="1" t="b">
        <v>0</v>
      </c>
      <c r="BE168" s="1">
        <v>11.34</v>
      </c>
      <c r="BF168" s="1">
        <v>13.285</v>
      </c>
      <c r="BG168" s="1" t="b">
        <v>0</v>
      </c>
      <c r="BH168" s="1" t="b">
        <v>0</v>
      </c>
      <c r="BI168" s="1">
        <v>77.78</v>
      </c>
      <c r="BJ168" s="1">
        <v>75.0</v>
      </c>
      <c r="BK168" s="1" t="b">
        <v>1</v>
      </c>
      <c r="BL168" s="1" t="b">
        <v>0</v>
      </c>
      <c r="BM168" s="1">
        <v>13.121</v>
      </c>
      <c r="BN168" s="1">
        <v>14.568</v>
      </c>
      <c r="BO168" s="1" t="b">
        <v>1</v>
      </c>
      <c r="BP168" s="1" t="b">
        <v>0</v>
      </c>
      <c r="BQ168" s="1">
        <v>75.0</v>
      </c>
      <c r="BR168" s="1">
        <v>72.027</v>
      </c>
      <c r="BS168" s="1" t="b">
        <v>1</v>
      </c>
      <c r="BT168" s="1" t="b">
        <v>0</v>
      </c>
      <c r="BU168" s="1" t="s">
        <v>105</v>
      </c>
      <c r="BV168" s="1" t="s">
        <v>105</v>
      </c>
      <c r="BW168" s="1" t="s">
        <v>105</v>
      </c>
      <c r="BX168" s="1" t="s">
        <v>105</v>
      </c>
      <c r="BY168" s="1" t="s">
        <v>105</v>
      </c>
      <c r="BZ168" s="1" t="s">
        <v>91</v>
      </c>
      <c r="CA168" s="1" t="s">
        <v>105</v>
      </c>
      <c r="CB168" s="1" t="s">
        <v>91</v>
      </c>
      <c r="CC168" s="1" t="s">
        <v>91</v>
      </c>
      <c r="CD168" s="1" t="s">
        <v>91</v>
      </c>
      <c r="CE168" s="4"/>
      <c r="CF168" s="4"/>
    </row>
    <row r="169">
      <c r="A169" s="1" t="s">
        <v>82</v>
      </c>
      <c r="B169" s="1" t="s">
        <v>116</v>
      </c>
      <c r="C169" s="1">
        <v>20.0</v>
      </c>
      <c r="D169" s="5" t="s">
        <v>848</v>
      </c>
      <c r="E169" s="1" t="s">
        <v>849</v>
      </c>
      <c r="F169" s="1">
        <v>30.0</v>
      </c>
      <c r="G169" s="1">
        <v>0.7269</v>
      </c>
      <c r="H169" s="1" t="s">
        <v>850</v>
      </c>
      <c r="I169" s="4" t="b">
        <f>IFERROR(__xludf.DUMMYFUNCTION("IF(H169="""",,REGEXMATCH(H169,""[א-ת]""))"),FALSE)</f>
        <v>0</v>
      </c>
      <c r="J169" s="4"/>
      <c r="K169" s="4"/>
      <c r="L169" s="1">
        <v>0.7269</v>
      </c>
      <c r="M169" s="1">
        <v>11.53</v>
      </c>
      <c r="N169" s="1">
        <v>46.67</v>
      </c>
      <c r="O169" s="1">
        <v>1.555666667</v>
      </c>
      <c r="P169" s="4"/>
      <c r="Q169" s="4"/>
      <c r="R169" s="1" t="s">
        <v>89</v>
      </c>
      <c r="S169" s="1" t="s">
        <v>849</v>
      </c>
      <c r="T169" s="1" t="s">
        <v>116</v>
      </c>
      <c r="U169" s="1">
        <v>21.0</v>
      </c>
      <c r="V169" s="5" t="s">
        <v>848</v>
      </c>
      <c r="W169" s="1" t="s">
        <v>849</v>
      </c>
      <c r="X169" s="5" t="s">
        <v>851</v>
      </c>
      <c r="Y169" s="1" t="s">
        <v>852</v>
      </c>
      <c r="Z169" s="1" t="s">
        <v>853</v>
      </c>
      <c r="AA169" s="4" t="b">
        <f>IFERROR(__xludf.DUMMYFUNCTION("IF(X169="""",,REGEXMATCH(X169,""[א-ת]""))"),TRUE)</f>
        <v>1</v>
      </c>
      <c r="AB169" s="1">
        <v>6.34</v>
      </c>
      <c r="AC169" s="1">
        <v>126.67</v>
      </c>
      <c r="AD169" s="1">
        <v>0.528455873021816</v>
      </c>
      <c r="AE169" s="1">
        <v>0.7269</v>
      </c>
      <c r="AF169" s="1">
        <v>0.7269</v>
      </c>
      <c r="AG169" s="1">
        <v>6.337</v>
      </c>
      <c r="AH169" s="1">
        <v>6.781</v>
      </c>
      <c r="AI169" s="1" t="b">
        <v>0</v>
      </c>
      <c r="AJ169" s="1" t="b">
        <v>1</v>
      </c>
      <c r="AK169" s="1">
        <v>94.182</v>
      </c>
      <c r="AL169" s="1">
        <v>96.508</v>
      </c>
      <c r="AM169" s="1" t="b">
        <v>0</v>
      </c>
      <c r="AN169" s="1" t="b">
        <v>1</v>
      </c>
      <c r="AO169" s="1">
        <v>8.05</v>
      </c>
      <c r="AP169" s="1">
        <v>8.53399999999999</v>
      </c>
      <c r="AQ169" s="1" t="b">
        <v>0</v>
      </c>
      <c r="AR169" s="1" t="b">
        <v>1</v>
      </c>
      <c r="AS169" s="1">
        <v>86.9179999999999</v>
      </c>
      <c r="AT169" s="1">
        <v>87.152</v>
      </c>
      <c r="AU169" s="1" t="b">
        <v>0</v>
      </c>
      <c r="AV169" s="1" t="b">
        <v>1</v>
      </c>
      <c r="AW169" s="1">
        <v>9.61399999999999</v>
      </c>
      <c r="AX169" s="1">
        <v>11.026</v>
      </c>
      <c r="AY169" s="1" t="b">
        <v>0</v>
      </c>
      <c r="AZ169" s="1" t="b">
        <v>1</v>
      </c>
      <c r="BA169" s="1">
        <v>81.25</v>
      </c>
      <c r="BB169" s="1">
        <v>77.78</v>
      </c>
      <c r="BC169" s="1" t="b">
        <v>0</v>
      </c>
      <c r="BD169" s="1" t="b">
        <v>1</v>
      </c>
      <c r="BE169" s="1">
        <v>11.34</v>
      </c>
      <c r="BF169" s="1">
        <v>13.285</v>
      </c>
      <c r="BG169" s="1" t="b">
        <v>0</v>
      </c>
      <c r="BH169" s="1" t="b">
        <v>1</v>
      </c>
      <c r="BI169" s="1">
        <v>77.78</v>
      </c>
      <c r="BJ169" s="1">
        <v>75.0</v>
      </c>
      <c r="BK169" s="1" t="b">
        <v>0</v>
      </c>
      <c r="BL169" s="1" t="b">
        <v>1</v>
      </c>
      <c r="BM169" s="1">
        <v>13.121</v>
      </c>
      <c r="BN169" s="1">
        <v>14.568</v>
      </c>
      <c r="BO169" s="1" t="b">
        <v>1</v>
      </c>
      <c r="BP169" s="1" t="b">
        <v>1</v>
      </c>
      <c r="BQ169" s="1">
        <v>75.0</v>
      </c>
      <c r="BR169" s="1">
        <v>72.027</v>
      </c>
      <c r="BS169" s="1" t="b">
        <v>0</v>
      </c>
      <c r="BT169" s="1" t="b">
        <v>1</v>
      </c>
      <c r="BU169" s="1" t="s">
        <v>157</v>
      </c>
      <c r="BV169" s="1" t="s">
        <v>157</v>
      </c>
      <c r="BW169" s="1" t="s">
        <v>157</v>
      </c>
      <c r="BX169" s="1" t="s">
        <v>157</v>
      </c>
      <c r="BY169" s="1" t="s">
        <v>157</v>
      </c>
      <c r="BZ169" s="1" t="s">
        <v>157</v>
      </c>
      <c r="CA169" s="1" t="s">
        <v>157</v>
      </c>
      <c r="CB169" s="1" t="s">
        <v>157</v>
      </c>
      <c r="CC169" s="1" t="s">
        <v>104</v>
      </c>
      <c r="CD169" s="1" t="s">
        <v>157</v>
      </c>
      <c r="CE169" s="4"/>
      <c r="CF169" s="4"/>
    </row>
    <row r="170" hidden="1">
      <c r="A170" s="1" t="s">
        <v>82</v>
      </c>
      <c r="B170" s="1" t="s">
        <v>111</v>
      </c>
      <c r="C170" s="1">
        <v>19.0</v>
      </c>
      <c r="D170" s="5" t="s">
        <v>854</v>
      </c>
      <c r="E170" s="1" t="s">
        <v>855</v>
      </c>
      <c r="F170" s="1">
        <v>45.0</v>
      </c>
      <c r="G170" s="1">
        <v>0.128</v>
      </c>
      <c r="H170" s="1" t="s">
        <v>856</v>
      </c>
      <c r="I170" s="4" t="b">
        <f>IFERROR(__xludf.DUMMYFUNCTION("IF(H170="""",,REGEXMATCH(H170,""[א-ת]""))"),FALSE)</f>
        <v>0</v>
      </c>
      <c r="J170" s="4"/>
      <c r="K170" s="4"/>
      <c r="L170" s="1">
        <v>-0.6916</v>
      </c>
      <c r="M170" s="1">
        <v>11.53</v>
      </c>
      <c r="N170" s="1">
        <v>77.78</v>
      </c>
      <c r="O170" s="1">
        <v>1.728444444</v>
      </c>
      <c r="P170" s="4"/>
      <c r="Q170" s="4"/>
      <c r="R170" s="1" t="s">
        <v>89</v>
      </c>
      <c r="S170" s="1" t="s">
        <v>855</v>
      </c>
      <c r="T170" s="1" t="s">
        <v>111</v>
      </c>
      <c r="U170" s="1">
        <v>20.0</v>
      </c>
      <c r="V170" s="5" t="s">
        <v>854</v>
      </c>
      <c r="W170" s="1" t="s">
        <v>855</v>
      </c>
      <c r="X170" s="1" t="s">
        <v>857</v>
      </c>
      <c r="Y170" s="4"/>
      <c r="Z170" s="4"/>
      <c r="AA170" s="4" t="b">
        <f>IFERROR(__xludf.DUMMYFUNCTION("IF(X170="""",,REGEXMATCH(X170,""[א-ת]""))"),FALSE)</f>
        <v>0</v>
      </c>
      <c r="AB170" s="1">
        <v>6.82</v>
      </c>
      <c r="AC170" s="1">
        <v>95.56</v>
      </c>
      <c r="AD170" s="1">
        <v>0.48646064998959</v>
      </c>
      <c r="AE170" s="1">
        <v>-0.5661</v>
      </c>
      <c r="AF170" s="1">
        <v>0.128</v>
      </c>
      <c r="AG170" s="1">
        <v>6.337</v>
      </c>
      <c r="AH170" s="1">
        <v>6.781</v>
      </c>
      <c r="AI170" s="1" t="b">
        <v>0</v>
      </c>
      <c r="AJ170" s="1" t="b">
        <v>0</v>
      </c>
      <c r="AK170" s="1">
        <v>94.182</v>
      </c>
      <c r="AL170" s="1">
        <v>96.508</v>
      </c>
      <c r="AM170" s="1" t="b">
        <v>0</v>
      </c>
      <c r="AN170" s="1" t="b">
        <v>0</v>
      </c>
      <c r="AO170" s="1">
        <v>8.05</v>
      </c>
      <c r="AP170" s="1">
        <v>8.53399999999999</v>
      </c>
      <c r="AQ170" s="1" t="b">
        <v>0</v>
      </c>
      <c r="AR170" s="1" t="b">
        <v>1</v>
      </c>
      <c r="AS170" s="1">
        <v>86.9179999999999</v>
      </c>
      <c r="AT170" s="1">
        <v>87.152</v>
      </c>
      <c r="AU170" s="1" t="b">
        <v>0</v>
      </c>
      <c r="AV170" s="1" t="b">
        <v>1</v>
      </c>
      <c r="AW170" s="1">
        <v>9.61399999999999</v>
      </c>
      <c r="AX170" s="1">
        <v>11.026</v>
      </c>
      <c r="AY170" s="1" t="b">
        <v>0</v>
      </c>
      <c r="AZ170" s="1" t="b">
        <v>1</v>
      </c>
      <c r="BA170" s="1">
        <v>81.25</v>
      </c>
      <c r="BB170" s="1">
        <v>77.78</v>
      </c>
      <c r="BC170" s="1" t="b">
        <v>0</v>
      </c>
      <c r="BD170" s="1" t="b">
        <v>1</v>
      </c>
      <c r="BE170" s="1">
        <v>11.34</v>
      </c>
      <c r="BF170" s="1">
        <v>13.285</v>
      </c>
      <c r="BG170" s="1" t="b">
        <v>0</v>
      </c>
      <c r="BH170" s="1" t="b">
        <v>1</v>
      </c>
      <c r="BI170" s="1">
        <v>77.78</v>
      </c>
      <c r="BJ170" s="1">
        <v>75.0</v>
      </c>
      <c r="BK170" s="1" t="b">
        <v>1</v>
      </c>
      <c r="BL170" s="1" t="b">
        <v>1</v>
      </c>
      <c r="BM170" s="1">
        <v>13.121</v>
      </c>
      <c r="BN170" s="1">
        <v>14.568</v>
      </c>
      <c r="BO170" s="1" t="b">
        <v>1</v>
      </c>
      <c r="BP170" s="1" t="b">
        <v>1</v>
      </c>
      <c r="BQ170" s="1">
        <v>75.0</v>
      </c>
      <c r="BR170" s="1">
        <v>72.027</v>
      </c>
      <c r="BS170" s="1" t="b">
        <v>1</v>
      </c>
      <c r="BT170" s="1" t="b">
        <v>1</v>
      </c>
      <c r="BU170" s="1" t="s">
        <v>105</v>
      </c>
      <c r="BV170" s="1" t="s">
        <v>105</v>
      </c>
      <c r="BW170" s="1" t="s">
        <v>157</v>
      </c>
      <c r="BX170" s="1" t="s">
        <v>157</v>
      </c>
      <c r="BY170" s="1" t="s">
        <v>157</v>
      </c>
      <c r="BZ170" s="1" t="s">
        <v>157</v>
      </c>
      <c r="CA170" s="1" t="s">
        <v>157</v>
      </c>
      <c r="CB170" s="1" t="s">
        <v>104</v>
      </c>
      <c r="CC170" s="1" t="s">
        <v>104</v>
      </c>
      <c r="CD170" s="1" t="s">
        <v>104</v>
      </c>
      <c r="CE170" s="4"/>
      <c r="CF170" s="4"/>
    </row>
    <row r="171" hidden="1">
      <c r="A171" s="1" t="s">
        <v>82</v>
      </c>
      <c r="B171" s="1" t="s">
        <v>145</v>
      </c>
      <c r="C171" s="1">
        <v>32.0</v>
      </c>
      <c r="D171" s="5" t="s">
        <v>858</v>
      </c>
      <c r="E171" s="1" t="s">
        <v>859</v>
      </c>
      <c r="F171" s="1">
        <v>16.0</v>
      </c>
      <c r="G171" s="1">
        <v>0.0</v>
      </c>
      <c r="H171" s="1" t="s">
        <v>860</v>
      </c>
      <c r="I171" s="4" t="b">
        <f>IFERROR(__xludf.DUMMYFUNCTION("IF(H171="""",,REGEXMATCH(H171,""[א-ת]""))"),FALSE)</f>
        <v>0</v>
      </c>
      <c r="J171" s="4"/>
      <c r="K171" s="4"/>
      <c r="L171" s="1">
        <v>0.6124</v>
      </c>
      <c r="M171" s="1">
        <v>11.64</v>
      </c>
      <c r="N171" s="1">
        <v>68.75</v>
      </c>
      <c r="O171" s="1">
        <v>4.296875</v>
      </c>
      <c r="P171" s="4"/>
      <c r="Q171" s="4"/>
      <c r="R171" s="1" t="s">
        <v>89</v>
      </c>
      <c r="S171" s="1" t="s">
        <v>859</v>
      </c>
      <c r="T171" s="1" t="s">
        <v>145</v>
      </c>
      <c r="U171" s="1">
        <v>33.0</v>
      </c>
      <c r="V171" s="5" t="s">
        <v>858</v>
      </c>
      <c r="W171" s="1" t="s">
        <v>859</v>
      </c>
      <c r="X171" s="1" t="s">
        <v>861</v>
      </c>
      <c r="Y171" s="4"/>
      <c r="Z171" s="4"/>
      <c r="AA171" s="4" t="b">
        <f>IFERROR(__xludf.DUMMYFUNCTION("IF(X171="""",,REGEXMATCH(X171,""[א-ת]""))"),FALSE)</f>
        <v>0</v>
      </c>
      <c r="AB171" s="1">
        <v>21.63</v>
      </c>
      <c r="AC171" s="1">
        <v>68.75</v>
      </c>
      <c r="AD171" s="1">
        <v>0.15830681543937</v>
      </c>
      <c r="AE171" s="1">
        <v>0.6124</v>
      </c>
      <c r="AF171" s="1">
        <v>0.0</v>
      </c>
      <c r="AG171" s="1">
        <v>6.337</v>
      </c>
      <c r="AH171" s="1">
        <v>6.781</v>
      </c>
      <c r="AI171" s="1" t="b">
        <v>0</v>
      </c>
      <c r="AJ171" s="1" t="b">
        <v>0</v>
      </c>
      <c r="AK171" s="1">
        <v>94.182</v>
      </c>
      <c r="AL171" s="1">
        <v>96.508</v>
      </c>
      <c r="AM171" s="1" t="b">
        <v>0</v>
      </c>
      <c r="AN171" s="1" t="b">
        <v>0</v>
      </c>
      <c r="AO171" s="1">
        <v>8.05</v>
      </c>
      <c r="AP171" s="1">
        <v>8.53399999999999</v>
      </c>
      <c r="AQ171" s="1" t="b">
        <v>0</v>
      </c>
      <c r="AR171" s="1" t="b">
        <v>0</v>
      </c>
      <c r="AS171" s="1">
        <v>86.9179999999999</v>
      </c>
      <c r="AT171" s="1">
        <v>87.152</v>
      </c>
      <c r="AU171" s="1" t="b">
        <v>0</v>
      </c>
      <c r="AV171" s="1" t="b">
        <v>0</v>
      </c>
      <c r="AW171" s="1">
        <v>9.61399999999999</v>
      </c>
      <c r="AX171" s="1">
        <v>11.026</v>
      </c>
      <c r="AY171" s="1" t="b">
        <v>0</v>
      </c>
      <c r="AZ171" s="1" t="b">
        <v>0</v>
      </c>
      <c r="BA171" s="1">
        <v>81.25</v>
      </c>
      <c r="BB171" s="1">
        <v>77.78</v>
      </c>
      <c r="BC171" s="1" t="b">
        <v>0</v>
      </c>
      <c r="BD171" s="1" t="b">
        <v>0</v>
      </c>
      <c r="BE171" s="1">
        <v>11.34</v>
      </c>
      <c r="BF171" s="1">
        <v>13.285</v>
      </c>
      <c r="BG171" s="1" t="b">
        <v>0</v>
      </c>
      <c r="BH171" s="1" t="b">
        <v>0</v>
      </c>
      <c r="BI171" s="1">
        <v>77.78</v>
      </c>
      <c r="BJ171" s="1">
        <v>75.0</v>
      </c>
      <c r="BK171" s="1" t="b">
        <v>0</v>
      </c>
      <c r="BL171" s="1" t="b">
        <v>0</v>
      </c>
      <c r="BM171" s="1">
        <v>13.121</v>
      </c>
      <c r="BN171" s="1">
        <v>14.568</v>
      </c>
      <c r="BO171" s="1" t="b">
        <v>1</v>
      </c>
      <c r="BP171" s="1" t="b">
        <v>0</v>
      </c>
      <c r="BQ171" s="1">
        <v>75.0</v>
      </c>
      <c r="BR171" s="1">
        <v>72.027</v>
      </c>
      <c r="BS171" s="1" t="b">
        <v>0</v>
      </c>
      <c r="BT171" s="1" t="b">
        <v>0</v>
      </c>
      <c r="BU171" s="1" t="s">
        <v>105</v>
      </c>
      <c r="BV171" s="1" t="s">
        <v>105</v>
      </c>
      <c r="BW171" s="1" t="s">
        <v>105</v>
      </c>
      <c r="BX171" s="1" t="s">
        <v>105</v>
      </c>
      <c r="BY171" s="1" t="s">
        <v>105</v>
      </c>
      <c r="BZ171" s="1" t="s">
        <v>105</v>
      </c>
      <c r="CA171" s="1" t="s">
        <v>105</v>
      </c>
      <c r="CB171" s="1" t="s">
        <v>105</v>
      </c>
      <c r="CC171" s="1" t="s">
        <v>91</v>
      </c>
      <c r="CD171" s="1" t="s">
        <v>105</v>
      </c>
      <c r="CE171" s="4"/>
      <c r="CF171" s="4"/>
    </row>
    <row r="172" hidden="1">
      <c r="A172" s="1" t="s">
        <v>82</v>
      </c>
      <c r="B172" s="1" t="s">
        <v>111</v>
      </c>
      <c r="C172" s="1">
        <v>52.0</v>
      </c>
      <c r="D172" s="5" t="s">
        <v>862</v>
      </c>
      <c r="E172" s="1" t="s">
        <v>863</v>
      </c>
      <c r="F172" s="1">
        <v>31.0</v>
      </c>
      <c r="G172" s="1">
        <v>0.5806</v>
      </c>
      <c r="H172" s="1" t="s">
        <v>864</v>
      </c>
      <c r="I172" s="4" t="b">
        <f>IFERROR(__xludf.DUMMYFUNCTION("IF(H172="""",,REGEXMATCH(H172,""[א-ת]""))"),FALSE)</f>
        <v>0</v>
      </c>
      <c r="J172" s="4"/>
      <c r="K172" s="4"/>
      <c r="L172" s="1">
        <v>0.8184</v>
      </c>
      <c r="M172" s="1">
        <v>11.69</v>
      </c>
      <c r="N172" s="1">
        <v>132.26</v>
      </c>
      <c r="O172" s="1">
        <v>4.266451613</v>
      </c>
      <c r="P172" s="4"/>
      <c r="Q172" s="4"/>
      <c r="R172" s="1" t="s">
        <v>89</v>
      </c>
      <c r="S172" s="1" t="s">
        <v>863</v>
      </c>
      <c r="T172" s="1" t="s">
        <v>111</v>
      </c>
      <c r="U172" s="1">
        <v>53.0</v>
      </c>
      <c r="V172" s="5" t="s">
        <v>862</v>
      </c>
      <c r="W172" s="1" t="s">
        <v>863</v>
      </c>
      <c r="X172" s="1" t="s">
        <v>865</v>
      </c>
      <c r="Y172" s="4"/>
      <c r="Z172" s="4"/>
      <c r="AA172" s="4" t="b">
        <f>IFERROR(__xludf.DUMMYFUNCTION("IF(X172="""",,REGEXMATCH(X172,""[א-ת]""))"),TRUE)</f>
        <v>1</v>
      </c>
      <c r="AB172" s="1">
        <v>10.9</v>
      </c>
      <c r="AC172" s="1">
        <v>67.74</v>
      </c>
      <c r="AD172" s="1">
        <v>0.52090224186764</v>
      </c>
      <c r="AE172" s="1">
        <v>-0.2714</v>
      </c>
      <c r="AF172" s="1">
        <v>0.5806</v>
      </c>
      <c r="AG172" s="1">
        <v>6.337</v>
      </c>
      <c r="AH172" s="1">
        <v>6.781</v>
      </c>
      <c r="AI172" s="1" t="b">
        <v>0</v>
      </c>
      <c r="AJ172" s="1" t="b">
        <v>0</v>
      </c>
      <c r="AK172" s="1">
        <v>94.182</v>
      </c>
      <c r="AL172" s="1">
        <v>96.508</v>
      </c>
      <c r="AM172" s="1" t="b">
        <v>1</v>
      </c>
      <c r="AN172" s="1" t="b">
        <v>0</v>
      </c>
      <c r="AO172" s="1">
        <v>8.05</v>
      </c>
      <c r="AP172" s="1">
        <v>8.53399999999999</v>
      </c>
      <c r="AQ172" s="1" t="b">
        <v>0</v>
      </c>
      <c r="AR172" s="1" t="b">
        <v>0</v>
      </c>
      <c r="AS172" s="1">
        <v>86.9179999999999</v>
      </c>
      <c r="AT172" s="1">
        <v>87.152</v>
      </c>
      <c r="AU172" s="1" t="b">
        <v>1</v>
      </c>
      <c r="AV172" s="1" t="b">
        <v>0</v>
      </c>
      <c r="AW172" s="1">
        <v>9.61399999999999</v>
      </c>
      <c r="AX172" s="1">
        <v>11.026</v>
      </c>
      <c r="AY172" s="1" t="b">
        <v>0</v>
      </c>
      <c r="AZ172" s="1" t="b">
        <v>1</v>
      </c>
      <c r="BA172" s="1">
        <v>81.25</v>
      </c>
      <c r="BB172" s="1">
        <v>77.78</v>
      </c>
      <c r="BC172" s="1" t="b">
        <v>1</v>
      </c>
      <c r="BD172" s="1" t="b">
        <v>0</v>
      </c>
      <c r="BE172" s="1">
        <v>11.34</v>
      </c>
      <c r="BF172" s="1">
        <v>13.285</v>
      </c>
      <c r="BG172" s="1" t="b">
        <v>0</v>
      </c>
      <c r="BH172" s="1" t="b">
        <v>1</v>
      </c>
      <c r="BI172" s="1">
        <v>77.78</v>
      </c>
      <c r="BJ172" s="1">
        <v>75.0</v>
      </c>
      <c r="BK172" s="1" t="b">
        <v>1</v>
      </c>
      <c r="BL172" s="1" t="b">
        <v>0</v>
      </c>
      <c r="BM172" s="1">
        <v>13.121</v>
      </c>
      <c r="BN172" s="1">
        <v>14.568</v>
      </c>
      <c r="BO172" s="1" t="b">
        <v>1</v>
      </c>
      <c r="BP172" s="1" t="b">
        <v>1</v>
      </c>
      <c r="BQ172" s="1">
        <v>75.0</v>
      </c>
      <c r="BR172" s="1">
        <v>72.027</v>
      </c>
      <c r="BS172" s="1" t="b">
        <v>1</v>
      </c>
      <c r="BT172" s="1" t="b">
        <v>0</v>
      </c>
      <c r="BU172" s="1" t="s">
        <v>105</v>
      </c>
      <c r="BV172" s="1" t="s">
        <v>91</v>
      </c>
      <c r="BW172" s="1" t="s">
        <v>105</v>
      </c>
      <c r="BX172" s="1" t="s">
        <v>91</v>
      </c>
      <c r="BY172" s="1" t="s">
        <v>157</v>
      </c>
      <c r="BZ172" s="1" t="s">
        <v>91</v>
      </c>
      <c r="CA172" s="1" t="s">
        <v>157</v>
      </c>
      <c r="CB172" s="1" t="s">
        <v>91</v>
      </c>
      <c r="CC172" s="1" t="s">
        <v>104</v>
      </c>
      <c r="CD172" s="1" t="s">
        <v>91</v>
      </c>
      <c r="CE172" s="4"/>
      <c r="CF172" s="4"/>
    </row>
    <row r="173">
      <c r="A173" s="1" t="s">
        <v>82</v>
      </c>
      <c r="B173" s="1" t="s">
        <v>92</v>
      </c>
      <c r="C173" s="1">
        <v>18.0</v>
      </c>
      <c r="D173" s="5" t="s">
        <v>866</v>
      </c>
      <c r="E173" s="1" t="s">
        <v>867</v>
      </c>
      <c r="F173" s="1">
        <v>57.0</v>
      </c>
      <c r="G173" s="1">
        <v>-0.3527</v>
      </c>
      <c r="H173" s="1" t="s">
        <v>868</v>
      </c>
      <c r="I173" s="4" t="b">
        <f>IFERROR(__xludf.DUMMYFUNCTION("IF(H173="""",,REGEXMATCH(H173,""[א-ת]""))"),FALSE)</f>
        <v>0</v>
      </c>
      <c r="J173" s="4"/>
      <c r="K173" s="4"/>
      <c r="L173" s="1">
        <v>0.0</v>
      </c>
      <c r="M173" s="1">
        <v>11.82</v>
      </c>
      <c r="N173" s="1">
        <v>77.19</v>
      </c>
      <c r="O173" s="1">
        <v>1.354210526</v>
      </c>
      <c r="P173" s="4"/>
      <c r="Q173" s="4"/>
      <c r="R173" s="1" t="s">
        <v>96</v>
      </c>
      <c r="S173" s="1" t="s">
        <v>867</v>
      </c>
      <c r="T173" s="1" t="s">
        <v>92</v>
      </c>
      <c r="U173" s="1">
        <v>19.0</v>
      </c>
      <c r="V173" s="5" t="s">
        <v>866</v>
      </c>
      <c r="W173" s="1" t="s">
        <v>867</v>
      </c>
      <c r="X173" s="1" t="s">
        <v>869</v>
      </c>
      <c r="Y173" s="1" t="s">
        <v>870</v>
      </c>
      <c r="Z173" s="1" t="s">
        <v>871</v>
      </c>
      <c r="AA173" s="4" t="b">
        <f>IFERROR(__xludf.DUMMYFUNCTION("IF(X173="""",,REGEXMATCH(X173,""[א-ת]""))"),FALSE)</f>
        <v>0</v>
      </c>
      <c r="AB173" s="1">
        <v>1.48</v>
      </c>
      <c r="AC173" s="1">
        <v>96.49</v>
      </c>
      <c r="AD173" s="1">
        <v>0.0533024329447092</v>
      </c>
      <c r="AE173" s="1">
        <v>0.0</v>
      </c>
      <c r="AF173" s="1">
        <v>-0.3527</v>
      </c>
      <c r="AG173" s="1">
        <v>6.337</v>
      </c>
      <c r="AH173" s="1">
        <v>6.781</v>
      </c>
      <c r="AI173" s="1" t="b">
        <v>0</v>
      </c>
      <c r="AJ173" s="1" t="b">
        <v>1</v>
      </c>
      <c r="AK173" s="1">
        <v>94.182</v>
      </c>
      <c r="AL173" s="1">
        <v>96.508</v>
      </c>
      <c r="AM173" s="1" t="b">
        <v>0</v>
      </c>
      <c r="AN173" s="1" t="b">
        <v>0</v>
      </c>
      <c r="AO173" s="1">
        <v>8.05</v>
      </c>
      <c r="AP173" s="1">
        <v>8.53399999999999</v>
      </c>
      <c r="AQ173" s="1" t="b">
        <v>0</v>
      </c>
      <c r="AR173" s="1" t="b">
        <v>1</v>
      </c>
      <c r="AS173" s="1">
        <v>86.9179999999999</v>
      </c>
      <c r="AT173" s="1">
        <v>87.152</v>
      </c>
      <c r="AU173" s="1" t="b">
        <v>0</v>
      </c>
      <c r="AV173" s="1" t="b">
        <v>1</v>
      </c>
      <c r="AW173" s="1">
        <v>9.61399999999999</v>
      </c>
      <c r="AX173" s="1">
        <v>11.026</v>
      </c>
      <c r="AY173" s="1" t="b">
        <v>0</v>
      </c>
      <c r="AZ173" s="1" t="b">
        <v>1</v>
      </c>
      <c r="BA173" s="1">
        <v>81.25</v>
      </c>
      <c r="BB173" s="1">
        <v>77.78</v>
      </c>
      <c r="BC173" s="1" t="b">
        <v>0</v>
      </c>
      <c r="BD173" s="1" t="b">
        <v>1</v>
      </c>
      <c r="BE173" s="1">
        <v>11.34</v>
      </c>
      <c r="BF173" s="1">
        <v>13.285</v>
      </c>
      <c r="BG173" s="1" t="b">
        <v>0</v>
      </c>
      <c r="BH173" s="1" t="b">
        <v>1</v>
      </c>
      <c r="BI173" s="1">
        <v>77.78</v>
      </c>
      <c r="BJ173" s="1">
        <v>75.0</v>
      </c>
      <c r="BK173" s="1" t="b">
        <v>0</v>
      </c>
      <c r="BL173" s="1" t="b">
        <v>1</v>
      </c>
      <c r="BM173" s="1">
        <v>13.121</v>
      </c>
      <c r="BN173" s="1">
        <v>14.568</v>
      </c>
      <c r="BO173" s="1" t="b">
        <v>1</v>
      </c>
      <c r="BP173" s="1" t="b">
        <v>1</v>
      </c>
      <c r="BQ173" s="1">
        <v>75.0</v>
      </c>
      <c r="BR173" s="1">
        <v>72.027</v>
      </c>
      <c r="BS173" s="1" t="b">
        <v>1</v>
      </c>
      <c r="BT173" s="1" t="b">
        <v>1</v>
      </c>
      <c r="BU173" s="1" t="s">
        <v>157</v>
      </c>
      <c r="BV173" s="1" t="s">
        <v>105</v>
      </c>
      <c r="BW173" s="1" t="s">
        <v>157</v>
      </c>
      <c r="BX173" s="1" t="s">
        <v>157</v>
      </c>
      <c r="BY173" s="1" t="s">
        <v>157</v>
      </c>
      <c r="BZ173" s="1" t="s">
        <v>157</v>
      </c>
      <c r="CA173" s="1" t="s">
        <v>157</v>
      </c>
      <c r="CB173" s="1" t="s">
        <v>157</v>
      </c>
      <c r="CC173" s="1" t="s">
        <v>104</v>
      </c>
      <c r="CD173" s="1" t="s">
        <v>104</v>
      </c>
      <c r="CE173" s="4"/>
      <c r="CF173" s="4"/>
    </row>
    <row r="174" hidden="1">
      <c r="A174" s="1" t="s">
        <v>82</v>
      </c>
      <c r="B174" s="1" t="s">
        <v>83</v>
      </c>
      <c r="C174" s="1">
        <v>18.0</v>
      </c>
      <c r="D174" s="5" t="s">
        <v>872</v>
      </c>
      <c r="E174" s="1" t="s">
        <v>873</v>
      </c>
      <c r="F174" s="1">
        <v>47.0</v>
      </c>
      <c r="G174" s="1">
        <v>0.0129</v>
      </c>
      <c r="H174" s="1" t="s">
        <v>874</v>
      </c>
      <c r="I174" s="4" t="b">
        <f>IFERROR(__xludf.DUMMYFUNCTION("IF(H174="""",,REGEXMATCH(H174,""[א-ת]""))"),FALSE)</f>
        <v>0</v>
      </c>
      <c r="J174" s="4"/>
      <c r="K174" s="4"/>
      <c r="L174" s="1">
        <v>0.264</v>
      </c>
      <c r="M174" s="1">
        <v>11.9</v>
      </c>
      <c r="N174" s="1">
        <v>114.89</v>
      </c>
      <c r="O174" s="1">
        <v>2.444468085</v>
      </c>
      <c r="P174" s="4"/>
      <c r="Q174" s="4"/>
      <c r="R174" s="1" t="s">
        <v>89</v>
      </c>
      <c r="S174" s="1" t="s">
        <v>873</v>
      </c>
      <c r="T174" s="1" t="s">
        <v>83</v>
      </c>
      <c r="U174" s="1">
        <v>19.0</v>
      </c>
      <c r="V174" s="5" t="s">
        <v>872</v>
      </c>
      <c r="W174" s="1" t="s">
        <v>873</v>
      </c>
      <c r="X174" s="1" t="s">
        <v>875</v>
      </c>
      <c r="Y174" s="4"/>
      <c r="Z174" s="4"/>
      <c r="AA174" s="4" t="b">
        <f>IFERROR(__xludf.DUMMYFUNCTION("IF(X174="""",,REGEXMATCH(X174,""[א-ת]""))"),FALSE)</f>
        <v>0</v>
      </c>
      <c r="AB174" s="1">
        <v>19.79</v>
      </c>
      <c r="AC174" s="1">
        <v>61.7</v>
      </c>
      <c r="AD174" s="1">
        <v>0.767193190679883</v>
      </c>
      <c r="AE174" s="1">
        <v>-0.168</v>
      </c>
      <c r="AF174" s="1">
        <v>0.0129</v>
      </c>
      <c r="AG174" s="1">
        <v>6.337</v>
      </c>
      <c r="AH174" s="1">
        <v>6.781</v>
      </c>
      <c r="AI174" s="1" t="b">
        <v>0</v>
      </c>
      <c r="AJ174" s="1" t="b">
        <v>0</v>
      </c>
      <c r="AK174" s="1">
        <v>94.182</v>
      </c>
      <c r="AL174" s="1">
        <v>96.508</v>
      </c>
      <c r="AM174" s="1" t="b">
        <v>1</v>
      </c>
      <c r="AN174" s="1" t="b">
        <v>0</v>
      </c>
      <c r="AO174" s="1">
        <v>8.05</v>
      </c>
      <c r="AP174" s="1">
        <v>8.53399999999999</v>
      </c>
      <c r="AQ174" s="1" t="b">
        <v>0</v>
      </c>
      <c r="AR174" s="1" t="b">
        <v>0</v>
      </c>
      <c r="AS174" s="1">
        <v>86.9179999999999</v>
      </c>
      <c r="AT174" s="1">
        <v>87.152</v>
      </c>
      <c r="AU174" s="1" t="b">
        <v>1</v>
      </c>
      <c r="AV174" s="1" t="b">
        <v>0</v>
      </c>
      <c r="AW174" s="1">
        <v>9.61399999999999</v>
      </c>
      <c r="AX174" s="1">
        <v>11.026</v>
      </c>
      <c r="AY174" s="1" t="b">
        <v>0</v>
      </c>
      <c r="AZ174" s="1" t="b">
        <v>0</v>
      </c>
      <c r="BA174" s="1">
        <v>81.25</v>
      </c>
      <c r="BB174" s="1">
        <v>77.78</v>
      </c>
      <c r="BC174" s="1" t="b">
        <v>1</v>
      </c>
      <c r="BD174" s="1" t="b">
        <v>0</v>
      </c>
      <c r="BE174" s="1">
        <v>11.34</v>
      </c>
      <c r="BF174" s="1">
        <v>13.285</v>
      </c>
      <c r="BG174" s="1" t="b">
        <v>0</v>
      </c>
      <c r="BH174" s="1" t="b">
        <v>0</v>
      </c>
      <c r="BI174" s="1">
        <v>77.78</v>
      </c>
      <c r="BJ174" s="1">
        <v>75.0</v>
      </c>
      <c r="BK174" s="1" t="b">
        <v>1</v>
      </c>
      <c r="BL174" s="1" t="b">
        <v>0</v>
      </c>
      <c r="BM174" s="1">
        <v>13.121</v>
      </c>
      <c r="BN174" s="1">
        <v>14.568</v>
      </c>
      <c r="BO174" s="1" t="b">
        <v>1</v>
      </c>
      <c r="BP174" s="1" t="b">
        <v>0</v>
      </c>
      <c r="BQ174" s="1">
        <v>75.0</v>
      </c>
      <c r="BR174" s="1">
        <v>72.027</v>
      </c>
      <c r="BS174" s="1" t="b">
        <v>1</v>
      </c>
      <c r="BT174" s="1" t="b">
        <v>0</v>
      </c>
      <c r="BU174" s="1" t="s">
        <v>105</v>
      </c>
      <c r="BV174" s="1" t="s">
        <v>91</v>
      </c>
      <c r="BW174" s="1" t="s">
        <v>105</v>
      </c>
      <c r="BX174" s="1" t="s">
        <v>91</v>
      </c>
      <c r="BY174" s="1" t="s">
        <v>105</v>
      </c>
      <c r="BZ174" s="1" t="s">
        <v>91</v>
      </c>
      <c r="CA174" s="1" t="s">
        <v>105</v>
      </c>
      <c r="CB174" s="1" t="s">
        <v>91</v>
      </c>
      <c r="CC174" s="1" t="s">
        <v>91</v>
      </c>
      <c r="CD174" s="1" t="s">
        <v>91</v>
      </c>
      <c r="CE174" s="4"/>
      <c r="CF174" s="4"/>
    </row>
    <row r="175" hidden="1">
      <c r="A175" s="1" t="s">
        <v>82</v>
      </c>
      <c r="B175" s="1" t="s">
        <v>92</v>
      </c>
      <c r="C175" s="1">
        <v>22.0</v>
      </c>
      <c r="D175" s="5" t="s">
        <v>876</v>
      </c>
      <c r="E175" s="1" t="s">
        <v>877</v>
      </c>
      <c r="F175" s="1">
        <v>30.0</v>
      </c>
      <c r="G175" s="1">
        <v>-0.4939</v>
      </c>
      <c r="H175" s="1" t="s">
        <v>878</v>
      </c>
      <c r="I175" s="4" t="b">
        <f>IFERROR(__xludf.DUMMYFUNCTION("IF(H175="""",,REGEXMATCH(H175,""[א-ת]""))"),FALSE)</f>
        <v>0</v>
      </c>
      <c r="J175" s="1" t="s">
        <v>879</v>
      </c>
      <c r="K175" s="4"/>
      <c r="L175" s="1">
        <v>-0.2023</v>
      </c>
      <c r="M175" s="1">
        <v>12.0</v>
      </c>
      <c r="N175" s="1">
        <v>60.0</v>
      </c>
      <c r="O175" s="1">
        <v>2.0</v>
      </c>
      <c r="P175" s="4"/>
      <c r="Q175" s="4"/>
      <c r="R175" s="1" t="s">
        <v>96</v>
      </c>
      <c r="S175" s="1" t="s">
        <v>877</v>
      </c>
      <c r="T175" s="1" t="s">
        <v>92</v>
      </c>
      <c r="U175" s="1">
        <v>23.0</v>
      </c>
      <c r="V175" s="5" t="s">
        <v>876</v>
      </c>
      <c r="W175" s="1" t="s">
        <v>877</v>
      </c>
      <c r="X175" s="1" t="s">
        <v>880</v>
      </c>
      <c r="Y175" s="4"/>
      <c r="Z175" s="4"/>
      <c r="AA175" s="4" t="b">
        <f>IFERROR(__xludf.DUMMYFUNCTION("IF(X175="""",,REGEXMATCH(X175,""[א-ת]""))"),FALSE)</f>
        <v>0</v>
      </c>
      <c r="AB175" s="1">
        <v>17.06</v>
      </c>
      <c r="AC175" s="1">
        <v>73.33</v>
      </c>
      <c r="AD175" s="1">
        <v>0.560637380245246</v>
      </c>
      <c r="AE175" s="1">
        <v>-0.2023</v>
      </c>
      <c r="AF175" s="1">
        <v>-0.4939</v>
      </c>
      <c r="AG175" s="1">
        <v>6.337</v>
      </c>
      <c r="AH175" s="1">
        <v>6.781</v>
      </c>
      <c r="AI175" s="1" t="b">
        <v>0</v>
      </c>
      <c r="AJ175" s="1" t="b">
        <v>0</v>
      </c>
      <c r="AK175" s="1">
        <v>94.182</v>
      </c>
      <c r="AL175" s="1">
        <v>96.508</v>
      </c>
      <c r="AM175" s="1" t="b">
        <v>0</v>
      </c>
      <c r="AN175" s="1" t="b">
        <v>0</v>
      </c>
      <c r="AO175" s="1">
        <v>8.05</v>
      </c>
      <c r="AP175" s="1">
        <v>8.53399999999999</v>
      </c>
      <c r="AQ175" s="1" t="b">
        <v>0</v>
      </c>
      <c r="AR175" s="1" t="b">
        <v>0</v>
      </c>
      <c r="AS175" s="1">
        <v>86.9179999999999</v>
      </c>
      <c r="AT175" s="1">
        <v>87.152</v>
      </c>
      <c r="AU175" s="1" t="b">
        <v>0</v>
      </c>
      <c r="AV175" s="1" t="b">
        <v>0</v>
      </c>
      <c r="AW175" s="1">
        <v>9.61399999999999</v>
      </c>
      <c r="AX175" s="1">
        <v>11.026</v>
      </c>
      <c r="AY175" s="1" t="b">
        <v>0</v>
      </c>
      <c r="AZ175" s="1" t="b">
        <v>0</v>
      </c>
      <c r="BA175" s="1">
        <v>81.25</v>
      </c>
      <c r="BB175" s="1">
        <v>77.78</v>
      </c>
      <c r="BC175" s="1" t="b">
        <v>0</v>
      </c>
      <c r="BD175" s="1" t="b">
        <v>0</v>
      </c>
      <c r="BE175" s="1">
        <v>11.34</v>
      </c>
      <c r="BF175" s="1">
        <v>13.285</v>
      </c>
      <c r="BG175" s="1" t="b">
        <v>0</v>
      </c>
      <c r="BH175" s="1" t="b">
        <v>0</v>
      </c>
      <c r="BI175" s="1">
        <v>77.78</v>
      </c>
      <c r="BJ175" s="1">
        <v>75.0</v>
      </c>
      <c r="BK175" s="1" t="b">
        <v>0</v>
      </c>
      <c r="BL175" s="1" t="b">
        <v>0</v>
      </c>
      <c r="BM175" s="1">
        <v>13.121</v>
      </c>
      <c r="BN175" s="1">
        <v>14.568</v>
      </c>
      <c r="BO175" s="1" t="b">
        <v>1</v>
      </c>
      <c r="BP175" s="1" t="b">
        <v>0</v>
      </c>
      <c r="BQ175" s="1">
        <v>75.0</v>
      </c>
      <c r="BR175" s="1">
        <v>72.027</v>
      </c>
      <c r="BS175" s="1" t="b">
        <v>0</v>
      </c>
      <c r="BT175" s="1" t="b">
        <v>1</v>
      </c>
      <c r="BU175" s="1" t="s">
        <v>105</v>
      </c>
      <c r="BV175" s="1" t="s">
        <v>105</v>
      </c>
      <c r="BW175" s="1" t="s">
        <v>105</v>
      </c>
      <c r="BX175" s="1" t="s">
        <v>105</v>
      </c>
      <c r="BY175" s="1" t="s">
        <v>105</v>
      </c>
      <c r="BZ175" s="1" t="s">
        <v>105</v>
      </c>
      <c r="CA175" s="1" t="s">
        <v>105</v>
      </c>
      <c r="CB175" s="1" t="s">
        <v>105</v>
      </c>
      <c r="CC175" s="1" t="s">
        <v>91</v>
      </c>
      <c r="CD175" s="1" t="s">
        <v>157</v>
      </c>
      <c r="CE175" s="4"/>
      <c r="CF175" s="4"/>
    </row>
    <row r="176" hidden="1">
      <c r="A176" s="1" t="s">
        <v>82</v>
      </c>
      <c r="B176" s="1" t="s">
        <v>152</v>
      </c>
      <c r="C176" s="1">
        <v>27.0</v>
      </c>
      <c r="D176" s="5" t="s">
        <v>881</v>
      </c>
      <c r="E176" s="1" t="s">
        <v>882</v>
      </c>
      <c r="F176" s="1">
        <v>16.0</v>
      </c>
      <c r="G176" s="1">
        <v>0.0</v>
      </c>
      <c r="H176" s="1" t="s">
        <v>883</v>
      </c>
      <c r="I176" s="4" t="b">
        <f>IFERROR(__xludf.DUMMYFUNCTION("IF(H176="""",,REGEXMATCH(H176,""[א-ת]""))"),FALSE)</f>
        <v>0</v>
      </c>
      <c r="J176" s="4"/>
      <c r="K176" s="4"/>
      <c r="L176" s="1">
        <v>0.0</v>
      </c>
      <c r="M176" s="1">
        <v>12.02</v>
      </c>
      <c r="N176" s="1">
        <v>31.25</v>
      </c>
      <c r="O176" s="1">
        <v>1.953125</v>
      </c>
      <c r="P176" s="4"/>
      <c r="Q176" s="4"/>
      <c r="R176" s="1" t="s">
        <v>89</v>
      </c>
      <c r="S176" s="1" t="s">
        <v>882</v>
      </c>
      <c r="T176" s="1" t="s">
        <v>152</v>
      </c>
      <c r="U176" s="1">
        <v>28.0</v>
      </c>
      <c r="V176" s="5" t="s">
        <v>881</v>
      </c>
      <c r="W176" s="1" t="s">
        <v>882</v>
      </c>
      <c r="X176" s="1" t="s">
        <v>884</v>
      </c>
      <c r="Y176" s="4"/>
      <c r="Z176" s="4"/>
      <c r="AA176" s="4" t="b">
        <f>IFERROR(__xludf.DUMMYFUNCTION("IF(X176="""",,REGEXMATCH(X176,""[א-ת]""))"),FALSE)</f>
        <v>0</v>
      </c>
      <c r="AB176" s="1">
        <v>44.93</v>
      </c>
      <c r="AC176" s="1">
        <v>56.25</v>
      </c>
      <c r="AD176" s="1">
        <v>0.637503853374062</v>
      </c>
      <c r="AE176" s="1">
        <v>0.0</v>
      </c>
      <c r="AF176" s="1">
        <v>0.0</v>
      </c>
      <c r="AG176" s="1">
        <v>6.337</v>
      </c>
      <c r="AH176" s="1">
        <v>6.781</v>
      </c>
      <c r="AI176" s="1" t="b">
        <v>0</v>
      </c>
      <c r="AJ176" s="1" t="b">
        <v>0</v>
      </c>
      <c r="AK176" s="1">
        <v>94.182</v>
      </c>
      <c r="AL176" s="1">
        <v>96.508</v>
      </c>
      <c r="AM176" s="1" t="b">
        <v>0</v>
      </c>
      <c r="AN176" s="1" t="b">
        <v>0</v>
      </c>
      <c r="AO176" s="1">
        <v>8.05</v>
      </c>
      <c r="AP176" s="1">
        <v>8.53399999999999</v>
      </c>
      <c r="AQ176" s="1" t="b">
        <v>0</v>
      </c>
      <c r="AR176" s="1" t="b">
        <v>0</v>
      </c>
      <c r="AS176" s="1">
        <v>86.9179999999999</v>
      </c>
      <c r="AT176" s="1">
        <v>87.152</v>
      </c>
      <c r="AU176" s="1" t="b">
        <v>0</v>
      </c>
      <c r="AV176" s="1" t="b">
        <v>0</v>
      </c>
      <c r="AW176" s="1">
        <v>9.61399999999999</v>
      </c>
      <c r="AX176" s="1">
        <v>11.026</v>
      </c>
      <c r="AY176" s="1" t="b">
        <v>0</v>
      </c>
      <c r="AZ176" s="1" t="b">
        <v>0</v>
      </c>
      <c r="BA176" s="1">
        <v>81.25</v>
      </c>
      <c r="BB176" s="1">
        <v>77.78</v>
      </c>
      <c r="BC176" s="1" t="b">
        <v>0</v>
      </c>
      <c r="BD176" s="1" t="b">
        <v>0</v>
      </c>
      <c r="BE176" s="1">
        <v>11.34</v>
      </c>
      <c r="BF176" s="1">
        <v>13.285</v>
      </c>
      <c r="BG176" s="1" t="b">
        <v>0</v>
      </c>
      <c r="BH176" s="1" t="b">
        <v>0</v>
      </c>
      <c r="BI176" s="1">
        <v>77.78</v>
      </c>
      <c r="BJ176" s="1">
        <v>75.0</v>
      </c>
      <c r="BK176" s="1" t="b">
        <v>0</v>
      </c>
      <c r="BL176" s="1" t="b">
        <v>0</v>
      </c>
      <c r="BM176" s="1">
        <v>13.121</v>
      </c>
      <c r="BN176" s="1">
        <v>14.568</v>
      </c>
      <c r="BO176" s="1" t="b">
        <v>1</v>
      </c>
      <c r="BP176" s="1" t="b">
        <v>0</v>
      </c>
      <c r="BQ176" s="1">
        <v>75.0</v>
      </c>
      <c r="BR176" s="1">
        <v>72.027</v>
      </c>
      <c r="BS176" s="1" t="b">
        <v>0</v>
      </c>
      <c r="BT176" s="1" t="b">
        <v>0</v>
      </c>
      <c r="BU176" s="1" t="s">
        <v>105</v>
      </c>
      <c r="BV176" s="1" t="s">
        <v>105</v>
      </c>
      <c r="BW176" s="1" t="s">
        <v>105</v>
      </c>
      <c r="BX176" s="1" t="s">
        <v>105</v>
      </c>
      <c r="BY176" s="1" t="s">
        <v>105</v>
      </c>
      <c r="BZ176" s="1" t="s">
        <v>105</v>
      </c>
      <c r="CA176" s="1" t="s">
        <v>105</v>
      </c>
      <c r="CB176" s="1" t="s">
        <v>105</v>
      </c>
      <c r="CC176" s="1" t="s">
        <v>91</v>
      </c>
      <c r="CD176" s="1" t="s">
        <v>105</v>
      </c>
      <c r="CE176" s="4"/>
      <c r="CF176" s="4"/>
    </row>
    <row r="177" hidden="1">
      <c r="A177" s="1" t="s">
        <v>82</v>
      </c>
      <c r="B177" s="1" t="s">
        <v>111</v>
      </c>
      <c r="C177" s="1">
        <v>4.0</v>
      </c>
      <c r="D177" s="5" t="s">
        <v>885</v>
      </c>
      <c r="E177" s="1" t="s">
        <v>886</v>
      </c>
      <c r="F177" s="1">
        <v>43.0</v>
      </c>
      <c r="G177" s="1">
        <v>-0.4215</v>
      </c>
      <c r="H177" s="1" t="s">
        <v>887</v>
      </c>
      <c r="I177" s="4" t="b">
        <f>IFERROR(__xludf.DUMMYFUNCTION("IF(H177="""",,REGEXMATCH(H177,""[א-ת]""))"),FALSE)</f>
        <v>0</v>
      </c>
      <c r="J177" s="4"/>
      <c r="K177" s="4"/>
      <c r="L177" s="1">
        <v>-0.4215</v>
      </c>
      <c r="M177" s="1">
        <v>12.09</v>
      </c>
      <c r="N177" s="1">
        <v>51.16</v>
      </c>
      <c r="O177" s="1">
        <v>1.189767442</v>
      </c>
      <c r="P177" s="4"/>
      <c r="Q177" s="4"/>
      <c r="R177" s="1" t="s">
        <v>89</v>
      </c>
      <c r="S177" s="1" t="s">
        <v>886</v>
      </c>
      <c r="T177" s="1" t="s">
        <v>111</v>
      </c>
      <c r="U177" s="1">
        <v>5.0</v>
      </c>
      <c r="V177" s="5" t="s">
        <v>885</v>
      </c>
      <c r="W177" s="1" t="s">
        <v>886</v>
      </c>
      <c r="X177" s="1" t="s">
        <v>888</v>
      </c>
      <c r="Y177" s="4"/>
      <c r="Z177" s="4"/>
      <c r="AA177" s="4" t="b">
        <f>IFERROR(__xludf.DUMMYFUNCTION("IF(X177="""",,REGEXMATCH(X177,""[א-ת]""))"),FALSE)</f>
        <v>0</v>
      </c>
      <c r="AB177" s="1">
        <v>13.8</v>
      </c>
      <c r="AC177" s="1">
        <v>44.19</v>
      </c>
      <c r="AD177" s="1">
        <v>0.547385006499311</v>
      </c>
      <c r="AE177" s="1">
        <v>-0.4215</v>
      </c>
      <c r="AF177" s="1">
        <v>-0.4215</v>
      </c>
      <c r="AG177" s="1">
        <v>6.337</v>
      </c>
      <c r="AH177" s="1">
        <v>6.781</v>
      </c>
      <c r="AI177" s="1" t="b">
        <v>0</v>
      </c>
      <c r="AJ177" s="1" t="b">
        <v>0</v>
      </c>
      <c r="AK177" s="1">
        <v>94.182</v>
      </c>
      <c r="AL177" s="1">
        <v>96.508</v>
      </c>
      <c r="AM177" s="1" t="b">
        <v>0</v>
      </c>
      <c r="AN177" s="1" t="b">
        <v>0</v>
      </c>
      <c r="AO177" s="1">
        <v>8.05</v>
      </c>
      <c r="AP177" s="1">
        <v>8.53399999999999</v>
      </c>
      <c r="AQ177" s="1" t="b">
        <v>0</v>
      </c>
      <c r="AR177" s="1" t="b">
        <v>0</v>
      </c>
      <c r="AS177" s="1">
        <v>86.9179999999999</v>
      </c>
      <c r="AT177" s="1">
        <v>87.152</v>
      </c>
      <c r="AU177" s="1" t="b">
        <v>0</v>
      </c>
      <c r="AV177" s="1" t="b">
        <v>0</v>
      </c>
      <c r="AW177" s="1">
        <v>9.61399999999999</v>
      </c>
      <c r="AX177" s="1">
        <v>11.026</v>
      </c>
      <c r="AY177" s="1" t="b">
        <v>0</v>
      </c>
      <c r="AZ177" s="1" t="b">
        <v>0</v>
      </c>
      <c r="BA177" s="1">
        <v>81.25</v>
      </c>
      <c r="BB177" s="1">
        <v>77.78</v>
      </c>
      <c r="BC177" s="1" t="b">
        <v>0</v>
      </c>
      <c r="BD177" s="1" t="b">
        <v>0</v>
      </c>
      <c r="BE177" s="1">
        <v>11.34</v>
      </c>
      <c r="BF177" s="1">
        <v>13.285</v>
      </c>
      <c r="BG177" s="1" t="b">
        <v>0</v>
      </c>
      <c r="BH177" s="1" t="b">
        <v>0</v>
      </c>
      <c r="BI177" s="1">
        <v>77.78</v>
      </c>
      <c r="BJ177" s="1">
        <v>75.0</v>
      </c>
      <c r="BK177" s="1" t="b">
        <v>0</v>
      </c>
      <c r="BL177" s="1" t="b">
        <v>0</v>
      </c>
      <c r="BM177" s="1">
        <v>13.121</v>
      </c>
      <c r="BN177" s="1">
        <v>14.568</v>
      </c>
      <c r="BO177" s="1" t="b">
        <v>1</v>
      </c>
      <c r="BP177" s="1" t="b">
        <v>1</v>
      </c>
      <c r="BQ177" s="1">
        <v>75.0</v>
      </c>
      <c r="BR177" s="1">
        <v>72.027</v>
      </c>
      <c r="BS177" s="1" t="b">
        <v>0</v>
      </c>
      <c r="BT177" s="1" t="b">
        <v>0</v>
      </c>
      <c r="BU177" s="1" t="s">
        <v>105</v>
      </c>
      <c r="BV177" s="1" t="s">
        <v>105</v>
      </c>
      <c r="BW177" s="1" t="s">
        <v>105</v>
      </c>
      <c r="BX177" s="1" t="s">
        <v>105</v>
      </c>
      <c r="BY177" s="1" t="s">
        <v>105</v>
      </c>
      <c r="BZ177" s="1" t="s">
        <v>105</v>
      </c>
      <c r="CA177" s="1" t="s">
        <v>105</v>
      </c>
      <c r="CB177" s="1" t="s">
        <v>105</v>
      </c>
      <c r="CC177" s="1" t="s">
        <v>104</v>
      </c>
      <c r="CD177" s="1" t="s">
        <v>105</v>
      </c>
      <c r="CE177" s="4"/>
      <c r="CF177" s="4"/>
    </row>
    <row r="178">
      <c r="A178" s="1" t="s">
        <v>82</v>
      </c>
      <c r="B178" s="1" t="s">
        <v>123</v>
      </c>
      <c r="C178" s="1">
        <v>21.0</v>
      </c>
      <c r="D178" s="5" t="s">
        <v>889</v>
      </c>
      <c r="E178" s="1" t="s">
        <v>890</v>
      </c>
      <c r="F178" s="1">
        <v>34.0</v>
      </c>
      <c r="G178" s="1">
        <v>0.2732</v>
      </c>
      <c r="H178" s="1" t="s">
        <v>891</v>
      </c>
      <c r="I178" s="4" t="b">
        <f>IFERROR(__xludf.DUMMYFUNCTION("IF(H178="""",,REGEXMATCH(H178,""[א-ת]""))"),FALSE)</f>
        <v>0</v>
      </c>
      <c r="J178" s="4"/>
      <c r="K178" s="4"/>
      <c r="L178" s="1">
        <v>-0.4449</v>
      </c>
      <c r="M178" s="1">
        <v>12.14</v>
      </c>
      <c r="N178" s="1">
        <v>67.65</v>
      </c>
      <c r="O178" s="1">
        <v>1.989705882</v>
      </c>
      <c r="P178" s="4"/>
      <c r="Q178" s="4"/>
      <c r="R178" s="1" t="s">
        <v>127</v>
      </c>
      <c r="S178" s="1" t="s">
        <v>890</v>
      </c>
      <c r="T178" s="1" t="s">
        <v>123</v>
      </c>
      <c r="U178" s="1">
        <v>22.0</v>
      </c>
      <c r="V178" s="5" t="s">
        <v>889</v>
      </c>
      <c r="W178" s="1" t="s">
        <v>890</v>
      </c>
      <c r="X178" s="1" t="s">
        <v>892</v>
      </c>
      <c r="Y178" s="1" t="s">
        <v>893</v>
      </c>
      <c r="Z178" s="1" t="s">
        <v>894</v>
      </c>
      <c r="AA178" s="4" t="b">
        <f>IFERROR(__xludf.DUMMYFUNCTION("IF(X178="""",,REGEXMATCH(X178,""[א-ת]""))"),TRUE)</f>
        <v>1</v>
      </c>
      <c r="AB178" s="1">
        <v>6.54</v>
      </c>
      <c r="AC178" s="1">
        <v>132.35</v>
      </c>
      <c r="AD178" s="1">
        <v>0.4855036146864</v>
      </c>
      <c r="AE178" s="1">
        <v>0.0</v>
      </c>
      <c r="AF178" s="1">
        <v>0.2732</v>
      </c>
      <c r="AG178" s="1">
        <v>6.337</v>
      </c>
      <c r="AH178" s="1">
        <v>6.781</v>
      </c>
      <c r="AI178" s="1" t="b">
        <v>0</v>
      </c>
      <c r="AJ178" s="1" t="b">
        <v>1</v>
      </c>
      <c r="AK178" s="1">
        <v>94.182</v>
      </c>
      <c r="AL178" s="1">
        <v>96.508</v>
      </c>
      <c r="AM178" s="1" t="b">
        <v>0</v>
      </c>
      <c r="AN178" s="1" t="b">
        <v>1</v>
      </c>
      <c r="AO178" s="1">
        <v>8.05</v>
      </c>
      <c r="AP178" s="1">
        <v>8.53399999999999</v>
      </c>
      <c r="AQ178" s="1" t="b">
        <v>0</v>
      </c>
      <c r="AR178" s="1" t="b">
        <v>1</v>
      </c>
      <c r="AS178" s="1">
        <v>86.9179999999999</v>
      </c>
      <c r="AT178" s="1">
        <v>87.152</v>
      </c>
      <c r="AU178" s="1" t="b">
        <v>0</v>
      </c>
      <c r="AV178" s="1" t="b">
        <v>1</v>
      </c>
      <c r="AW178" s="1">
        <v>9.61399999999999</v>
      </c>
      <c r="AX178" s="1">
        <v>11.026</v>
      </c>
      <c r="AY178" s="1" t="b">
        <v>0</v>
      </c>
      <c r="AZ178" s="1" t="b">
        <v>1</v>
      </c>
      <c r="BA178" s="1">
        <v>81.25</v>
      </c>
      <c r="BB178" s="1">
        <v>77.78</v>
      </c>
      <c r="BC178" s="1" t="b">
        <v>0</v>
      </c>
      <c r="BD178" s="1" t="b">
        <v>1</v>
      </c>
      <c r="BE178" s="1">
        <v>11.34</v>
      </c>
      <c r="BF178" s="1">
        <v>13.285</v>
      </c>
      <c r="BG178" s="1" t="b">
        <v>0</v>
      </c>
      <c r="BH178" s="1" t="b">
        <v>1</v>
      </c>
      <c r="BI178" s="1">
        <v>77.78</v>
      </c>
      <c r="BJ178" s="1">
        <v>75.0</v>
      </c>
      <c r="BK178" s="1" t="b">
        <v>0</v>
      </c>
      <c r="BL178" s="1" t="b">
        <v>1</v>
      </c>
      <c r="BM178" s="1">
        <v>13.121</v>
      </c>
      <c r="BN178" s="1">
        <v>14.568</v>
      </c>
      <c r="BO178" s="1" t="b">
        <v>1</v>
      </c>
      <c r="BP178" s="1" t="b">
        <v>1</v>
      </c>
      <c r="BQ178" s="1">
        <v>75.0</v>
      </c>
      <c r="BR178" s="1">
        <v>72.027</v>
      </c>
      <c r="BS178" s="1" t="b">
        <v>0</v>
      </c>
      <c r="BT178" s="1" t="b">
        <v>1</v>
      </c>
      <c r="BU178" s="1" t="s">
        <v>157</v>
      </c>
      <c r="BV178" s="1" t="s">
        <v>157</v>
      </c>
      <c r="BW178" s="1" t="s">
        <v>157</v>
      </c>
      <c r="BX178" s="1" t="s">
        <v>157</v>
      </c>
      <c r="BY178" s="1" t="s">
        <v>157</v>
      </c>
      <c r="BZ178" s="1" t="s">
        <v>157</v>
      </c>
      <c r="CA178" s="1" t="s">
        <v>157</v>
      </c>
      <c r="CB178" s="1" t="s">
        <v>157</v>
      </c>
      <c r="CC178" s="1" t="s">
        <v>104</v>
      </c>
      <c r="CD178" s="1" t="s">
        <v>157</v>
      </c>
      <c r="CE178" s="4"/>
      <c r="CF178" s="4"/>
    </row>
    <row r="179" hidden="1">
      <c r="A179" s="1" t="s">
        <v>82</v>
      </c>
      <c r="B179" s="1" t="s">
        <v>524</v>
      </c>
      <c r="C179" s="1">
        <v>14.0</v>
      </c>
      <c r="D179" s="5" t="s">
        <v>895</v>
      </c>
      <c r="E179" s="1" t="s">
        <v>896</v>
      </c>
      <c r="F179" s="1">
        <v>58.0</v>
      </c>
      <c r="G179" s="1">
        <v>-0.6249</v>
      </c>
      <c r="H179" s="1" t="s">
        <v>897</v>
      </c>
      <c r="I179" s="4" t="b">
        <f>IFERROR(__xludf.DUMMYFUNCTION("IF(H179="""",,REGEXMATCH(H179,""[א-ת]""))"),FALSE)</f>
        <v>0</v>
      </c>
      <c r="J179" s="4"/>
      <c r="K179" s="4"/>
      <c r="L179" s="1">
        <v>-0.8908</v>
      </c>
      <c r="M179" s="1">
        <v>12.16</v>
      </c>
      <c r="N179" s="1">
        <v>79.31</v>
      </c>
      <c r="O179" s="1">
        <v>1.367413793</v>
      </c>
      <c r="P179" s="4"/>
      <c r="Q179" s="4"/>
      <c r="R179" s="1" t="s">
        <v>89</v>
      </c>
      <c r="S179" s="1" t="s">
        <v>896</v>
      </c>
      <c r="T179" s="1" t="s">
        <v>524</v>
      </c>
      <c r="U179" s="1">
        <v>15.0</v>
      </c>
      <c r="V179" s="5" t="s">
        <v>895</v>
      </c>
      <c r="W179" s="1" t="s">
        <v>896</v>
      </c>
      <c r="X179" s="1" t="s">
        <v>898</v>
      </c>
      <c r="Y179" s="4"/>
      <c r="Z179" s="4"/>
      <c r="AA179" s="4" t="b">
        <f>IFERROR(__xludf.DUMMYFUNCTION("IF(X179="""",,REGEXMATCH(X179,""[א-ת]""))"),FALSE)</f>
        <v>0</v>
      </c>
      <c r="AB179" s="1">
        <v>14.58</v>
      </c>
      <c r="AC179" s="1">
        <v>68.97</v>
      </c>
      <c r="AD179" s="1">
        <v>0.47022362643126</v>
      </c>
      <c r="AE179" s="1">
        <v>-0.5983</v>
      </c>
      <c r="AF179" s="1">
        <v>-0.6249</v>
      </c>
      <c r="AG179" s="1">
        <v>6.337</v>
      </c>
      <c r="AH179" s="1">
        <v>6.781</v>
      </c>
      <c r="AI179" s="1" t="b">
        <v>0</v>
      </c>
      <c r="AJ179" s="1" t="b">
        <v>0</v>
      </c>
      <c r="AK179" s="1">
        <v>94.182</v>
      </c>
      <c r="AL179" s="1">
        <v>96.508</v>
      </c>
      <c r="AM179" s="1" t="b">
        <v>0</v>
      </c>
      <c r="AN179" s="1" t="b">
        <v>0</v>
      </c>
      <c r="AO179" s="1">
        <v>8.05</v>
      </c>
      <c r="AP179" s="1">
        <v>8.53399999999999</v>
      </c>
      <c r="AQ179" s="1" t="b">
        <v>0</v>
      </c>
      <c r="AR179" s="1" t="b">
        <v>0</v>
      </c>
      <c r="AS179" s="1">
        <v>86.9179999999999</v>
      </c>
      <c r="AT179" s="1">
        <v>87.152</v>
      </c>
      <c r="AU179" s="1" t="b">
        <v>0</v>
      </c>
      <c r="AV179" s="1" t="b">
        <v>0</v>
      </c>
      <c r="AW179" s="1">
        <v>9.61399999999999</v>
      </c>
      <c r="AX179" s="1">
        <v>11.026</v>
      </c>
      <c r="AY179" s="1" t="b">
        <v>0</v>
      </c>
      <c r="AZ179" s="1" t="b">
        <v>0</v>
      </c>
      <c r="BA179" s="1">
        <v>81.25</v>
      </c>
      <c r="BB179" s="1">
        <v>77.78</v>
      </c>
      <c r="BC179" s="1" t="b">
        <v>0</v>
      </c>
      <c r="BD179" s="1" t="b">
        <v>0</v>
      </c>
      <c r="BE179" s="1">
        <v>11.34</v>
      </c>
      <c r="BF179" s="1">
        <v>13.285</v>
      </c>
      <c r="BG179" s="1" t="b">
        <v>0</v>
      </c>
      <c r="BH179" s="1" t="b">
        <v>0</v>
      </c>
      <c r="BI179" s="1">
        <v>77.78</v>
      </c>
      <c r="BJ179" s="1">
        <v>75.0</v>
      </c>
      <c r="BK179" s="1" t="b">
        <v>1</v>
      </c>
      <c r="BL179" s="1" t="b">
        <v>0</v>
      </c>
      <c r="BM179" s="1">
        <v>13.121</v>
      </c>
      <c r="BN179" s="1">
        <v>14.568</v>
      </c>
      <c r="BO179" s="1" t="b">
        <v>1</v>
      </c>
      <c r="BP179" s="1" t="b">
        <v>0</v>
      </c>
      <c r="BQ179" s="1">
        <v>75.0</v>
      </c>
      <c r="BR179" s="1">
        <v>72.027</v>
      </c>
      <c r="BS179" s="1" t="b">
        <v>1</v>
      </c>
      <c r="BT179" s="1" t="b">
        <v>0</v>
      </c>
      <c r="BU179" s="1" t="s">
        <v>105</v>
      </c>
      <c r="BV179" s="1" t="s">
        <v>105</v>
      </c>
      <c r="BW179" s="1" t="s">
        <v>105</v>
      </c>
      <c r="BX179" s="1" t="s">
        <v>105</v>
      </c>
      <c r="BY179" s="1" t="s">
        <v>105</v>
      </c>
      <c r="BZ179" s="1" t="s">
        <v>105</v>
      </c>
      <c r="CA179" s="1" t="s">
        <v>105</v>
      </c>
      <c r="CB179" s="1" t="s">
        <v>91</v>
      </c>
      <c r="CC179" s="1" t="s">
        <v>91</v>
      </c>
      <c r="CD179" s="1" t="s">
        <v>91</v>
      </c>
      <c r="CE179" s="4"/>
      <c r="CF179" s="4"/>
    </row>
    <row r="180" hidden="1">
      <c r="A180" s="1" t="s">
        <v>82</v>
      </c>
      <c r="B180" s="1" t="s">
        <v>304</v>
      </c>
      <c r="C180" s="1">
        <v>33.0</v>
      </c>
      <c r="D180" s="5" t="s">
        <v>899</v>
      </c>
      <c r="E180" s="1" t="s">
        <v>900</v>
      </c>
      <c r="F180" s="1">
        <v>37.0</v>
      </c>
      <c r="G180" s="1">
        <v>-0.0261</v>
      </c>
      <c r="H180" s="1" t="s">
        <v>901</v>
      </c>
      <c r="I180" s="4" t="b">
        <f>IFERROR(__xludf.DUMMYFUNCTION("IF(H180="""",,REGEXMATCH(H180,""[א-ת]""))"),FALSE)</f>
        <v>0</v>
      </c>
      <c r="J180" s="4"/>
      <c r="K180" s="4"/>
      <c r="L180" s="1">
        <v>0.1847</v>
      </c>
      <c r="M180" s="1">
        <v>12.26</v>
      </c>
      <c r="N180" s="1">
        <v>100.0</v>
      </c>
      <c r="O180" s="1">
        <v>2.702702703</v>
      </c>
      <c r="P180" s="4"/>
      <c r="Q180" s="4"/>
      <c r="R180" s="1" t="s">
        <v>89</v>
      </c>
      <c r="S180" s="1" t="s">
        <v>900</v>
      </c>
      <c r="T180" s="1" t="s">
        <v>304</v>
      </c>
      <c r="U180" s="1">
        <v>34.0</v>
      </c>
      <c r="V180" s="5" t="s">
        <v>899</v>
      </c>
      <c r="W180" s="1" t="s">
        <v>900</v>
      </c>
      <c r="X180" s="1" t="s">
        <v>902</v>
      </c>
      <c r="Y180" s="4"/>
      <c r="Z180" s="4"/>
      <c r="AA180" s="4" t="b">
        <f>IFERROR(__xludf.DUMMYFUNCTION("IF(X180="""",,REGEXMATCH(X180,""[א-ת]""))"),FALSE)</f>
        <v>0</v>
      </c>
      <c r="AB180" s="1">
        <v>18.78</v>
      </c>
      <c r="AC180" s="1">
        <v>72.97</v>
      </c>
      <c r="AD180" s="1">
        <v>0.454990141106022</v>
      </c>
      <c r="AE180" s="1">
        <v>-0.367</v>
      </c>
      <c r="AF180" s="1">
        <v>-0.0261</v>
      </c>
      <c r="AG180" s="1">
        <v>6.337</v>
      </c>
      <c r="AH180" s="1">
        <v>6.781</v>
      </c>
      <c r="AI180" s="1" t="b">
        <v>0</v>
      </c>
      <c r="AJ180" s="1" t="b">
        <v>0</v>
      </c>
      <c r="AK180" s="1">
        <v>94.182</v>
      </c>
      <c r="AL180" s="1">
        <v>96.508</v>
      </c>
      <c r="AM180" s="1" t="b">
        <v>1</v>
      </c>
      <c r="AN180" s="1" t="b">
        <v>0</v>
      </c>
      <c r="AO180" s="1">
        <v>8.05</v>
      </c>
      <c r="AP180" s="1">
        <v>8.53399999999999</v>
      </c>
      <c r="AQ180" s="1" t="b">
        <v>0</v>
      </c>
      <c r="AR180" s="1" t="b">
        <v>0</v>
      </c>
      <c r="AS180" s="1">
        <v>86.9179999999999</v>
      </c>
      <c r="AT180" s="1">
        <v>87.152</v>
      </c>
      <c r="AU180" s="1" t="b">
        <v>1</v>
      </c>
      <c r="AV180" s="1" t="b">
        <v>0</v>
      </c>
      <c r="AW180" s="1">
        <v>9.61399999999999</v>
      </c>
      <c r="AX180" s="1">
        <v>11.026</v>
      </c>
      <c r="AY180" s="1" t="b">
        <v>0</v>
      </c>
      <c r="AZ180" s="1" t="b">
        <v>0</v>
      </c>
      <c r="BA180" s="1">
        <v>81.25</v>
      </c>
      <c r="BB180" s="1">
        <v>77.78</v>
      </c>
      <c r="BC180" s="1" t="b">
        <v>1</v>
      </c>
      <c r="BD180" s="1" t="b">
        <v>0</v>
      </c>
      <c r="BE180" s="1">
        <v>11.34</v>
      </c>
      <c r="BF180" s="1">
        <v>13.285</v>
      </c>
      <c r="BG180" s="1" t="b">
        <v>0</v>
      </c>
      <c r="BH180" s="1" t="b">
        <v>0</v>
      </c>
      <c r="BI180" s="1">
        <v>77.78</v>
      </c>
      <c r="BJ180" s="1">
        <v>75.0</v>
      </c>
      <c r="BK180" s="1" t="b">
        <v>1</v>
      </c>
      <c r="BL180" s="1" t="b">
        <v>0</v>
      </c>
      <c r="BM180" s="1">
        <v>13.121</v>
      </c>
      <c r="BN180" s="1">
        <v>14.568</v>
      </c>
      <c r="BO180" s="1" t="b">
        <v>1</v>
      </c>
      <c r="BP180" s="1" t="b">
        <v>0</v>
      </c>
      <c r="BQ180" s="1">
        <v>75.0</v>
      </c>
      <c r="BR180" s="1">
        <v>72.027</v>
      </c>
      <c r="BS180" s="1" t="b">
        <v>1</v>
      </c>
      <c r="BT180" s="1" t="b">
        <v>1</v>
      </c>
      <c r="BU180" s="1" t="s">
        <v>105</v>
      </c>
      <c r="BV180" s="1" t="s">
        <v>91</v>
      </c>
      <c r="BW180" s="1" t="s">
        <v>105</v>
      </c>
      <c r="BX180" s="1" t="s">
        <v>91</v>
      </c>
      <c r="BY180" s="1" t="s">
        <v>105</v>
      </c>
      <c r="BZ180" s="1" t="s">
        <v>91</v>
      </c>
      <c r="CA180" s="1" t="s">
        <v>105</v>
      </c>
      <c r="CB180" s="1" t="s">
        <v>91</v>
      </c>
      <c r="CC180" s="1" t="s">
        <v>91</v>
      </c>
      <c r="CD180" s="1" t="s">
        <v>104</v>
      </c>
      <c r="CE180" s="4"/>
      <c r="CF180" s="4"/>
    </row>
    <row r="181" hidden="1">
      <c r="A181" s="1" t="s">
        <v>82</v>
      </c>
      <c r="B181" s="1" t="s">
        <v>111</v>
      </c>
      <c r="C181" s="1">
        <v>56.0</v>
      </c>
      <c r="D181" s="5" t="s">
        <v>903</v>
      </c>
      <c r="E181" s="1" t="s">
        <v>904</v>
      </c>
      <c r="F181" s="1">
        <v>43.0</v>
      </c>
      <c r="G181" s="1">
        <v>-0.0258</v>
      </c>
      <c r="H181" s="1" t="s">
        <v>905</v>
      </c>
      <c r="I181" s="4" t="b">
        <f>IFERROR(__xludf.DUMMYFUNCTION("IF(H181="""",,REGEXMATCH(H181,""[א-ת]""))"),FALSE)</f>
        <v>0</v>
      </c>
      <c r="J181" s="4"/>
      <c r="K181" s="4"/>
      <c r="L181" s="1">
        <v>-0.1426</v>
      </c>
      <c r="M181" s="1">
        <v>12.3</v>
      </c>
      <c r="N181" s="1">
        <v>88.37</v>
      </c>
      <c r="O181" s="1">
        <v>2.055116279</v>
      </c>
      <c r="P181" s="4"/>
      <c r="Q181" s="4"/>
      <c r="R181" s="1" t="s">
        <v>89</v>
      </c>
      <c r="S181" s="1" t="s">
        <v>904</v>
      </c>
      <c r="T181" s="1" t="s">
        <v>111</v>
      </c>
      <c r="U181" s="1">
        <v>57.0</v>
      </c>
      <c r="V181" s="5" t="s">
        <v>903</v>
      </c>
      <c r="W181" s="1" t="s">
        <v>904</v>
      </c>
      <c r="X181" s="1" t="s">
        <v>906</v>
      </c>
      <c r="Y181" s="4"/>
      <c r="Z181" s="4"/>
      <c r="AA181" s="4" t="b">
        <f>IFERROR(__xludf.DUMMYFUNCTION("IF(X181="""",,REGEXMATCH(X181,""[א-ת]""))"),TRUE)</f>
        <v>1</v>
      </c>
      <c r="AB181" s="1">
        <v>8.56</v>
      </c>
      <c r="AC181" s="1">
        <v>109.3</v>
      </c>
      <c r="AD181" s="1">
        <v>0.316901036759284</v>
      </c>
      <c r="AE181" s="1">
        <v>-0.916</v>
      </c>
      <c r="AF181" s="1">
        <v>-0.0258</v>
      </c>
      <c r="AG181" s="1">
        <v>6.337</v>
      </c>
      <c r="AH181" s="1">
        <v>6.781</v>
      </c>
      <c r="AI181" s="1" t="b">
        <v>0</v>
      </c>
      <c r="AJ181" s="1" t="b">
        <v>0</v>
      </c>
      <c r="AK181" s="1">
        <v>94.182</v>
      </c>
      <c r="AL181" s="1">
        <v>96.508</v>
      </c>
      <c r="AM181" s="1" t="b">
        <v>0</v>
      </c>
      <c r="AN181" s="1" t="b">
        <v>1</v>
      </c>
      <c r="AO181" s="1">
        <v>8.05</v>
      </c>
      <c r="AP181" s="1">
        <v>8.53399999999999</v>
      </c>
      <c r="AQ181" s="1" t="b">
        <v>0</v>
      </c>
      <c r="AR181" s="1" t="b">
        <v>0</v>
      </c>
      <c r="AS181" s="1">
        <v>86.9179999999999</v>
      </c>
      <c r="AT181" s="1">
        <v>87.152</v>
      </c>
      <c r="AU181" s="1" t="b">
        <v>1</v>
      </c>
      <c r="AV181" s="1" t="b">
        <v>1</v>
      </c>
      <c r="AW181" s="1">
        <v>9.61399999999999</v>
      </c>
      <c r="AX181" s="1">
        <v>11.026</v>
      </c>
      <c r="AY181" s="1" t="b">
        <v>0</v>
      </c>
      <c r="AZ181" s="1" t="b">
        <v>1</v>
      </c>
      <c r="BA181" s="1">
        <v>81.25</v>
      </c>
      <c r="BB181" s="1">
        <v>77.78</v>
      </c>
      <c r="BC181" s="1" t="b">
        <v>1</v>
      </c>
      <c r="BD181" s="1" t="b">
        <v>1</v>
      </c>
      <c r="BE181" s="1">
        <v>11.34</v>
      </c>
      <c r="BF181" s="1">
        <v>13.285</v>
      </c>
      <c r="BG181" s="1" t="b">
        <v>0</v>
      </c>
      <c r="BH181" s="1" t="b">
        <v>1</v>
      </c>
      <c r="BI181" s="1">
        <v>77.78</v>
      </c>
      <c r="BJ181" s="1">
        <v>75.0</v>
      </c>
      <c r="BK181" s="1" t="b">
        <v>1</v>
      </c>
      <c r="BL181" s="1" t="b">
        <v>1</v>
      </c>
      <c r="BM181" s="1">
        <v>13.121</v>
      </c>
      <c r="BN181" s="1">
        <v>14.568</v>
      </c>
      <c r="BO181" s="1" t="b">
        <v>1</v>
      </c>
      <c r="BP181" s="1" t="b">
        <v>1</v>
      </c>
      <c r="BQ181" s="1">
        <v>75.0</v>
      </c>
      <c r="BR181" s="1">
        <v>72.027</v>
      </c>
      <c r="BS181" s="1" t="b">
        <v>1</v>
      </c>
      <c r="BT181" s="1" t="b">
        <v>1</v>
      </c>
      <c r="BU181" s="1" t="s">
        <v>105</v>
      </c>
      <c r="BV181" s="1" t="s">
        <v>157</v>
      </c>
      <c r="BW181" s="1" t="s">
        <v>105</v>
      </c>
      <c r="BX181" s="1" t="s">
        <v>104</v>
      </c>
      <c r="BY181" s="1" t="s">
        <v>157</v>
      </c>
      <c r="BZ181" s="1" t="s">
        <v>104</v>
      </c>
      <c r="CA181" s="1" t="s">
        <v>157</v>
      </c>
      <c r="CB181" s="1" t="s">
        <v>104</v>
      </c>
      <c r="CC181" s="1" t="s">
        <v>104</v>
      </c>
      <c r="CD181" s="1" t="s">
        <v>104</v>
      </c>
      <c r="CE181" s="4"/>
      <c r="CF181" s="4"/>
    </row>
    <row r="182" hidden="1">
      <c r="A182" s="1" t="s">
        <v>82</v>
      </c>
      <c r="B182" s="1" t="s">
        <v>304</v>
      </c>
      <c r="C182" s="1">
        <v>5.0</v>
      </c>
      <c r="D182" s="5" t="s">
        <v>907</v>
      </c>
      <c r="E182" s="1" t="s">
        <v>908</v>
      </c>
      <c r="F182" s="1">
        <v>43.0</v>
      </c>
      <c r="G182" s="1">
        <v>-0.0516</v>
      </c>
      <c r="H182" s="1" t="s">
        <v>909</v>
      </c>
      <c r="I182" s="4" t="b">
        <f>IFERROR(__xludf.DUMMYFUNCTION("IF(H182="""",,REGEXMATCH(H182,""[א-ת]""))"),FALSE)</f>
        <v>0</v>
      </c>
      <c r="J182" s="4"/>
      <c r="K182" s="4"/>
      <c r="L182" s="1">
        <v>0.0644</v>
      </c>
      <c r="M182" s="1">
        <v>12.34</v>
      </c>
      <c r="N182" s="1">
        <v>104.65</v>
      </c>
      <c r="O182" s="1">
        <v>2.43372093</v>
      </c>
      <c r="P182" s="4"/>
      <c r="Q182" s="4"/>
      <c r="R182" s="1" t="s">
        <v>89</v>
      </c>
      <c r="S182" s="1" t="s">
        <v>908</v>
      </c>
      <c r="T182" s="1" t="s">
        <v>304</v>
      </c>
      <c r="U182" s="1">
        <v>6.0</v>
      </c>
      <c r="V182" s="5" t="s">
        <v>907</v>
      </c>
      <c r="W182" s="1" t="s">
        <v>908</v>
      </c>
      <c r="X182" s="1" t="s">
        <v>910</v>
      </c>
      <c r="Y182" s="4"/>
      <c r="Z182" s="4"/>
      <c r="AA182" s="4" t="b">
        <f>IFERROR(__xludf.DUMMYFUNCTION("IF(X182="""",,REGEXMATCH(X182,""[א-ת]""))"),FALSE)</f>
        <v>0</v>
      </c>
      <c r="AB182" s="1">
        <v>20.69</v>
      </c>
      <c r="AC182" s="1">
        <v>62.79</v>
      </c>
      <c r="AD182" s="1">
        <v>0.600415622704213</v>
      </c>
      <c r="AE182" s="1">
        <v>-0.0129</v>
      </c>
      <c r="AF182" s="1">
        <v>-0.0516</v>
      </c>
      <c r="AG182" s="1">
        <v>6.337</v>
      </c>
      <c r="AH182" s="1">
        <v>6.781</v>
      </c>
      <c r="AI182" s="1" t="b">
        <v>0</v>
      </c>
      <c r="AJ182" s="1" t="b">
        <v>0</v>
      </c>
      <c r="AK182" s="1">
        <v>94.182</v>
      </c>
      <c r="AL182" s="1">
        <v>96.508</v>
      </c>
      <c r="AM182" s="1" t="b">
        <v>1</v>
      </c>
      <c r="AN182" s="1" t="b">
        <v>0</v>
      </c>
      <c r="AO182" s="1">
        <v>8.05</v>
      </c>
      <c r="AP182" s="1">
        <v>8.53399999999999</v>
      </c>
      <c r="AQ182" s="1" t="b">
        <v>0</v>
      </c>
      <c r="AR182" s="1" t="b">
        <v>0</v>
      </c>
      <c r="AS182" s="1">
        <v>86.9179999999999</v>
      </c>
      <c r="AT182" s="1">
        <v>87.152</v>
      </c>
      <c r="AU182" s="1" t="b">
        <v>1</v>
      </c>
      <c r="AV182" s="1" t="b">
        <v>0</v>
      </c>
      <c r="AW182" s="1">
        <v>9.61399999999999</v>
      </c>
      <c r="AX182" s="1">
        <v>11.026</v>
      </c>
      <c r="AY182" s="1" t="b">
        <v>0</v>
      </c>
      <c r="AZ182" s="1" t="b">
        <v>0</v>
      </c>
      <c r="BA182" s="1">
        <v>81.25</v>
      </c>
      <c r="BB182" s="1">
        <v>77.78</v>
      </c>
      <c r="BC182" s="1" t="b">
        <v>1</v>
      </c>
      <c r="BD182" s="1" t="b">
        <v>0</v>
      </c>
      <c r="BE182" s="1">
        <v>11.34</v>
      </c>
      <c r="BF182" s="1">
        <v>13.285</v>
      </c>
      <c r="BG182" s="1" t="b">
        <v>0</v>
      </c>
      <c r="BH182" s="1" t="b">
        <v>0</v>
      </c>
      <c r="BI182" s="1">
        <v>77.78</v>
      </c>
      <c r="BJ182" s="1">
        <v>75.0</v>
      </c>
      <c r="BK182" s="1" t="b">
        <v>1</v>
      </c>
      <c r="BL182" s="1" t="b">
        <v>0</v>
      </c>
      <c r="BM182" s="1">
        <v>13.121</v>
      </c>
      <c r="BN182" s="1">
        <v>14.568</v>
      </c>
      <c r="BO182" s="1" t="b">
        <v>1</v>
      </c>
      <c r="BP182" s="1" t="b">
        <v>0</v>
      </c>
      <c r="BQ182" s="1">
        <v>75.0</v>
      </c>
      <c r="BR182" s="1">
        <v>72.027</v>
      </c>
      <c r="BS182" s="1" t="b">
        <v>1</v>
      </c>
      <c r="BT182" s="1" t="b">
        <v>0</v>
      </c>
      <c r="BU182" s="1" t="s">
        <v>105</v>
      </c>
      <c r="BV182" s="1" t="s">
        <v>91</v>
      </c>
      <c r="BW182" s="1" t="s">
        <v>105</v>
      </c>
      <c r="BX182" s="1" t="s">
        <v>91</v>
      </c>
      <c r="BY182" s="1" t="s">
        <v>105</v>
      </c>
      <c r="BZ182" s="1" t="s">
        <v>91</v>
      </c>
      <c r="CA182" s="1" t="s">
        <v>105</v>
      </c>
      <c r="CB182" s="1" t="s">
        <v>91</v>
      </c>
      <c r="CC182" s="1" t="s">
        <v>91</v>
      </c>
      <c r="CD182" s="1" t="s">
        <v>91</v>
      </c>
      <c r="CE182" s="4"/>
      <c r="CF182" s="4"/>
    </row>
    <row r="183" hidden="1">
      <c r="A183" s="1" t="s">
        <v>82</v>
      </c>
      <c r="B183" s="1" t="s">
        <v>111</v>
      </c>
      <c r="C183" s="1">
        <v>2.0</v>
      </c>
      <c r="D183" s="5" t="s">
        <v>911</v>
      </c>
      <c r="E183" s="1" t="s">
        <v>912</v>
      </c>
      <c r="F183" s="1">
        <v>20.0</v>
      </c>
      <c r="G183" s="1">
        <v>-0.2263</v>
      </c>
      <c r="H183" s="1" t="s">
        <v>913</v>
      </c>
      <c r="I183" s="4" t="b">
        <f>IFERROR(__xludf.DUMMYFUNCTION("IF(H183="""",,REGEXMATCH(H183,""[א-ת]""))"),FALSE)</f>
        <v>0</v>
      </c>
      <c r="J183" s="4"/>
      <c r="K183" s="4"/>
      <c r="L183" s="1">
        <v>-0.2263</v>
      </c>
      <c r="M183" s="1">
        <v>12.41</v>
      </c>
      <c r="N183" s="1">
        <v>50.0</v>
      </c>
      <c r="O183" s="1">
        <v>2.5</v>
      </c>
      <c r="P183" s="4"/>
      <c r="Q183" s="4"/>
      <c r="R183" s="1" t="s">
        <v>89</v>
      </c>
      <c r="S183" s="1" t="s">
        <v>912</v>
      </c>
      <c r="T183" s="1" t="s">
        <v>111</v>
      </c>
      <c r="U183" s="1">
        <v>3.0</v>
      </c>
      <c r="V183" s="5" t="s">
        <v>911</v>
      </c>
      <c r="W183" s="1" t="s">
        <v>912</v>
      </c>
      <c r="X183" s="1" t="s">
        <v>914</v>
      </c>
      <c r="Y183" s="4"/>
      <c r="Z183" s="4"/>
      <c r="AA183" s="4" t="b">
        <f>IFERROR(__xludf.DUMMYFUNCTION("IF(X183="""",,REGEXMATCH(X183,""[א-ת]""))"),FALSE)</f>
        <v>0</v>
      </c>
      <c r="AB183" s="1">
        <v>17.89</v>
      </c>
      <c r="AC183" s="1">
        <v>55.0</v>
      </c>
      <c r="AD183" s="1">
        <v>0.457775770638822</v>
      </c>
      <c r="AE183" s="1">
        <v>-0.2263</v>
      </c>
      <c r="AF183" s="1">
        <v>-0.2263</v>
      </c>
      <c r="AG183" s="1">
        <v>6.337</v>
      </c>
      <c r="AH183" s="1">
        <v>6.781</v>
      </c>
      <c r="AI183" s="1" t="b">
        <v>0</v>
      </c>
      <c r="AJ183" s="1" t="b">
        <v>0</v>
      </c>
      <c r="AK183" s="1">
        <v>94.182</v>
      </c>
      <c r="AL183" s="1">
        <v>96.508</v>
      </c>
      <c r="AM183" s="1" t="b">
        <v>0</v>
      </c>
      <c r="AN183" s="1" t="b">
        <v>0</v>
      </c>
      <c r="AO183" s="1">
        <v>8.05</v>
      </c>
      <c r="AP183" s="1">
        <v>8.53399999999999</v>
      </c>
      <c r="AQ183" s="1" t="b">
        <v>0</v>
      </c>
      <c r="AR183" s="1" t="b">
        <v>0</v>
      </c>
      <c r="AS183" s="1">
        <v>86.9179999999999</v>
      </c>
      <c r="AT183" s="1">
        <v>87.152</v>
      </c>
      <c r="AU183" s="1" t="b">
        <v>0</v>
      </c>
      <c r="AV183" s="1" t="b">
        <v>0</v>
      </c>
      <c r="AW183" s="1">
        <v>9.61399999999999</v>
      </c>
      <c r="AX183" s="1">
        <v>11.026</v>
      </c>
      <c r="AY183" s="1" t="b">
        <v>0</v>
      </c>
      <c r="AZ183" s="1" t="b">
        <v>0</v>
      </c>
      <c r="BA183" s="1">
        <v>81.25</v>
      </c>
      <c r="BB183" s="1">
        <v>77.78</v>
      </c>
      <c r="BC183" s="1" t="b">
        <v>0</v>
      </c>
      <c r="BD183" s="1" t="b">
        <v>0</v>
      </c>
      <c r="BE183" s="1">
        <v>11.34</v>
      </c>
      <c r="BF183" s="1">
        <v>13.285</v>
      </c>
      <c r="BG183" s="1" t="b">
        <v>0</v>
      </c>
      <c r="BH183" s="1" t="b">
        <v>0</v>
      </c>
      <c r="BI183" s="1">
        <v>77.78</v>
      </c>
      <c r="BJ183" s="1">
        <v>75.0</v>
      </c>
      <c r="BK183" s="1" t="b">
        <v>0</v>
      </c>
      <c r="BL183" s="1" t="b">
        <v>0</v>
      </c>
      <c r="BM183" s="1">
        <v>13.121</v>
      </c>
      <c r="BN183" s="1">
        <v>14.568</v>
      </c>
      <c r="BO183" s="1" t="b">
        <v>1</v>
      </c>
      <c r="BP183" s="1" t="b">
        <v>0</v>
      </c>
      <c r="BQ183" s="1">
        <v>75.0</v>
      </c>
      <c r="BR183" s="1">
        <v>72.027</v>
      </c>
      <c r="BS183" s="1" t="b">
        <v>0</v>
      </c>
      <c r="BT183" s="1" t="b">
        <v>0</v>
      </c>
      <c r="BU183" s="1" t="s">
        <v>105</v>
      </c>
      <c r="BV183" s="1" t="s">
        <v>105</v>
      </c>
      <c r="BW183" s="1" t="s">
        <v>105</v>
      </c>
      <c r="BX183" s="1" t="s">
        <v>105</v>
      </c>
      <c r="BY183" s="1" t="s">
        <v>105</v>
      </c>
      <c r="BZ183" s="1" t="s">
        <v>105</v>
      </c>
      <c r="CA183" s="1" t="s">
        <v>105</v>
      </c>
      <c r="CB183" s="1" t="s">
        <v>105</v>
      </c>
      <c r="CC183" s="1" t="s">
        <v>91</v>
      </c>
      <c r="CD183" s="1" t="s">
        <v>105</v>
      </c>
      <c r="CE183" s="4"/>
      <c r="CF183" s="4"/>
    </row>
    <row r="184" hidden="1">
      <c r="A184" s="1" t="s">
        <v>82</v>
      </c>
      <c r="B184" s="1" t="s">
        <v>152</v>
      </c>
      <c r="C184" s="1">
        <v>12.0</v>
      </c>
      <c r="D184" s="5" t="s">
        <v>915</v>
      </c>
      <c r="E184" s="1" t="s">
        <v>916</v>
      </c>
      <c r="F184" s="1">
        <v>34.0</v>
      </c>
      <c r="G184" s="1">
        <v>-0.5423</v>
      </c>
      <c r="H184" s="1" t="s">
        <v>917</v>
      </c>
      <c r="I184" s="4" t="b">
        <f>IFERROR(__xludf.DUMMYFUNCTION("IF(H184="""",,REGEXMATCH(H184,""[א-ת]""))"),FALSE)</f>
        <v>0</v>
      </c>
      <c r="J184" s="4"/>
      <c r="K184" s="4"/>
      <c r="L184" s="1">
        <v>-0.5423</v>
      </c>
      <c r="M184" s="1">
        <v>12.47</v>
      </c>
      <c r="N184" s="1">
        <v>79.41</v>
      </c>
      <c r="O184" s="1">
        <v>2.335588235</v>
      </c>
      <c r="P184" s="4"/>
      <c r="Q184" s="4"/>
      <c r="R184" s="1" t="s">
        <v>89</v>
      </c>
      <c r="S184" s="1" t="s">
        <v>916</v>
      </c>
      <c r="T184" s="1" t="s">
        <v>152</v>
      </c>
      <c r="U184" s="1">
        <v>13.0</v>
      </c>
      <c r="V184" s="5" t="s">
        <v>915</v>
      </c>
      <c r="W184" s="1" t="s">
        <v>916</v>
      </c>
      <c r="X184" s="1" t="s">
        <v>918</v>
      </c>
      <c r="Y184" s="4"/>
      <c r="Z184" s="4"/>
      <c r="AA184" s="4" t="b">
        <f>IFERROR(__xludf.DUMMYFUNCTION("IF(X184="""",,REGEXMATCH(X184,""[א-ת]""))"),FALSE)</f>
        <v>0</v>
      </c>
      <c r="AB184" s="1">
        <v>22.57</v>
      </c>
      <c r="AC184" s="1">
        <v>67.65</v>
      </c>
      <c r="AD184" s="1">
        <v>0.80317919526066</v>
      </c>
      <c r="AE184" s="1">
        <v>0.0</v>
      </c>
      <c r="AF184" s="1">
        <v>-0.5423</v>
      </c>
      <c r="AG184" s="1">
        <v>6.337</v>
      </c>
      <c r="AH184" s="1">
        <v>6.781</v>
      </c>
      <c r="AI184" s="1" t="b">
        <v>0</v>
      </c>
      <c r="AJ184" s="1" t="b">
        <v>0</v>
      </c>
      <c r="AK184" s="1">
        <v>94.182</v>
      </c>
      <c r="AL184" s="1">
        <v>96.508</v>
      </c>
      <c r="AM184" s="1" t="b">
        <v>0</v>
      </c>
      <c r="AN184" s="1" t="b">
        <v>0</v>
      </c>
      <c r="AO184" s="1">
        <v>8.05</v>
      </c>
      <c r="AP184" s="1">
        <v>8.53399999999999</v>
      </c>
      <c r="AQ184" s="1" t="b">
        <v>0</v>
      </c>
      <c r="AR184" s="1" t="b">
        <v>0</v>
      </c>
      <c r="AS184" s="1">
        <v>86.9179999999999</v>
      </c>
      <c r="AT184" s="1">
        <v>87.152</v>
      </c>
      <c r="AU184" s="1" t="b">
        <v>0</v>
      </c>
      <c r="AV184" s="1" t="b">
        <v>0</v>
      </c>
      <c r="AW184" s="1">
        <v>9.61399999999999</v>
      </c>
      <c r="AX184" s="1">
        <v>11.026</v>
      </c>
      <c r="AY184" s="1" t="b">
        <v>0</v>
      </c>
      <c r="AZ184" s="1" t="b">
        <v>0</v>
      </c>
      <c r="BA184" s="1">
        <v>81.25</v>
      </c>
      <c r="BB184" s="1">
        <v>77.78</v>
      </c>
      <c r="BC184" s="1" t="b">
        <v>0</v>
      </c>
      <c r="BD184" s="1" t="b">
        <v>0</v>
      </c>
      <c r="BE184" s="1">
        <v>11.34</v>
      </c>
      <c r="BF184" s="1">
        <v>13.285</v>
      </c>
      <c r="BG184" s="1" t="b">
        <v>0</v>
      </c>
      <c r="BH184" s="1" t="b">
        <v>0</v>
      </c>
      <c r="BI184" s="1">
        <v>77.78</v>
      </c>
      <c r="BJ184" s="1">
        <v>75.0</v>
      </c>
      <c r="BK184" s="1" t="b">
        <v>1</v>
      </c>
      <c r="BL184" s="1" t="b">
        <v>0</v>
      </c>
      <c r="BM184" s="1">
        <v>13.121</v>
      </c>
      <c r="BN184" s="1">
        <v>14.568</v>
      </c>
      <c r="BO184" s="1" t="b">
        <v>1</v>
      </c>
      <c r="BP184" s="1" t="b">
        <v>0</v>
      </c>
      <c r="BQ184" s="1">
        <v>75.0</v>
      </c>
      <c r="BR184" s="1">
        <v>72.027</v>
      </c>
      <c r="BS184" s="1" t="b">
        <v>1</v>
      </c>
      <c r="BT184" s="1" t="b">
        <v>0</v>
      </c>
      <c r="BU184" s="1" t="s">
        <v>105</v>
      </c>
      <c r="BV184" s="1" t="s">
        <v>105</v>
      </c>
      <c r="BW184" s="1" t="s">
        <v>105</v>
      </c>
      <c r="BX184" s="1" t="s">
        <v>105</v>
      </c>
      <c r="BY184" s="1" t="s">
        <v>105</v>
      </c>
      <c r="BZ184" s="1" t="s">
        <v>105</v>
      </c>
      <c r="CA184" s="1" t="s">
        <v>105</v>
      </c>
      <c r="CB184" s="1" t="s">
        <v>91</v>
      </c>
      <c r="CC184" s="1" t="s">
        <v>91</v>
      </c>
      <c r="CD184" s="1" t="s">
        <v>91</v>
      </c>
      <c r="CE184" s="4"/>
      <c r="CF184" s="4"/>
    </row>
    <row r="185" hidden="1">
      <c r="A185" s="1" t="s">
        <v>82</v>
      </c>
      <c r="B185" s="1" t="s">
        <v>116</v>
      </c>
      <c r="C185" s="1">
        <v>9.0</v>
      </c>
      <c r="D185" s="5" t="s">
        <v>919</v>
      </c>
      <c r="E185" s="1" t="s">
        <v>920</v>
      </c>
      <c r="F185" s="1">
        <v>45.0</v>
      </c>
      <c r="G185" s="1">
        <v>0.3612</v>
      </c>
      <c r="H185" s="1" t="s">
        <v>921</v>
      </c>
      <c r="I185" s="4" t="b">
        <f>IFERROR(__xludf.DUMMYFUNCTION("IF(H185="""",,REGEXMATCH(H185,""[א-ת]""))"),FALSE)</f>
        <v>0</v>
      </c>
      <c r="J185" s="4"/>
      <c r="K185" s="4"/>
      <c r="L185" s="1">
        <v>-0.0516</v>
      </c>
      <c r="M185" s="1">
        <v>12.51</v>
      </c>
      <c r="N185" s="1">
        <v>75.56</v>
      </c>
      <c r="O185" s="1">
        <v>1.679111111</v>
      </c>
      <c r="P185" s="4"/>
      <c r="Q185" s="4"/>
      <c r="R185" s="1" t="s">
        <v>89</v>
      </c>
      <c r="S185" s="1" t="s">
        <v>920</v>
      </c>
      <c r="T185" s="1" t="s">
        <v>116</v>
      </c>
      <c r="U185" s="1">
        <v>10.0</v>
      </c>
      <c r="V185" s="5" t="s">
        <v>919</v>
      </c>
      <c r="W185" s="1" t="s">
        <v>920</v>
      </c>
      <c r="X185" s="1" t="s">
        <v>922</v>
      </c>
      <c r="Y185" s="4"/>
      <c r="Z185" s="4"/>
      <c r="AA185" s="4" t="b">
        <f>IFERROR(__xludf.DUMMYFUNCTION("IF(X185="""",,REGEXMATCH(X185,""[א-ת]""))"),TRUE)</f>
        <v>1</v>
      </c>
      <c r="AB185" s="1">
        <v>20.03</v>
      </c>
      <c r="AC185" s="1">
        <v>60.0</v>
      </c>
      <c r="AD185" s="1">
        <v>0.67560836064255</v>
      </c>
      <c r="AE185" s="1">
        <v>0.3612</v>
      </c>
      <c r="AF185" s="1">
        <v>0.3612</v>
      </c>
      <c r="AG185" s="1">
        <v>6.337</v>
      </c>
      <c r="AH185" s="1">
        <v>6.781</v>
      </c>
      <c r="AI185" s="1" t="b">
        <v>0</v>
      </c>
      <c r="AJ185" s="1" t="b">
        <v>0</v>
      </c>
      <c r="AK185" s="1">
        <v>94.182</v>
      </c>
      <c r="AL185" s="1">
        <v>96.508</v>
      </c>
      <c r="AM185" s="1" t="b">
        <v>0</v>
      </c>
      <c r="AN185" s="1" t="b">
        <v>0</v>
      </c>
      <c r="AO185" s="1">
        <v>8.05</v>
      </c>
      <c r="AP185" s="1">
        <v>8.53399999999999</v>
      </c>
      <c r="AQ185" s="1" t="b">
        <v>0</v>
      </c>
      <c r="AR185" s="1" t="b">
        <v>0</v>
      </c>
      <c r="AS185" s="1">
        <v>86.9179999999999</v>
      </c>
      <c r="AT185" s="1">
        <v>87.152</v>
      </c>
      <c r="AU185" s="1" t="b">
        <v>0</v>
      </c>
      <c r="AV185" s="1" t="b">
        <v>0</v>
      </c>
      <c r="AW185" s="1">
        <v>9.61399999999999</v>
      </c>
      <c r="AX185" s="1">
        <v>11.026</v>
      </c>
      <c r="AY185" s="1" t="b">
        <v>0</v>
      </c>
      <c r="AZ185" s="1" t="b">
        <v>0</v>
      </c>
      <c r="BA185" s="1">
        <v>81.25</v>
      </c>
      <c r="BB185" s="1">
        <v>77.78</v>
      </c>
      <c r="BC185" s="1" t="b">
        <v>0</v>
      </c>
      <c r="BD185" s="1" t="b">
        <v>0</v>
      </c>
      <c r="BE185" s="1">
        <v>11.34</v>
      </c>
      <c r="BF185" s="1">
        <v>13.285</v>
      </c>
      <c r="BG185" s="1" t="b">
        <v>0</v>
      </c>
      <c r="BH185" s="1" t="b">
        <v>0</v>
      </c>
      <c r="BI185" s="1">
        <v>77.78</v>
      </c>
      <c r="BJ185" s="1">
        <v>75.0</v>
      </c>
      <c r="BK185" s="1" t="b">
        <v>0</v>
      </c>
      <c r="BL185" s="1" t="b">
        <v>0</v>
      </c>
      <c r="BM185" s="1">
        <v>13.121</v>
      </c>
      <c r="BN185" s="1">
        <v>14.568</v>
      </c>
      <c r="BO185" s="1" t="b">
        <v>1</v>
      </c>
      <c r="BP185" s="1" t="b">
        <v>0</v>
      </c>
      <c r="BQ185" s="1">
        <v>75.0</v>
      </c>
      <c r="BR185" s="1">
        <v>72.027</v>
      </c>
      <c r="BS185" s="1" t="b">
        <v>1</v>
      </c>
      <c r="BT185" s="1" t="b">
        <v>0</v>
      </c>
      <c r="BU185" s="1" t="s">
        <v>105</v>
      </c>
      <c r="BV185" s="1" t="s">
        <v>105</v>
      </c>
      <c r="BW185" s="1" t="s">
        <v>105</v>
      </c>
      <c r="BX185" s="1" t="s">
        <v>105</v>
      </c>
      <c r="BY185" s="1" t="s">
        <v>105</v>
      </c>
      <c r="BZ185" s="1" t="s">
        <v>105</v>
      </c>
      <c r="CA185" s="1" t="s">
        <v>105</v>
      </c>
      <c r="CB185" s="1" t="s">
        <v>105</v>
      </c>
      <c r="CC185" s="1" t="s">
        <v>91</v>
      </c>
      <c r="CD185" s="1" t="s">
        <v>91</v>
      </c>
      <c r="CE185" s="4"/>
      <c r="CF185" s="4"/>
    </row>
    <row r="186" hidden="1">
      <c r="A186" s="1" t="s">
        <v>82</v>
      </c>
      <c r="B186" s="1" t="s">
        <v>123</v>
      </c>
      <c r="C186" s="1">
        <v>18.0</v>
      </c>
      <c r="D186" s="5" t="s">
        <v>923</v>
      </c>
      <c r="E186" s="1" t="s">
        <v>924</v>
      </c>
      <c r="F186" s="1">
        <v>32.0</v>
      </c>
      <c r="G186" s="1">
        <v>0.0258</v>
      </c>
      <c r="H186" s="1" t="s">
        <v>925</v>
      </c>
      <c r="I186" s="4" t="b">
        <f>IFERROR(__xludf.DUMMYFUNCTION("IF(H186="""",,REGEXMATCH(H186,""[א-ת]""))"),FALSE)</f>
        <v>0</v>
      </c>
      <c r="J186" s="4"/>
      <c r="K186" s="4"/>
      <c r="L186" s="1">
        <v>0.0</v>
      </c>
      <c r="M186" s="1">
        <v>12.61</v>
      </c>
      <c r="N186" s="1">
        <v>71.88</v>
      </c>
      <c r="O186" s="1">
        <v>2.24625</v>
      </c>
      <c r="P186" s="4"/>
      <c r="Q186" s="4"/>
      <c r="R186" s="1" t="s">
        <v>127</v>
      </c>
      <c r="S186" s="1" t="s">
        <v>924</v>
      </c>
      <c r="T186" s="1" t="s">
        <v>123</v>
      </c>
      <c r="U186" s="1">
        <v>19.0</v>
      </c>
      <c r="V186" s="5" t="s">
        <v>923</v>
      </c>
      <c r="W186" s="1" t="s">
        <v>924</v>
      </c>
      <c r="X186" s="1" t="s">
        <v>926</v>
      </c>
      <c r="Y186" s="4"/>
      <c r="Z186" s="4"/>
      <c r="AA186" s="4" t="b">
        <f>IFERROR(__xludf.DUMMYFUNCTION("IF(X186="""",,REGEXMATCH(X186,""[א-ת]""))"),FALSE)</f>
        <v>0</v>
      </c>
      <c r="AB186" s="1">
        <v>21.42</v>
      </c>
      <c r="AC186" s="1">
        <v>65.62</v>
      </c>
      <c r="AD186" s="1">
        <v>0.393666311602049</v>
      </c>
      <c r="AE186" s="1">
        <v>0.4199</v>
      </c>
      <c r="AF186" s="1">
        <v>0.0258</v>
      </c>
      <c r="AG186" s="1">
        <v>6.337</v>
      </c>
      <c r="AH186" s="1">
        <v>6.781</v>
      </c>
      <c r="AI186" s="1" t="b">
        <v>0</v>
      </c>
      <c r="AJ186" s="1" t="b">
        <v>0</v>
      </c>
      <c r="AK186" s="1">
        <v>94.182</v>
      </c>
      <c r="AL186" s="1">
        <v>96.508</v>
      </c>
      <c r="AM186" s="1" t="b">
        <v>0</v>
      </c>
      <c r="AN186" s="1" t="b">
        <v>0</v>
      </c>
      <c r="AO186" s="1">
        <v>8.05</v>
      </c>
      <c r="AP186" s="1">
        <v>8.53399999999999</v>
      </c>
      <c r="AQ186" s="1" t="b">
        <v>0</v>
      </c>
      <c r="AR186" s="1" t="b">
        <v>0</v>
      </c>
      <c r="AS186" s="1">
        <v>86.9179999999999</v>
      </c>
      <c r="AT186" s="1">
        <v>87.152</v>
      </c>
      <c r="AU186" s="1" t="b">
        <v>0</v>
      </c>
      <c r="AV186" s="1" t="b">
        <v>0</v>
      </c>
      <c r="AW186" s="1">
        <v>9.61399999999999</v>
      </c>
      <c r="AX186" s="1">
        <v>11.026</v>
      </c>
      <c r="AY186" s="1" t="b">
        <v>0</v>
      </c>
      <c r="AZ186" s="1" t="b">
        <v>0</v>
      </c>
      <c r="BA186" s="1">
        <v>81.25</v>
      </c>
      <c r="BB186" s="1">
        <v>77.78</v>
      </c>
      <c r="BC186" s="1" t="b">
        <v>0</v>
      </c>
      <c r="BD186" s="1" t="b">
        <v>0</v>
      </c>
      <c r="BE186" s="1">
        <v>11.34</v>
      </c>
      <c r="BF186" s="1">
        <v>13.285</v>
      </c>
      <c r="BG186" s="1" t="b">
        <v>0</v>
      </c>
      <c r="BH186" s="1" t="b">
        <v>0</v>
      </c>
      <c r="BI186" s="1">
        <v>77.78</v>
      </c>
      <c r="BJ186" s="1">
        <v>75.0</v>
      </c>
      <c r="BK186" s="1" t="b">
        <v>0</v>
      </c>
      <c r="BL186" s="1" t="b">
        <v>0</v>
      </c>
      <c r="BM186" s="1">
        <v>13.121</v>
      </c>
      <c r="BN186" s="1">
        <v>14.568</v>
      </c>
      <c r="BO186" s="1" t="b">
        <v>1</v>
      </c>
      <c r="BP186" s="1" t="b">
        <v>0</v>
      </c>
      <c r="BQ186" s="1">
        <v>75.0</v>
      </c>
      <c r="BR186" s="1">
        <v>72.027</v>
      </c>
      <c r="BS186" s="1" t="b">
        <v>0</v>
      </c>
      <c r="BT186" s="1" t="b">
        <v>0</v>
      </c>
      <c r="BU186" s="1" t="s">
        <v>105</v>
      </c>
      <c r="BV186" s="1" t="s">
        <v>105</v>
      </c>
      <c r="BW186" s="1" t="s">
        <v>105</v>
      </c>
      <c r="BX186" s="1" t="s">
        <v>105</v>
      </c>
      <c r="BY186" s="1" t="s">
        <v>105</v>
      </c>
      <c r="BZ186" s="1" t="s">
        <v>105</v>
      </c>
      <c r="CA186" s="1" t="s">
        <v>105</v>
      </c>
      <c r="CB186" s="1" t="s">
        <v>105</v>
      </c>
      <c r="CC186" s="1" t="s">
        <v>91</v>
      </c>
      <c r="CD186" s="1" t="s">
        <v>105</v>
      </c>
      <c r="CE186" s="4"/>
      <c r="CF186" s="4"/>
    </row>
    <row r="187" hidden="1">
      <c r="A187" s="1" t="s">
        <v>82</v>
      </c>
      <c r="B187" s="1" t="s">
        <v>304</v>
      </c>
      <c r="C187" s="1">
        <v>29.0</v>
      </c>
      <c r="D187" s="5" t="s">
        <v>927</v>
      </c>
      <c r="E187" s="1" t="s">
        <v>928</v>
      </c>
      <c r="F187" s="1">
        <v>35.0</v>
      </c>
      <c r="G187" s="1">
        <v>0.3182</v>
      </c>
      <c r="H187" s="1" t="s">
        <v>929</v>
      </c>
      <c r="I187" s="4" t="b">
        <f>IFERROR(__xludf.DUMMYFUNCTION("IF(H187="""",,REGEXMATCH(H187,""[א-ת]""))"),FALSE)</f>
        <v>0</v>
      </c>
      <c r="J187" s="4"/>
      <c r="K187" s="4"/>
      <c r="L187" s="1">
        <v>0.0</v>
      </c>
      <c r="M187" s="1">
        <v>12.68</v>
      </c>
      <c r="N187" s="1">
        <v>62.86</v>
      </c>
      <c r="O187" s="1">
        <v>1.796</v>
      </c>
      <c r="P187" s="4"/>
      <c r="Q187" s="4"/>
      <c r="R187" s="1" t="s">
        <v>89</v>
      </c>
      <c r="S187" s="1" t="s">
        <v>928</v>
      </c>
      <c r="T187" s="1" t="s">
        <v>304</v>
      </c>
      <c r="U187" s="1">
        <v>30.0</v>
      </c>
      <c r="V187" s="5" t="s">
        <v>927</v>
      </c>
      <c r="W187" s="1" t="s">
        <v>928</v>
      </c>
      <c r="X187" s="1" t="s">
        <v>930</v>
      </c>
      <c r="Y187" s="4"/>
      <c r="Z187" s="4"/>
      <c r="AA187" s="4" t="b">
        <f>IFERROR(__xludf.DUMMYFUNCTION("IF(X187="""",,REGEXMATCH(X187,""[א-ת]""))"),FALSE)</f>
        <v>0</v>
      </c>
      <c r="AB187" s="1">
        <v>43.48</v>
      </c>
      <c r="AC187" s="1">
        <v>40.0</v>
      </c>
      <c r="AD187" s="1">
        <v>0.628109865269661</v>
      </c>
      <c r="AE187" s="1">
        <v>0.3182</v>
      </c>
      <c r="AF187" s="1">
        <v>0.3182</v>
      </c>
      <c r="AG187" s="1">
        <v>6.337</v>
      </c>
      <c r="AH187" s="1">
        <v>6.781</v>
      </c>
      <c r="AI187" s="1" t="b">
        <v>0</v>
      </c>
      <c r="AJ187" s="1" t="b">
        <v>0</v>
      </c>
      <c r="AK187" s="1">
        <v>94.182</v>
      </c>
      <c r="AL187" s="1">
        <v>96.508</v>
      </c>
      <c r="AM187" s="1" t="b">
        <v>0</v>
      </c>
      <c r="AN187" s="1" t="b">
        <v>0</v>
      </c>
      <c r="AO187" s="1">
        <v>8.05</v>
      </c>
      <c r="AP187" s="1">
        <v>8.53399999999999</v>
      </c>
      <c r="AQ187" s="1" t="b">
        <v>0</v>
      </c>
      <c r="AR187" s="1" t="b">
        <v>0</v>
      </c>
      <c r="AS187" s="1">
        <v>86.9179999999999</v>
      </c>
      <c r="AT187" s="1">
        <v>87.152</v>
      </c>
      <c r="AU187" s="1" t="b">
        <v>0</v>
      </c>
      <c r="AV187" s="1" t="b">
        <v>0</v>
      </c>
      <c r="AW187" s="1">
        <v>9.61399999999999</v>
      </c>
      <c r="AX187" s="1">
        <v>11.026</v>
      </c>
      <c r="AY187" s="1" t="b">
        <v>0</v>
      </c>
      <c r="AZ187" s="1" t="b">
        <v>0</v>
      </c>
      <c r="BA187" s="1">
        <v>81.25</v>
      </c>
      <c r="BB187" s="1">
        <v>77.78</v>
      </c>
      <c r="BC187" s="1" t="b">
        <v>0</v>
      </c>
      <c r="BD187" s="1" t="b">
        <v>0</v>
      </c>
      <c r="BE187" s="1">
        <v>11.34</v>
      </c>
      <c r="BF187" s="1">
        <v>13.285</v>
      </c>
      <c r="BG187" s="1" t="b">
        <v>0</v>
      </c>
      <c r="BH187" s="1" t="b">
        <v>0</v>
      </c>
      <c r="BI187" s="1">
        <v>77.78</v>
      </c>
      <c r="BJ187" s="1">
        <v>75.0</v>
      </c>
      <c r="BK187" s="1" t="b">
        <v>0</v>
      </c>
      <c r="BL187" s="1" t="b">
        <v>0</v>
      </c>
      <c r="BM187" s="1">
        <v>13.121</v>
      </c>
      <c r="BN187" s="1">
        <v>14.568</v>
      </c>
      <c r="BO187" s="1" t="b">
        <v>1</v>
      </c>
      <c r="BP187" s="1" t="b">
        <v>0</v>
      </c>
      <c r="BQ187" s="1">
        <v>75.0</v>
      </c>
      <c r="BR187" s="1">
        <v>72.027</v>
      </c>
      <c r="BS187" s="1" t="b">
        <v>0</v>
      </c>
      <c r="BT187" s="1" t="b">
        <v>0</v>
      </c>
      <c r="BU187" s="1" t="s">
        <v>105</v>
      </c>
      <c r="BV187" s="1" t="s">
        <v>105</v>
      </c>
      <c r="BW187" s="1" t="s">
        <v>105</v>
      </c>
      <c r="BX187" s="1" t="s">
        <v>105</v>
      </c>
      <c r="BY187" s="1" t="s">
        <v>105</v>
      </c>
      <c r="BZ187" s="1" t="s">
        <v>105</v>
      </c>
      <c r="CA187" s="1" t="s">
        <v>105</v>
      </c>
      <c r="CB187" s="1" t="s">
        <v>105</v>
      </c>
      <c r="CC187" s="1" t="s">
        <v>91</v>
      </c>
      <c r="CD187" s="1" t="s">
        <v>105</v>
      </c>
      <c r="CE187" s="4"/>
      <c r="CF187" s="4"/>
    </row>
    <row r="188" hidden="1">
      <c r="A188" s="1" t="s">
        <v>82</v>
      </c>
      <c r="B188" s="1" t="s">
        <v>139</v>
      </c>
      <c r="C188" s="1">
        <v>18.0</v>
      </c>
      <c r="D188" s="5" t="s">
        <v>931</v>
      </c>
      <c r="E188" s="1" t="s">
        <v>932</v>
      </c>
      <c r="F188" s="1">
        <v>21.0</v>
      </c>
      <c r="G188" s="1">
        <v>0.5023</v>
      </c>
      <c r="H188" s="1" t="s">
        <v>933</v>
      </c>
      <c r="I188" s="4" t="b">
        <f>IFERROR(__xludf.DUMMYFUNCTION("IF(H188="""",,REGEXMATCH(H188,""[א-ת]""))"),FALSE)</f>
        <v>0</v>
      </c>
      <c r="J188" s="4"/>
      <c r="K188" s="4"/>
      <c r="L188" s="1">
        <v>0.9231</v>
      </c>
      <c r="M188" s="1">
        <v>12.83</v>
      </c>
      <c r="N188" s="1">
        <v>85.71</v>
      </c>
      <c r="O188" s="1">
        <v>4.081428571</v>
      </c>
      <c r="P188" s="4"/>
      <c r="Q188" s="4"/>
      <c r="R188" s="1" t="s">
        <v>96</v>
      </c>
      <c r="S188" s="1" t="s">
        <v>932</v>
      </c>
      <c r="T188" s="1" t="s">
        <v>139</v>
      </c>
      <c r="U188" s="1">
        <v>19.0</v>
      </c>
      <c r="V188" s="5" t="s">
        <v>931</v>
      </c>
      <c r="W188" s="1" t="s">
        <v>932</v>
      </c>
      <c r="X188" s="1" t="s">
        <v>934</v>
      </c>
      <c r="Y188" s="4"/>
      <c r="Z188" s="4"/>
      <c r="AA188" s="4" t="b">
        <f>IFERROR(__xludf.DUMMYFUNCTION("IF(X188="""",,REGEXMATCH(X188,""[א-ת]""))"),FALSE)</f>
        <v>0</v>
      </c>
      <c r="AB188" s="1">
        <v>16.25</v>
      </c>
      <c r="AC188" s="1">
        <v>71.43</v>
      </c>
      <c r="AD188" s="1">
        <v>0.479730212561277</v>
      </c>
      <c r="AE188" s="1">
        <v>0.5023</v>
      </c>
      <c r="AF188" s="1">
        <v>0.5023</v>
      </c>
      <c r="AG188" s="1">
        <v>6.337</v>
      </c>
      <c r="AH188" s="1">
        <v>6.781</v>
      </c>
      <c r="AI188" s="1" t="b">
        <v>0</v>
      </c>
      <c r="AJ188" s="1" t="b">
        <v>0</v>
      </c>
      <c r="AK188" s="1">
        <v>94.182</v>
      </c>
      <c r="AL188" s="1">
        <v>96.508</v>
      </c>
      <c r="AM188" s="1" t="b">
        <v>0</v>
      </c>
      <c r="AN188" s="1" t="b">
        <v>0</v>
      </c>
      <c r="AO188" s="1">
        <v>8.05</v>
      </c>
      <c r="AP188" s="1">
        <v>8.53399999999999</v>
      </c>
      <c r="AQ188" s="1" t="b">
        <v>0</v>
      </c>
      <c r="AR188" s="1" t="b">
        <v>0</v>
      </c>
      <c r="AS188" s="1">
        <v>86.9179999999999</v>
      </c>
      <c r="AT188" s="1">
        <v>87.152</v>
      </c>
      <c r="AU188" s="1" t="b">
        <v>0</v>
      </c>
      <c r="AV188" s="1" t="b">
        <v>0</v>
      </c>
      <c r="AW188" s="1">
        <v>9.61399999999999</v>
      </c>
      <c r="AX188" s="1">
        <v>11.026</v>
      </c>
      <c r="AY188" s="1" t="b">
        <v>0</v>
      </c>
      <c r="AZ188" s="1" t="b">
        <v>0</v>
      </c>
      <c r="BA188" s="1">
        <v>81.25</v>
      </c>
      <c r="BB188" s="1">
        <v>77.78</v>
      </c>
      <c r="BC188" s="1" t="b">
        <v>1</v>
      </c>
      <c r="BD188" s="1" t="b">
        <v>0</v>
      </c>
      <c r="BE188" s="1">
        <v>11.34</v>
      </c>
      <c r="BF188" s="1">
        <v>13.285</v>
      </c>
      <c r="BG188" s="1" t="b">
        <v>0</v>
      </c>
      <c r="BH188" s="1" t="b">
        <v>0</v>
      </c>
      <c r="BI188" s="1">
        <v>77.78</v>
      </c>
      <c r="BJ188" s="1">
        <v>75.0</v>
      </c>
      <c r="BK188" s="1" t="b">
        <v>1</v>
      </c>
      <c r="BL188" s="1" t="b">
        <v>0</v>
      </c>
      <c r="BM188" s="1">
        <v>13.121</v>
      </c>
      <c r="BN188" s="1">
        <v>14.568</v>
      </c>
      <c r="BO188" s="1" t="b">
        <v>1</v>
      </c>
      <c r="BP188" s="1" t="b">
        <v>0</v>
      </c>
      <c r="BQ188" s="1">
        <v>75.0</v>
      </c>
      <c r="BR188" s="1">
        <v>72.027</v>
      </c>
      <c r="BS188" s="1" t="b">
        <v>1</v>
      </c>
      <c r="BT188" s="1" t="b">
        <v>0</v>
      </c>
      <c r="BU188" s="1" t="s">
        <v>105</v>
      </c>
      <c r="BV188" s="1" t="s">
        <v>105</v>
      </c>
      <c r="BW188" s="1" t="s">
        <v>105</v>
      </c>
      <c r="BX188" s="1" t="s">
        <v>105</v>
      </c>
      <c r="BY188" s="1" t="s">
        <v>105</v>
      </c>
      <c r="BZ188" s="1" t="s">
        <v>91</v>
      </c>
      <c r="CA188" s="1" t="s">
        <v>105</v>
      </c>
      <c r="CB188" s="1" t="s">
        <v>91</v>
      </c>
      <c r="CC188" s="1" t="s">
        <v>91</v>
      </c>
      <c r="CD188" s="1" t="s">
        <v>91</v>
      </c>
      <c r="CE188" s="4"/>
      <c r="CF188" s="4"/>
    </row>
    <row r="189" hidden="1">
      <c r="A189" s="1" t="s">
        <v>82</v>
      </c>
      <c r="B189" s="1" t="s">
        <v>111</v>
      </c>
      <c r="C189" s="1">
        <v>18.0</v>
      </c>
      <c r="D189" s="5" t="s">
        <v>935</v>
      </c>
      <c r="E189" s="1" t="s">
        <v>936</v>
      </c>
      <c r="F189" s="1">
        <v>24.0</v>
      </c>
      <c r="G189" s="1">
        <v>-0.1154</v>
      </c>
      <c r="H189" s="1" t="s">
        <v>937</v>
      </c>
      <c r="I189" s="4" t="b">
        <f>IFERROR(__xludf.DUMMYFUNCTION("IF(H189="""",,REGEXMATCH(H189,""[א-ת]""))"),FALSE)</f>
        <v>0</v>
      </c>
      <c r="J189" s="4"/>
      <c r="K189" s="4"/>
      <c r="L189" s="1">
        <v>0.0</v>
      </c>
      <c r="M189" s="1">
        <v>12.86</v>
      </c>
      <c r="N189" s="1">
        <v>70.83</v>
      </c>
      <c r="O189" s="1">
        <v>2.95125</v>
      </c>
      <c r="P189" s="4"/>
      <c r="Q189" s="4"/>
      <c r="R189" s="1" t="s">
        <v>89</v>
      </c>
      <c r="S189" s="1" t="s">
        <v>936</v>
      </c>
      <c r="T189" s="1" t="s">
        <v>111</v>
      </c>
      <c r="U189" s="1">
        <v>19.0</v>
      </c>
      <c r="V189" s="5" t="s">
        <v>935</v>
      </c>
      <c r="W189" s="1" t="s">
        <v>936</v>
      </c>
      <c r="X189" s="1" t="s">
        <v>938</v>
      </c>
      <c r="Y189" s="4"/>
      <c r="Z189" s="4"/>
      <c r="AA189" s="4" t="b">
        <f>IFERROR(__xludf.DUMMYFUNCTION("IF(X189="""",,REGEXMATCH(X189,""[א-ת]""))"),FALSE)</f>
        <v>0</v>
      </c>
      <c r="AB189" s="1">
        <v>17.68</v>
      </c>
      <c r="AC189" s="1">
        <v>66.67</v>
      </c>
      <c r="AD189" s="1">
        <v>0.502006635844272</v>
      </c>
      <c r="AE189" s="1">
        <v>0.3291</v>
      </c>
      <c r="AF189" s="1">
        <v>-0.1154</v>
      </c>
      <c r="AG189" s="1">
        <v>6.337</v>
      </c>
      <c r="AH189" s="1">
        <v>6.781</v>
      </c>
      <c r="AI189" s="1" t="b">
        <v>0</v>
      </c>
      <c r="AJ189" s="1" t="b">
        <v>0</v>
      </c>
      <c r="AK189" s="1">
        <v>94.182</v>
      </c>
      <c r="AL189" s="1">
        <v>96.508</v>
      </c>
      <c r="AM189" s="1" t="b">
        <v>0</v>
      </c>
      <c r="AN189" s="1" t="b">
        <v>0</v>
      </c>
      <c r="AO189" s="1">
        <v>8.05</v>
      </c>
      <c r="AP189" s="1">
        <v>8.53399999999999</v>
      </c>
      <c r="AQ189" s="1" t="b">
        <v>0</v>
      </c>
      <c r="AR189" s="1" t="b">
        <v>0</v>
      </c>
      <c r="AS189" s="1">
        <v>86.9179999999999</v>
      </c>
      <c r="AT189" s="1">
        <v>87.152</v>
      </c>
      <c r="AU189" s="1" t="b">
        <v>0</v>
      </c>
      <c r="AV189" s="1" t="b">
        <v>0</v>
      </c>
      <c r="AW189" s="1">
        <v>9.61399999999999</v>
      </c>
      <c r="AX189" s="1">
        <v>11.026</v>
      </c>
      <c r="AY189" s="1" t="b">
        <v>0</v>
      </c>
      <c r="AZ189" s="1" t="b">
        <v>0</v>
      </c>
      <c r="BA189" s="1">
        <v>81.25</v>
      </c>
      <c r="BB189" s="1">
        <v>77.78</v>
      </c>
      <c r="BC189" s="1" t="b">
        <v>0</v>
      </c>
      <c r="BD189" s="1" t="b">
        <v>0</v>
      </c>
      <c r="BE189" s="1">
        <v>11.34</v>
      </c>
      <c r="BF189" s="1">
        <v>13.285</v>
      </c>
      <c r="BG189" s="1" t="b">
        <v>0</v>
      </c>
      <c r="BH189" s="1" t="b">
        <v>0</v>
      </c>
      <c r="BI189" s="1">
        <v>77.78</v>
      </c>
      <c r="BJ189" s="1">
        <v>75.0</v>
      </c>
      <c r="BK189" s="1" t="b">
        <v>0</v>
      </c>
      <c r="BL189" s="1" t="b">
        <v>0</v>
      </c>
      <c r="BM189" s="1">
        <v>13.121</v>
      </c>
      <c r="BN189" s="1">
        <v>14.568</v>
      </c>
      <c r="BO189" s="1" t="b">
        <v>1</v>
      </c>
      <c r="BP189" s="1" t="b">
        <v>0</v>
      </c>
      <c r="BQ189" s="1">
        <v>75.0</v>
      </c>
      <c r="BR189" s="1">
        <v>72.027</v>
      </c>
      <c r="BS189" s="1" t="b">
        <v>0</v>
      </c>
      <c r="BT189" s="1" t="b">
        <v>0</v>
      </c>
      <c r="BU189" s="1" t="s">
        <v>105</v>
      </c>
      <c r="BV189" s="1" t="s">
        <v>105</v>
      </c>
      <c r="BW189" s="1" t="s">
        <v>105</v>
      </c>
      <c r="BX189" s="1" t="s">
        <v>105</v>
      </c>
      <c r="BY189" s="1" t="s">
        <v>105</v>
      </c>
      <c r="BZ189" s="1" t="s">
        <v>105</v>
      </c>
      <c r="CA189" s="1" t="s">
        <v>105</v>
      </c>
      <c r="CB189" s="1" t="s">
        <v>105</v>
      </c>
      <c r="CC189" s="1" t="s">
        <v>91</v>
      </c>
      <c r="CD189" s="1" t="s">
        <v>105</v>
      </c>
      <c r="CE189" s="4"/>
      <c r="CF189" s="4"/>
    </row>
    <row r="190" hidden="1">
      <c r="A190" s="1" t="s">
        <v>82</v>
      </c>
      <c r="B190" s="1" t="s">
        <v>111</v>
      </c>
      <c r="C190" s="1">
        <v>53.0</v>
      </c>
      <c r="D190" s="5" t="s">
        <v>939</v>
      </c>
      <c r="E190" s="1" t="s">
        <v>940</v>
      </c>
      <c r="F190" s="1">
        <v>33.0</v>
      </c>
      <c r="G190" s="1">
        <v>0.4215</v>
      </c>
      <c r="H190" s="1" t="s">
        <v>941</v>
      </c>
      <c r="I190" s="4" t="b">
        <f>IFERROR(__xludf.DUMMYFUNCTION("IF(H190="""",,REGEXMATCH(H190,""[א-ת]""))"),FALSE)</f>
        <v>0</v>
      </c>
      <c r="J190" s="4"/>
      <c r="K190" s="4"/>
      <c r="L190" s="1">
        <v>0.6486</v>
      </c>
      <c r="M190" s="1">
        <v>12.89</v>
      </c>
      <c r="N190" s="1">
        <v>66.67</v>
      </c>
      <c r="O190" s="1">
        <v>2.02030303</v>
      </c>
      <c r="P190" s="4"/>
      <c r="Q190" s="4"/>
      <c r="R190" s="1" t="s">
        <v>89</v>
      </c>
      <c r="S190" s="1" t="s">
        <v>940</v>
      </c>
      <c r="T190" s="1" t="s">
        <v>111</v>
      </c>
      <c r="U190" s="1">
        <v>54.0</v>
      </c>
      <c r="V190" s="5" t="s">
        <v>939</v>
      </c>
      <c r="W190" s="1" t="s">
        <v>940</v>
      </c>
      <c r="X190" s="1" t="s">
        <v>942</v>
      </c>
      <c r="Y190" s="4"/>
      <c r="Z190" s="4"/>
      <c r="AA190" s="4" t="b">
        <f>IFERROR(__xludf.DUMMYFUNCTION("IF(X190="""",,REGEXMATCH(X190,""[א-ת]""))"),TRUE)</f>
        <v>1</v>
      </c>
      <c r="AB190" s="1">
        <v>14.96</v>
      </c>
      <c r="AC190" s="1">
        <v>106.06</v>
      </c>
      <c r="AD190" s="1">
        <v>0.480161701630847</v>
      </c>
      <c r="AE190" s="1">
        <v>0.6486</v>
      </c>
      <c r="AF190" s="1">
        <v>0.4215</v>
      </c>
      <c r="AG190" s="1">
        <v>6.337</v>
      </c>
      <c r="AH190" s="1">
        <v>6.781</v>
      </c>
      <c r="AI190" s="1" t="b">
        <v>0</v>
      </c>
      <c r="AJ190" s="1" t="b">
        <v>0</v>
      </c>
      <c r="AK190" s="1">
        <v>94.182</v>
      </c>
      <c r="AL190" s="1">
        <v>96.508</v>
      </c>
      <c r="AM190" s="1" t="b">
        <v>0</v>
      </c>
      <c r="AN190" s="1" t="b">
        <v>1</v>
      </c>
      <c r="AO190" s="1">
        <v>8.05</v>
      </c>
      <c r="AP190" s="1">
        <v>8.53399999999999</v>
      </c>
      <c r="AQ190" s="1" t="b">
        <v>0</v>
      </c>
      <c r="AR190" s="1" t="b">
        <v>0</v>
      </c>
      <c r="AS190" s="1">
        <v>86.9179999999999</v>
      </c>
      <c r="AT190" s="1">
        <v>87.152</v>
      </c>
      <c r="AU190" s="1" t="b">
        <v>0</v>
      </c>
      <c r="AV190" s="1" t="b">
        <v>1</v>
      </c>
      <c r="AW190" s="1">
        <v>9.61399999999999</v>
      </c>
      <c r="AX190" s="1">
        <v>11.026</v>
      </c>
      <c r="AY190" s="1" t="b">
        <v>0</v>
      </c>
      <c r="AZ190" s="1" t="b">
        <v>0</v>
      </c>
      <c r="BA190" s="1">
        <v>81.25</v>
      </c>
      <c r="BB190" s="1">
        <v>77.78</v>
      </c>
      <c r="BC190" s="1" t="b">
        <v>0</v>
      </c>
      <c r="BD190" s="1" t="b">
        <v>1</v>
      </c>
      <c r="BE190" s="1">
        <v>11.34</v>
      </c>
      <c r="BF190" s="1">
        <v>13.285</v>
      </c>
      <c r="BG190" s="1" t="b">
        <v>0</v>
      </c>
      <c r="BH190" s="1" t="b">
        <v>0</v>
      </c>
      <c r="BI190" s="1">
        <v>77.78</v>
      </c>
      <c r="BJ190" s="1">
        <v>75.0</v>
      </c>
      <c r="BK190" s="1" t="b">
        <v>0</v>
      </c>
      <c r="BL190" s="1" t="b">
        <v>1</v>
      </c>
      <c r="BM190" s="1">
        <v>13.121</v>
      </c>
      <c r="BN190" s="1">
        <v>14.568</v>
      </c>
      <c r="BO190" s="1" t="b">
        <v>1</v>
      </c>
      <c r="BP190" s="1" t="b">
        <v>0</v>
      </c>
      <c r="BQ190" s="1">
        <v>75.0</v>
      </c>
      <c r="BR190" s="1">
        <v>72.027</v>
      </c>
      <c r="BS190" s="1" t="b">
        <v>0</v>
      </c>
      <c r="BT190" s="1" t="b">
        <v>1</v>
      </c>
      <c r="BU190" s="1" t="s">
        <v>105</v>
      </c>
      <c r="BV190" s="1" t="s">
        <v>157</v>
      </c>
      <c r="BW190" s="1" t="s">
        <v>105</v>
      </c>
      <c r="BX190" s="1" t="s">
        <v>157</v>
      </c>
      <c r="BY190" s="1" t="s">
        <v>105</v>
      </c>
      <c r="BZ190" s="1" t="s">
        <v>157</v>
      </c>
      <c r="CA190" s="1" t="s">
        <v>105</v>
      </c>
      <c r="CB190" s="1" t="s">
        <v>157</v>
      </c>
      <c r="CC190" s="1" t="s">
        <v>91</v>
      </c>
      <c r="CD190" s="1" t="s">
        <v>157</v>
      </c>
      <c r="CE190" s="4"/>
      <c r="CF190" s="4"/>
    </row>
    <row r="191" hidden="1">
      <c r="A191" s="1" t="s">
        <v>82</v>
      </c>
      <c r="B191" s="1" t="s">
        <v>92</v>
      </c>
      <c r="C191" s="1">
        <v>39.0</v>
      </c>
      <c r="D191" s="5" t="s">
        <v>943</v>
      </c>
      <c r="E191" s="1" t="s">
        <v>944</v>
      </c>
      <c r="F191" s="1">
        <v>37.0</v>
      </c>
      <c r="G191" s="1">
        <v>0.4696</v>
      </c>
      <c r="H191" s="1" t="s">
        <v>945</v>
      </c>
      <c r="I191" s="4" t="b">
        <f>IFERROR(__xludf.DUMMYFUNCTION("IF(H191="""",,REGEXMATCH(H191,""[א-ת]""))"),TRUE)</f>
        <v>1</v>
      </c>
      <c r="J191" s="4"/>
      <c r="K191" s="4"/>
      <c r="L191" s="1">
        <v>-0.3549</v>
      </c>
      <c r="M191" s="1">
        <v>12.91</v>
      </c>
      <c r="N191" s="1">
        <v>72.97</v>
      </c>
      <c r="O191" s="1">
        <v>1.972162162</v>
      </c>
      <c r="P191" s="4"/>
      <c r="Q191" s="4"/>
      <c r="R191" s="1" t="s">
        <v>96</v>
      </c>
      <c r="S191" s="1" t="s">
        <v>944</v>
      </c>
      <c r="T191" s="1" t="s">
        <v>92</v>
      </c>
      <c r="U191" s="1">
        <v>40.0</v>
      </c>
      <c r="V191" s="5" t="s">
        <v>943</v>
      </c>
      <c r="W191" s="1" t="s">
        <v>944</v>
      </c>
      <c r="X191" s="1" t="s">
        <v>946</v>
      </c>
      <c r="Y191" s="4"/>
      <c r="Z191" s="4"/>
      <c r="AA191" s="4" t="b">
        <f>IFERROR(__xludf.DUMMYFUNCTION("IF(X191="""",,REGEXMATCH(X191,""[א-ת]""))"),FALSE)</f>
        <v>0</v>
      </c>
      <c r="AB191" s="1">
        <v>18.78</v>
      </c>
      <c r="AC191" s="1">
        <v>56.76</v>
      </c>
      <c r="AD191" s="1">
        <v>0.564089820685046</v>
      </c>
      <c r="AE191" s="1">
        <v>-0.3549</v>
      </c>
      <c r="AF191" s="1">
        <v>0.4696</v>
      </c>
      <c r="AG191" s="1">
        <v>6.337</v>
      </c>
      <c r="AH191" s="1">
        <v>6.781</v>
      </c>
      <c r="AI191" s="1" t="b">
        <v>0</v>
      </c>
      <c r="AJ191" s="1" t="b">
        <v>0</v>
      </c>
      <c r="AK191" s="1">
        <v>94.182</v>
      </c>
      <c r="AL191" s="1">
        <v>96.508</v>
      </c>
      <c r="AM191" s="1" t="b">
        <v>0</v>
      </c>
      <c r="AN191" s="1" t="b">
        <v>0</v>
      </c>
      <c r="AO191" s="1">
        <v>8.05</v>
      </c>
      <c r="AP191" s="1">
        <v>8.53399999999999</v>
      </c>
      <c r="AQ191" s="1" t="b">
        <v>0</v>
      </c>
      <c r="AR191" s="1" t="b">
        <v>0</v>
      </c>
      <c r="AS191" s="1">
        <v>86.9179999999999</v>
      </c>
      <c r="AT191" s="1">
        <v>87.152</v>
      </c>
      <c r="AU191" s="1" t="b">
        <v>0</v>
      </c>
      <c r="AV191" s="1" t="b">
        <v>0</v>
      </c>
      <c r="AW191" s="1">
        <v>9.61399999999999</v>
      </c>
      <c r="AX191" s="1">
        <v>11.026</v>
      </c>
      <c r="AY191" s="1" t="b">
        <v>0</v>
      </c>
      <c r="AZ191" s="1" t="b">
        <v>0</v>
      </c>
      <c r="BA191" s="1">
        <v>81.25</v>
      </c>
      <c r="BB191" s="1">
        <v>77.78</v>
      </c>
      <c r="BC191" s="1" t="b">
        <v>0</v>
      </c>
      <c r="BD191" s="1" t="b">
        <v>0</v>
      </c>
      <c r="BE191" s="1">
        <v>11.34</v>
      </c>
      <c r="BF191" s="1">
        <v>13.285</v>
      </c>
      <c r="BG191" s="1" t="b">
        <v>0</v>
      </c>
      <c r="BH191" s="1" t="b">
        <v>0</v>
      </c>
      <c r="BI191" s="1">
        <v>77.78</v>
      </c>
      <c r="BJ191" s="1">
        <v>75.0</v>
      </c>
      <c r="BK191" s="1" t="b">
        <v>0</v>
      </c>
      <c r="BL191" s="1" t="b">
        <v>0</v>
      </c>
      <c r="BM191" s="1">
        <v>13.121</v>
      </c>
      <c r="BN191" s="1">
        <v>14.568</v>
      </c>
      <c r="BO191" s="1" t="b">
        <v>1</v>
      </c>
      <c r="BP191" s="1" t="b">
        <v>0</v>
      </c>
      <c r="BQ191" s="1">
        <v>75.0</v>
      </c>
      <c r="BR191" s="1">
        <v>72.027</v>
      </c>
      <c r="BS191" s="1" t="b">
        <v>0</v>
      </c>
      <c r="BT191" s="1" t="b">
        <v>0</v>
      </c>
      <c r="BU191" s="1" t="s">
        <v>105</v>
      </c>
      <c r="BV191" s="1" t="s">
        <v>105</v>
      </c>
      <c r="BW191" s="1" t="s">
        <v>105</v>
      </c>
      <c r="BX191" s="1" t="s">
        <v>105</v>
      </c>
      <c r="BY191" s="1" t="s">
        <v>105</v>
      </c>
      <c r="BZ191" s="1" t="s">
        <v>105</v>
      </c>
      <c r="CA191" s="1" t="s">
        <v>105</v>
      </c>
      <c r="CB191" s="1" t="s">
        <v>105</v>
      </c>
      <c r="CC191" s="1" t="s">
        <v>91</v>
      </c>
      <c r="CD191" s="1" t="s">
        <v>105</v>
      </c>
      <c r="CE191" s="4"/>
      <c r="CF191" s="4"/>
    </row>
    <row r="192">
      <c r="A192" s="1" t="s">
        <v>82</v>
      </c>
      <c r="B192" s="1" t="s">
        <v>333</v>
      </c>
      <c r="C192" s="1">
        <v>14.0</v>
      </c>
      <c r="D192" s="5" t="s">
        <v>947</v>
      </c>
      <c r="E192" s="1" t="s">
        <v>948</v>
      </c>
      <c r="F192" s="1">
        <v>31.0</v>
      </c>
      <c r="G192" s="1">
        <v>0.1521</v>
      </c>
      <c r="H192" s="1" t="s">
        <v>949</v>
      </c>
      <c r="I192" s="4" t="b">
        <f>IFERROR(__xludf.DUMMYFUNCTION("IF(H192="""",,REGEXMATCH(H192,""[א-ת]""))"),FALSE)</f>
        <v>0</v>
      </c>
      <c r="J192" s="4"/>
      <c r="K192" s="4"/>
      <c r="L192" s="1">
        <v>-0.1754</v>
      </c>
      <c r="M192" s="1">
        <v>12.93</v>
      </c>
      <c r="N192" s="1">
        <v>58.06</v>
      </c>
      <c r="O192" s="1">
        <v>1.872903226</v>
      </c>
      <c r="P192" s="4"/>
      <c r="Q192" s="4"/>
      <c r="R192" s="1" t="s">
        <v>89</v>
      </c>
      <c r="S192" s="1" t="s">
        <v>948</v>
      </c>
      <c r="T192" s="1" t="s">
        <v>333</v>
      </c>
      <c r="U192" s="1">
        <v>15.0</v>
      </c>
      <c r="V192" s="5" t="s">
        <v>947</v>
      </c>
      <c r="W192" s="1" t="s">
        <v>948</v>
      </c>
      <c r="X192" s="1" t="s">
        <v>950</v>
      </c>
      <c r="Y192" s="1" t="s">
        <v>951</v>
      </c>
      <c r="Z192" s="1" t="s">
        <v>952</v>
      </c>
      <c r="AA192" s="4" t="b">
        <f>IFERROR(__xludf.DUMMYFUNCTION("IF(X192="""",,REGEXMATCH(X192,""[א-ת]""))"),TRUE)</f>
        <v>1</v>
      </c>
      <c r="AB192" s="1">
        <v>5.95</v>
      </c>
      <c r="AC192" s="1">
        <v>122.58</v>
      </c>
      <c r="AD192" s="1">
        <v>0.499627989210597</v>
      </c>
      <c r="AE192" s="1">
        <v>0.4157</v>
      </c>
      <c r="AF192" s="1">
        <v>0.1521</v>
      </c>
      <c r="AG192" s="1">
        <v>6.337</v>
      </c>
      <c r="AH192" s="1">
        <v>6.781</v>
      </c>
      <c r="AI192" s="1" t="b">
        <v>0</v>
      </c>
      <c r="AJ192" s="1" t="b">
        <v>1</v>
      </c>
      <c r="AK192" s="1">
        <v>94.182</v>
      </c>
      <c r="AL192" s="1">
        <v>96.508</v>
      </c>
      <c r="AM192" s="1" t="b">
        <v>0</v>
      </c>
      <c r="AN192" s="1" t="b">
        <v>1</v>
      </c>
      <c r="AO192" s="1">
        <v>8.05</v>
      </c>
      <c r="AP192" s="1">
        <v>8.53399999999999</v>
      </c>
      <c r="AQ192" s="1" t="b">
        <v>0</v>
      </c>
      <c r="AR192" s="1" t="b">
        <v>1</v>
      </c>
      <c r="AS192" s="1">
        <v>86.9179999999999</v>
      </c>
      <c r="AT192" s="1">
        <v>87.152</v>
      </c>
      <c r="AU192" s="1" t="b">
        <v>0</v>
      </c>
      <c r="AV192" s="1" t="b">
        <v>1</v>
      </c>
      <c r="AW192" s="1">
        <v>9.61399999999999</v>
      </c>
      <c r="AX192" s="1">
        <v>11.026</v>
      </c>
      <c r="AY192" s="1" t="b">
        <v>0</v>
      </c>
      <c r="AZ192" s="1" t="b">
        <v>1</v>
      </c>
      <c r="BA192" s="1">
        <v>81.25</v>
      </c>
      <c r="BB192" s="1">
        <v>77.78</v>
      </c>
      <c r="BC192" s="1" t="b">
        <v>0</v>
      </c>
      <c r="BD192" s="1" t="b">
        <v>1</v>
      </c>
      <c r="BE192" s="1">
        <v>11.34</v>
      </c>
      <c r="BF192" s="1">
        <v>13.285</v>
      </c>
      <c r="BG192" s="1" t="b">
        <v>0</v>
      </c>
      <c r="BH192" s="1" t="b">
        <v>1</v>
      </c>
      <c r="BI192" s="1">
        <v>77.78</v>
      </c>
      <c r="BJ192" s="1">
        <v>75.0</v>
      </c>
      <c r="BK192" s="1" t="b">
        <v>0</v>
      </c>
      <c r="BL192" s="1" t="b">
        <v>1</v>
      </c>
      <c r="BM192" s="1">
        <v>13.121</v>
      </c>
      <c r="BN192" s="1">
        <v>14.568</v>
      </c>
      <c r="BO192" s="1" t="b">
        <v>1</v>
      </c>
      <c r="BP192" s="1" t="b">
        <v>1</v>
      </c>
      <c r="BQ192" s="1">
        <v>75.0</v>
      </c>
      <c r="BR192" s="1">
        <v>72.027</v>
      </c>
      <c r="BS192" s="1" t="b">
        <v>0</v>
      </c>
      <c r="BT192" s="1" t="b">
        <v>1</v>
      </c>
      <c r="BU192" s="1" t="s">
        <v>157</v>
      </c>
      <c r="BV192" s="1" t="s">
        <v>157</v>
      </c>
      <c r="BW192" s="1" t="s">
        <v>157</v>
      </c>
      <c r="BX192" s="1" t="s">
        <v>157</v>
      </c>
      <c r="BY192" s="1" t="s">
        <v>157</v>
      </c>
      <c r="BZ192" s="1" t="s">
        <v>157</v>
      </c>
      <c r="CA192" s="1" t="s">
        <v>157</v>
      </c>
      <c r="CB192" s="1" t="s">
        <v>157</v>
      </c>
      <c r="CC192" s="1" t="s">
        <v>104</v>
      </c>
      <c r="CD192" s="1" t="s">
        <v>157</v>
      </c>
      <c r="CE192" s="4"/>
      <c r="CF192" s="4"/>
    </row>
    <row r="193" hidden="1">
      <c r="A193" s="1" t="s">
        <v>82</v>
      </c>
      <c r="B193" s="1" t="s">
        <v>158</v>
      </c>
      <c r="C193" s="1">
        <v>0.0</v>
      </c>
      <c r="D193" s="5" t="s">
        <v>953</v>
      </c>
      <c r="E193" s="1" t="s">
        <v>954</v>
      </c>
      <c r="F193" s="1">
        <v>16.0</v>
      </c>
      <c r="G193" s="1">
        <v>0.0</v>
      </c>
      <c r="H193" s="1" t="s">
        <v>955</v>
      </c>
      <c r="I193" s="4" t="b">
        <f>IFERROR(__xludf.DUMMYFUNCTION("IF(H193="""",,REGEXMATCH(H193,""[א-ת]""))"),FALSE)</f>
        <v>0</v>
      </c>
      <c r="J193" s="4"/>
      <c r="K193" s="4"/>
      <c r="L193" s="1">
        <v>-0.25</v>
      </c>
      <c r="M193" s="1">
        <v>12.96</v>
      </c>
      <c r="N193" s="1">
        <v>93.75</v>
      </c>
      <c r="O193" s="1">
        <v>5.859375</v>
      </c>
      <c r="P193" s="4"/>
      <c r="Q193" s="4"/>
      <c r="R193" s="1" t="s">
        <v>89</v>
      </c>
      <c r="S193" s="1" t="s">
        <v>954</v>
      </c>
      <c r="T193" s="1" t="s">
        <v>158</v>
      </c>
      <c r="U193" s="1">
        <v>1.0</v>
      </c>
      <c r="V193" s="5" t="s">
        <v>953</v>
      </c>
      <c r="W193" s="1" t="s">
        <v>954</v>
      </c>
      <c r="X193" s="1" t="s">
        <v>956</v>
      </c>
      <c r="Y193" s="4"/>
      <c r="Z193" s="4"/>
      <c r="AA193" s="4" t="b">
        <f>IFERROR(__xludf.DUMMYFUNCTION("IF(X193="""",,REGEXMATCH(X193,""[א-ת]""))"),FALSE)</f>
        <v>0</v>
      </c>
      <c r="AB193" s="1">
        <v>22.27</v>
      </c>
      <c r="AC193" s="1">
        <v>75.0</v>
      </c>
      <c r="AD193" s="1">
        <v>0.319857928189985</v>
      </c>
      <c r="AE193" s="1">
        <v>0.0</v>
      </c>
      <c r="AF193" s="1">
        <v>0.0</v>
      </c>
      <c r="AG193" s="1">
        <v>6.337</v>
      </c>
      <c r="AH193" s="1">
        <v>6.781</v>
      </c>
      <c r="AI193" s="1" t="b">
        <v>0</v>
      </c>
      <c r="AJ193" s="1" t="b">
        <v>0</v>
      </c>
      <c r="AK193" s="1">
        <v>94.182</v>
      </c>
      <c r="AL193" s="1">
        <v>96.508</v>
      </c>
      <c r="AM193" s="1" t="b">
        <v>0</v>
      </c>
      <c r="AN193" s="1" t="b">
        <v>0</v>
      </c>
      <c r="AO193" s="1">
        <v>8.05</v>
      </c>
      <c r="AP193" s="1">
        <v>8.53399999999999</v>
      </c>
      <c r="AQ193" s="1" t="b">
        <v>0</v>
      </c>
      <c r="AR193" s="1" t="b">
        <v>0</v>
      </c>
      <c r="AS193" s="1">
        <v>86.9179999999999</v>
      </c>
      <c r="AT193" s="1">
        <v>87.152</v>
      </c>
      <c r="AU193" s="1" t="b">
        <v>1</v>
      </c>
      <c r="AV193" s="1" t="b">
        <v>0</v>
      </c>
      <c r="AW193" s="1">
        <v>9.61399999999999</v>
      </c>
      <c r="AX193" s="1">
        <v>11.026</v>
      </c>
      <c r="AY193" s="1" t="b">
        <v>0</v>
      </c>
      <c r="AZ193" s="1" t="b">
        <v>0</v>
      </c>
      <c r="BA193" s="1">
        <v>81.25</v>
      </c>
      <c r="BB193" s="1">
        <v>77.78</v>
      </c>
      <c r="BC193" s="1" t="b">
        <v>1</v>
      </c>
      <c r="BD193" s="1" t="b">
        <v>0</v>
      </c>
      <c r="BE193" s="1">
        <v>11.34</v>
      </c>
      <c r="BF193" s="1">
        <v>13.285</v>
      </c>
      <c r="BG193" s="1" t="b">
        <v>0</v>
      </c>
      <c r="BH193" s="1" t="b">
        <v>0</v>
      </c>
      <c r="BI193" s="1">
        <v>77.78</v>
      </c>
      <c r="BJ193" s="1">
        <v>75.0</v>
      </c>
      <c r="BK193" s="1" t="b">
        <v>1</v>
      </c>
      <c r="BL193" s="1" t="b">
        <v>1</v>
      </c>
      <c r="BM193" s="1">
        <v>13.121</v>
      </c>
      <c r="BN193" s="1">
        <v>14.568</v>
      </c>
      <c r="BO193" s="1" t="b">
        <v>1</v>
      </c>
      <c r="BP193" s="1" t="b">
        <v>0</v>
      </c>
      <c r="BQ193" s="1">
        <v>75.0</v>
      </c>
      <c r="BR193" s="1">
        <v>72.027</v>
      </c>
      <c r="BS193" s="1" t="b">
        <v>1</v>
      </c>
      <c r="BT193" s="1" t="b">
        <v>1</v>
      </c>
      <c r="BU193" s="1" t="s">
        <v>105</v>
      </c>
      <c r="BV193" s="1" t="s">
        <v>105</v>
      </c>
      <c r="BW193" s="1" t="s">
        <v>105</v>
      </c>
      <c r="BX193" s="1" t="s">
        <v>91</v>
      </c>
      <c r="BY193" s="1" t="s">
        <v>105</v>
      </c>
      <c r="BZ193" s="1" t="s">
        <v>91</v>
      </c>
      <c r="CA193" s="1" t="s">
        <v>105</v>
      </c>
      <c r="CB193" s="1" t="s">
        <v>104</v>
      </c>
      <c r="CC193" s="1" t="s">
        <v>91</v>
      </c>
      <c r="CD193" s="1" t="s">
        <v>104</v>
      </c>
      <c r="CE193" s="4"/>
      <c r="CF193" s="4"/>
    </row>
    <row r="194" hidden="1">
      <c r="A194" s="1" t="s">
        <v>82</v>
      </c>
      <c r="B194" s="1" t="s">
        <v>197</v>
      </c>
      <c r="C194" s="1">
        <v>26.0</v>
      </c>
      <c r="D194" s="5" t="s">
        <v>957</v>
      </c>
      <c r="E194" s="1" t="s">
        <v>958</v>
      </c>
      <c r="F194" s="1">
        <v>7.0</v>
      </c>
      <c r="G194" s="1">
        <v>-0.6597</v>
      </c>
      <c r="H194" s="1" t="s">
        <v>959</v>
      </c>
      <c r="I194" s="4" t="b">
        <f>IFERROR(__xludf.DUMMYFUNCTION("IF(H194="""",,REGEXMATCH(H194,""[א-ת]""))"),FALSE)</f>
        <v>0</v>
      </c>
      <c r="J194" s="4"/>
      <c r="K194" s="4"/>
      <c r="L194" s="1">
        <v>-0.4767</v>
      </c>
      <c r="M194" s="1">
        <v>13.07</v>
      </c>
      <c r="N194" s="1">
        <v>85.71</v>
      </c>
      <c r="O194" s="1">
        <v>12.24428571</v>
      </c>
      <c r="P194" s="4"/>
      <c r="Q194" s="4"/>
      <c r="R194" s="1" t="s">
        <v>89</v>
      </c>
      <c r="S194" s="1" t="s">
        <v>958</v>
      </c>
      <c r="T194" s="1" t="s">
        <v>197</v>
      </c>
      <c r="U194" s="1">
        <v>27.0</v>
      </c>
      <c r="V194" s="5" t="s">
        <v>957</v>
      </c>
      <c r="W194" s="1" t="s">
        <v>958</v>
      </c>
      <c r="X194" s="1" t="s">
        <v>960</v>
      </c>
      <c r="Y194" s="4"/>
      <c r="Z194" s="4"/>
      <c r="AA194" s="4" t="b">
        <f>IFERROR(__xludf.DUMMYFUNCTION("IF(X194="""",,REGEXMATCH(X194,""[א-ת]""))"),TRUE)</f>
        <v>1</v>
      </c>
      <c r="AB194" s="1">
        <v>13.89</v>
      </c>
      <c r="AC194" s="1">
        <v>57.14</v>
      </c>
      <c r="AD194" s="1">
        <v>0.382784676443574</v>
      </c>
      <c r="AE194" s="1">
        <v>-0.5267</v>
      </c>
      <c r="AF194" s="1">
        <v>-0.6597</v>
      </c>
      <c r="AG194" s="1">
        <v>6.337</v>
      </c>
      <c r="AH194" s="1">
        <v>6.781</v>
      </c>
      <c r="AI194" s="1" t="b">
        <v>0</v>
      </c>
      <c r="AJ194" s="1" t="b">
        <v>0</v>
      </c>
      <c r="AK194" s="1">
        <v>94.182</v>
      </c>
      <c r="AL194" s="1">
        <v>96.508</v>
      </c>
      <c r="AM194" s="1" t="b">
        <v>0</v>
      </c>
      <c r="AN194" s="1" t="b">
        <v>0</v>
      </c>
      <c r="AO194" s="1">
        <v>8.05</v>
      </c>
      <c r="AP194" s="1">
        <v>8.53399999999999</v>
      </c>
      <c r="AQ194" s="1" t="b">
        <v>0</v>
      </c>
      <c r="AR194" s="1" t="b">
        <v>0</v>
      </c>
      <c r="AS194" s="1">
        <v>86.9179999999999</v>
      </c>
      <c r="AT194" s="1">
        <v>87.152</v>
      </c>
      <c r="AU194" s="1" t="b">
        <v>0</v>
      </c>
      <c r="AV194" s="1" t="b">
        <v>0</v>
      </c>
      <c r="AW194" s="1">
        <v>9.61399999999999</v>
      </c>
      <c r="AX194" s="1">
        <v>11.026</v>
      </c>
      <c r="AY194" s="1" t="b">
        <v>0</v>
      </c>
      <c r="AZ194" s="1" t="b">
        <v>0</v>
      </c>
      <c r="BA194" s="1">
        <v>81.25</v>
      </c>
      <c r="BB194" s="1">
        <v>77.78</v>
      </c>
      <c r="BC194" s="1" t="b">
        <v>1</v>
      </c>
      <c r="BD194" s="1" t="b">
        <v>0</v>
      </c>
      <c r="BE194" s="1">
        <v>11.34</v>
      </c>
      <c r="BF194" s="1">
        <v>13.285</v>
      </c>
      <c r="BG194" s="1" t="b">
        <v>0</v>
      </c>
      <c r="BH194" s="1" t="b">
        <v>0</v>
      </c>
      <c r="BI194" s="1">
        <v>77.78</v>
      </c>
      <c r="BJ194" s="1">
        <v>75.0</v>
      </c>
      <c r="BK194" s="1" t="b">
        <v>1</v>
      </c>
      <c r="BL194" s="1" t="b">
        <v>0</v>
      </c>
      <c r="BM194" s="1">
        <v>13.121</v>
      </c>
      <c r="BN194" s="1">
        <v>14.568</v>
      </c>
      <c r="BO194" s="1" t="b">
        <v>1</v>
      </c>
      <c r="BP194" s="1" t="b">
        <v>1</v>
      </c>
      <c r="BQ194" s="1">
        <v>75.0</v>
      </c>
      <c r="BR194" s="1">
        <v>72.027</v>
      </c>
      <c r="BS194" s="1" t="b">
        <v>1</v>
      </c>
      <c r="BT194" s="1" t="b">
        <v>0</v>
      </c>
      <c r="BU194" s="1" t="s">
        <v>105</v>
      </c>
      <c r="BV194" s="1" t="s">
        <v>105</v>
      </c>
      <c r="BW194" s="1" t="s">
        <v>105</v>
      </c>
      <c r="BX194" s="1" t="s">
        <v>105</v>
      </c>
      <c r="BY194" s="1" t="s">
        <v>105</v>
      </c>
      <c r="BZ194" s="1" t="s">
        <v>91</v>
      </c>
      <c r="CA194" s="1" t="s">
        <v>105</v>
      </c>
      <c r="CB194" s="1" t="s">
        <v>91</v>
      </c>
      <c r="CC194" s="1" t="s">
        <v>104</v>
      </c>
      <c r="CD194" s="1" t="s">
        <v>91</v>
      </c>
      <c r="CE194" s="4"/>
      <c r="CF194" s="4"/>
    </row>
    <row r="195" hidden="1">
      <c r="A195" s="1" t="s">
        <v>82</v>
      </c>
      <c r="B195" s="1" t="s">
        <v>152</v>
      </c>
      <c r="C195" s="1">
        <v>9.0</v>
      </c>
      <c r="D195" s="5" t="s">
        <v>961</v>
      </c>
      <c r="E195" s="1" t="s">
        <v>962</v>
      </c>
      <c r="F195" s="1">
        <v>37.0</v>
      </c>
      <c r="G195" s="1">
        <v>-0.5423</v>
      </c>
      <c r="H195" s="1" t="s">
        <v>963</v>
      </c>
      <c r="I195" s="4" t="b">
        <f>IFERROR(__xludf.DUMMYFUNCTION("IF(H195="""",,REGEXMATCH(H195,""[א-ת]""))"),FALSE)</f>
        <v>0</v>
      </c>
      <c r="J195" s="4"/>
      <c r="K195" s="4"/>
      <c r="L195" s="1">
        <v>-0.5719</v>
      </c>
      <c r="M195" s="1">
        <v>13.09</v>
      </c>
      <c r="N195" s="1">
        <v>72.97</v>
      </c>
      <c r="O195" s="1">
        <v>1.972162162</v>
      </c>
      <c r="P195" s="4"/>
      <c r="Q195" s="4"/>
      <c r="R195" s="1" t="s">
        <v>89</v>
      </c>
      <c r="S195" s="1" t="s">
        <v>962</v>
      </c>
      <c r="T195" s="1" t="s">
        <v>152</v>
      </c>
      <c r="U195" s="1">
        <v>10.0</v>
      </c>
      <c r="V195" s="5" t="s">
        <v>961</v>
      </c>
      <c r="W195" s="1" t="s">
        <v>962</v>
      </c>
      <c r="X195" s="1" t="s">
        <v>964</v>
      </c>
      <c r="Y195" s="4"/>
      <c r="Z195" s="4"/>
      <c r="AA195" s="4" t="b">
        <f>IFERROR(__xludf.DUMMYFUNCTION("IF(X195="""",,REGEXMATCH(X195,""[א-ת]""))"),FALSE)</f>
        <v>0</v>
      </c>
      <c r="AB195" s="1">
        <v>23.84</v>
      </c>
      <c r="AC195" s="1">
        <v>51.35</v>
      </c>
      <c r="AD195" s="1">
        <v>0.752237670711272</v>
      </c>
      <c r="AE195" s="1">
        <v>0.0</v>
      </c>
      <c r="AF195" s="1">
        <v>-0.5423</v>
      </c>
      <c r="AG195" s="1">
        <v>6.337</v>
      </c>
      <c r="AH195" s="1">
        <v>6.781</v>
      </c>
      <c r="AI195" s="1" t="b">
        <v>0</v>
      </c>
      <c r="AJ195" s="1" t="b">
        <v>0</v>
      </c>
      <c r="AK195" s="1">
        <v>94.182</v>
      </c>
      <c r="AL195" s="1">
        <v>96.508</v>
      </c>
      <c r="AM195" s="1" t="b">
        <v>0</v>
      </c>
      <c r="AN195" s="1" t="b">
        <v>0</v>
      </c>
      <c r="AO195" s="1">
        <v>8.05</v>
      </c>
      <c r="AP195" s="1">
        <v>8.53399999999999</v>
      </c>
      <c r="AQ195" s="1" t="b">
        <v>0</v>
      </c>
      <c r="AR195" s="1" t="b">
        <v>0</v>
      </c>
      <c r="AS195" s="1">
        <v>86.9179999999999</v>
      </c>
      <c r="AT195" s="1">
        <v>87.152</v>
      </c>
      <c r="AU195" s="1" t="b">
        <v>0</v>
      </c>
      <c r="AV195" s="1" t="b">
        <v>0</v>
      </c>
      <c r="AW195" s="1">
        <v>9.61399999999999</v>
      </c>
      <c r="AX195" s="1">
        <v>11.026</v>
      </c>
      <c r="AY195" s="1" t="b">
        <v>0</v>
      </c>
      <c r="AZ195" s="1" t="b">
        <v>0</v>
      </c>
      <c r="BA195" s="1">
        <v>81.25</v>
      </c>
      <c r="BB195" s="1">
        <v>77.78</v>
      </c>
      <c r="BC195" s="1" t="b">
        <v>0</v>
      </c>
      <c r="BD195" s="1" t="b">
        <v>0</v>
      </c>
      <c r="BE195" s="1">
        <v>11.34</v>
      </c>
      <c r="BF195" s="1">
        <v>13.285</v>
      </c>
      <c r="BG195" s="1" t="b">
        <v>0</v>
      </c>
      <c r="BH195" s="1" t="b">
        <v>0</v>
      </c>
      <c r="BI195" s="1">
        <v>77.78</v>
      </c>
      <c r="BJ195" s="1">
        <v>75.0</v>
      </c>
      <c r="BK195" s="1" t="b">
        <v>0</v>
      </c>
      <c r="BL195" s="1" t="b">
        <v>0</v>
      </c>
      <c r="BM195" s="1">
        <v>13.121</v>
      </c>
      <c r="BN195" s="1">
        <v>14.568</v>
      </c>
      <c r="BO195" s="1" t="b">
        <v>1</v>
      </c>
      <c r="BP195" s="1" t="b">
        <v>0</v>
      </c>
      <c r="BQ195" s="1">
        <v>75.0</v>
      </c>
      <c r="BR195" s="1">
        <v>72.027</v>
      </c>
      <c r="BS195" s="1" t="b">
        <v>0</v>
      </c>
      <c r="BT195" s="1" t="b">
        <v>0</v>
      </c>
      <c r="BU195" s="1" t="s">
        <v>105</v>
      </c>
      <c r="BV195" s="1" t="s">
        <v>105</v>
      </c>
      <c r="BW195" s="1" t="s">
        <v>105</v>
      </c>
      <c r="BX195" s="1" t="s">
        <v>105</v>
      </c>
      <c r="BY195" s="1" t="s">
        <v>105</v>
      </c>
      <c r="BZ195" s="1" t="s">
        <v>105</v>
      </c>
      <c r="CA195" s="1" t="s">
        <v>105</v>
      </c>
      <c r="CB195" s="1" t="s">
        <v>105</v>
      </c>
      <c r="CC195" s="1" t="s">
        <v>91</v>
      </c>
      <c r="CD195" s="1" t="s">
        <v>105</v>
      </c>
      <c r="CE195" s="4"/>
      <c r="CF195" s="4"/>
    </row>
    <row r="196" hidden="1">
      <c r="A196" s="1" t="s">
        <v>82</v>
      </c>
      <c r="B196" s="1" t="s">
        <v>197</v>
      </c>
      <c r="C196" s="1">
        <v>18.0</v>
      </c>
      <c r="D196" s="5" t="s">
        <v>965</v>
      </c>
      <c r="E196" s="1" t="s">
        <v>966</v>
      </c>
      <c r="F196" s="1">
        <v>34.0</v>
      </c>
      <c r="G196" s="1">
        <v>0.0772</v>
      </c>
      <c r="H196" s="1" t="s">
        <v>967</v>
      </c>
      <c r="I196" s="4" t="b">
        <f>IFERROR(__xludf.DUMMYFUNCTION("IF(H196="""",,REGEXMATCH(H196,""[א-ת]""))"),FALSE)</f>
        <v>0</v>
      </c>
      <c r="J196" s="4"/>
      <c r="K196" s="4"/>
      <c r="L196" s="1">
        <v>0.3182</v>
      </c>
      <c r="M196" s="1">
        <v>13.1</v>
      </c>
      <c r="N196" s="1">
        <v>55.88</v>
      </c>
      <c r="O196" s="1">
        <v>1.643529412</v>
      </c>
      <c r="P196" s="4"/>
      <c r="Q196" s="4"/>
      <c r="R196" s="1" t="s">
        <v>89</v>
      </c>
      <c r="S196" s="1" t="s">
        <v>966</v>
      </c>
      <c r="T196" s="1" t="s">
        <v>197</v>
      </c>
      <c r="U196" s="1">
        <v>19.0</v>
      </c>
      <c r="V196" s="5" t="s">
        <v>965</v>
      </c>
      <c r="W196" s="1" t="s">
        <v>966</v>
      </c>
      <c r="X196" s="1" t="s">
        <v>968</v>
      </c>
      <c r="Y196" s="4"/>
      <c r="Z196" s="4"/>
      <c r="AA196" s="4" t="b">
        <f>IFERROR(__xludf.DUMMYFUNCTION("IF(X196="""",,REGEXMATCH(X196,""[א-ת]""))"),FALSE)</f>
        <v>0</v>
      </c>
      <c r="AB196" s="1">
        <v>13.72</v>
      </c>
      <c r="AC196" s="1">
        <v>67.65</v>
      </c>
      <c r="AD196" s="1">
        <v>0.46942422026378</v>
      </c>
      <c r="AE196" s="1">
        <v>0.0</v>
      </c>
      <c r="AF196" s="1">
        <v>0.0772</v>
      </c>
      <c r="AG196" s="1">
        <v>6.337</v>
      </c>
      <c r="AH196" s="1">
        <v>6.781</v>
      </c>
      <c r="AI196" s="1" t="b">
        <v>0</v>
      </c>
      <c r="AJ196" s="1" t="b">
        <v>0</v>
      </c>
      <c r="AK196" s="1">
        <v>94.182</v>
      </c>
      <c r="AL196" s="1">
        <v>96.508</v>
      </c>
      <c r="AM196" s="1" t="b">
        <v>0</v>
      </c>
      <c r="AN196" s="1" t="b">
        <v>0</v>
      </c>
      <c r="AO196" s="1">
        <v>8.05</v>
      </c>
      <c r="AP196" s="1">
        <v>8.53399999999999</v>
      </c>
      <c r="AQ196" s="1" t="b">
        <v>0</v>
      </c>
      <c r="AR196" s="1" t="b">
        <v>0</v>
      </c>
      <c r="AS196" s="1">
        <v>86.9179999999999</v>
      </c>
      <c r="AT196" s="1">
        <v>87.152</v>
      </c>
      <c r="AU196" s="1" t="b">
        <v>0</v>
      </c>
      <c r="AV196" s="1" t="b">
        <v>0</v>
      </c>
      <c r="AW196" s="1">
        <v>9.61399999999999</v>
      </c>
      <c r="AX196" s="1">
        <v>11.026</v>
      </c>
      <c r="AY196" s="1" t="b">
        <v>0</v>
      </c>
      <c r="AZ196" s="1" t="b">
        <v>0</v>
      </c>
      <c r="BA196" s="1">
        <v>81.25</v>
      </c>
      <c r="BB196" s="1">
        <v>77.78</v>
      </c>
      <c r="BC196" s="1" t="b">
        <v>0</v>
      </c>
      <c r="BD196" s="1" t="b">
        <v>0</v>
      </c>
      <c r="BE196" s="1">
        <v>11.34</v>
      </c>
      <c r="BF196" s="1">
        <v>13.285</v>
      </c>
      <c r="BG196" s="1" t="b">
        <v>0</v>
      </c>
      <c r="BH196" s="1" t="b">
        <v>0</v>
      </c>
      <c r="BI196" s="1">
        <v>77.78</v>
      </c>
      <c r="BJ196" s="1">
        <v>75.0</v>
      </c>
      <c r="BK196" s="1" t="b">
        <v>0</v>
      </c>
      <c r="BL196" s="1" t="b">
        <v>0</v>
      </c>
      <c r="BM196" s="1">
        <v>13.121</v>
      </c>
      <c r="BN196" s="1">
        <v>14.568</v>
      </c>
      <c r="BO196" s="1" t="b">
        <v>1</v>
      </c>
      <c r="BP196" s="1" t="b">
        <v>1</v>
      </c>
      <c r="BQ196" s="1">
        <v>75.0</v>
      </c>
      <c r="BR196" s="1">
        <v>72.027</v>
      </c>
      <c r="BS196" s="1" t="b">
        <v>0</v>
      </c>
      <c r="BT196" s="1" t="b">
        <v>0</v>
      </c>
      <c r="BU196" s="1" t="s">
        <v>105</v>
      </c>
      <c r="BV196" s="1" t="s">
        <v>105</v>
      </c>
      <c r="BW196" s="1" t="s">
        <v>105</v>
      </c>
      <c r="BX196" s="1" t="s">
        <v>105</v>
      </c>
      <c r="BY196" s="1" t="s">
        <v>105</v>
      </c>
      <c r="BZ196" s="1" t="s">
        <v>105</v>
      </c>
      <c r="CA196" s="1" t="s">
        <v>105</v>
      </c>
      <c r="CB196" s="1" t="s">
        <v>105</v>
      </c>
      <c r="CC196" s="1" t="s">
        <v>104</v>
      </c>
      <c r="CD196" s="1" t="s">
        <v>105</v>
      </c>
      <c r="CE196" s="4"/>
      <c r="CF196" s="4"/>
    </row>
    <row r="197" hidden="1">
      <c r="A197" s="1" t="s">
        <v>82</v>
      </c>
      <c r="B197" s="1" t="s">
        <v>158</v>
      </c>
      <c r="C197" s="1">
        <v>4.0</v>
      </c>
      <c r="D197" s="5" t="s">
        <v>969</v>
      </c>
      <c r="E197" s="1" t="s">
        <v>970</v>
      </c>
      <c r="F197" s="1">
        <v>6.0</v>
      </c>
      <c r="G197" s="1">
        <v>0.0</v>
      </c>
      <c r="H197" s="1" t="s">
        <v>971</v>
      </c>
      <c r="I197" s="4" t="b">
        <f>IFERROR(__xludf.DUMMYFUNCTION("IF(H197="""",,REGEXMATCH(H197,""[א-ת]""))"),FALSE)</f>
        <v>0</v>
      </c>
      <c r="J197" s="4"/>
      <c r="K197" s="4"/>
      <c r="L197" s="1">
        <v>0.0</v>
      </c>
      <c r="M197" s="1">
        <v>13.13</v>
      </c>
      <c r="N197" s="1">
        <v>83.33</v>
      </c>
      <c r="O197" s="1">
        <v>13.88833333</v>
      </c>
      <c r="P197" s="4"/>
      <c r="Q197" s="4"/>
      <c r="R197" s="1" t="s">
        <v>89</v>
      </c>
      <c r="S197" s="1" t="s">
        <v>970</v>
      </c>
      <c r="T197" s="1" t="s">
        <v>158</v>
      </c>
      <c r="U197" s="1">
        <v>5.0</v>
      </c>
      <c r="V197" s="5" t="s">
        <v>969</v>
      </c>
      <c r="W197" s="1" t="s">
        <v>970</v>
      </c>
      <c r="X197" s="1" t="s">
        <v>972</v>
      </c>
      <c r="Y197" s="4"/>
      <c r="Z197" s="4"/>
      <c r="AA197" s="4" t="b">
        <f>IFERROR(__xludf.DUMMYFUNCTION("IF(X197="""",,REGEXMATCH(X197,""[א-ת]""))"),FALSE)</f>
        <v>0</v>
      </c>
      <c r="AB197" s="1">
        <v>8.3</v>
      </c>
      <c r="AC197" s="1">
        <v>133.33</v>
      </c>
      <c r="AD197" s="1">
        <v>0.401110037287939</v>
      </c>
      <c r="AE197" s="1">
        <v>0.0</v>
      </c>
      <c r="AF197" s="1">
        <v>0.0</v>
      </c>
      <c r="AG197" s="1">
        <v>6.337</v>
      </c>
      <c r="AH197" s="1">
        <v>6.781</v>
      </c>
      <c r="AI197" s="1" t="b">
        <v>0</v>
      </c>
      <c r="AJ197" s="1" t="b">
        <v>0</v>
      </c>
      <c r="AK197" s="1">
        <v>94.182</v>
      </c>
      <c r="AL197" s="1">
        <v>96.508</v>
      </c>
      <c r="AM197" s="1" t="b">
        <v>0</v>
      </c>
      <c r="AN197" s="1" t="b">
        <v>1</v>
      </c>
      <c r="AO197" s="1">
        <v>8.05</v>
      </c>
      <c r="AP197" s="1">
        <v>8.53399999999999</v>
      </c>
      <c r="AQ197" s="1" t="b">
        <v>0</v>
      </c>
      <c r="AR197" s="1" t="b">
        <v>1</v>
      </c>
      <c r="AS197" s="1">
        <v>86.9179999999999</v>
      </c>
      <c r="AT197" s="1">
        <v>87.152</v>
      </c>
      <c r="AU197" s="1" t="b">
        <v>0</v>
      </c>
      <c r="AV197" s="1" t="b">
        <v>1</v>
      </c>
      <c r="AW197" s="1">
        <v>9.61399999999999</v>
      </c>
      <c r="AX197" s="1">
        <v>11.026</v>
      </c>
      <c r="AY197" s="1" t="b">
        <v>0</v>
      </c>
      <c r="AZ197" s="1" t="b">
        <v>1</v>
      </c>
      <c r="BA197" s="1">
        <v>81.25</v>
      </c>
      <c r="BB197" s="1">
        <v>77.78</v>
      </c>
      <c r="BC197" s="1" t="b">
        <v>1</v>
      </c>
      <c r="BD197" s="1" t="b">
        <v>1</v>
      </c>
      <c r="BE197" s="1">
        <v>11.34</v>
      </c>
      <c r="BF197" s="1">
        <v>13.285</v>
      </c>
      <c r="BG197" s="1" t="b">
        <v>0</v>
      </c>
      <c r="BH197" s="1" t="b">
        <v>1</v>
      </c>
      <c r="BI197" s="1">
        <v>77.78</v>
      </c>
      <c r="BJ197" s="1">
        <v>75.0</v>
      </c>
      <c r="BK197" s="1" t="b">
        <v>1</v>
      </c>
      <c r="BL197" s="1" t="b">
        <v>1</v>
      </c>
      <c r="BM197" s="1">
        <v>13.121</v>
      </c>
      <c r="BN197" s="1">
        <v>14.568</v>
      </c>
      <c r="BO197" s="1" t="b">
        <v>0</v>
      </c>
      <c r="BP197" s="1" t="b">
        <v>1</v>
      </c>
      <c r="BQ197" s="1">
        <v>75.0</v>
      </c>
      <c r="BR197" s="1">
        <v>72.027</v>
      </c>
      <c r="BS197" s="1" t="b">
        <v>1</v>
      </c>
      <c r="BT197" s="1" t="b">
        <v>1</v>
      </c>
      <c r="BU197" s="1" t="s">
        <v>105</v>
      </c>
      <c r="BV197" s="1" t="s">
        <v>157</v>
      </c>
      <c r="BW197" s="1" t="s">
        <v>157</v>
      </c>
      <c r="BX197" s="1" t="s">
        <v>157</v>
      </c>
      <c r="BY197" s="1" t="s">
        <v>157</v>
      </c>
      <c r="BZ197" s="1" t="s">
        <v>104</v>
      </c>
      <c r="CA197" s="1" t="s">
        <v>157</v>
      </c>
      <c r="CB197" s="1" t="s">
        <v>104</v>
      </c>
      <c r="CC197" s="1" t="s">
        <v>157</v>
      </c>
      <c r="CD197" s="1" t="s">
        <v>104</v>
      </c>
      <c r="CE197" s="4"/>
      <c r="CF197" s="4"/>
    </row>
    <row r="198" hidden="1">
      <c r="A198" s="1" t="s">
        <v>82</v>
      </c>
      <c r="B198" s="1" t="s">
        <v>92</v>
      </c>
      <c r="C198" s="1">
        <v>7.0</v>
      </c>
      <c r="D198" s="5" t="s">
        <v>973</v>
      </c>
      <c r="E198" s="1" t="s">
        <v>974</v>
      </c>
      <c r="F198" s="1">
        <v>37.0</v>
      </c>
      <c r="G198" s="1">
        <v>0.6808</v>
      </c>
      <c r="H198" s="1" t="s">
        <v>975</v>
      </c>
      <c r="I198" s="4" t="b">
        <f>IFERROR(__xludf.DUMMYFUNCTION("IF(H198="""",,REGEXMATCH(H198,""[א-ת]""))"),FALSE)</f>
        <v>0</v>
      </c>
      <c r="J198" s="4"/>
      <c r="K198" s="4"/>
      <c r="L198" s="1">
        <v>0.7574</v>
      </c>
      <c r="M198" s="1">
        <v>13.24</v>
      </c>
      <c r="N198" s="1">
        <v>72.97</v>
      </c>
      <c r="O198" s="1">
        <v>1.972162162</v>
      </c>
      <c r="P198" s="4"/>
      <c r="Q198" s="4"/>
      <c r="R198" s="1" t="s">
        <v>96</v>
      </c>
      <c r="S198" s="1" t="s">
        <v>974</v>
      </c>
      <c r="T198" s="1" t="s">
        <v>92</v>
      </c>
      <c r="U198" s="1">
        <v>8.0</v>
      </c>
      <c r="V198" s="5" t="s">
        <v>973</v>
      </c>
      <c r="W198" s="1" t="s">
        <v>974</v>
      </c>
      <c r="X198" s="1" t="s">
        <v>976</v>
      </c>
      <c r="Y198" s="4"/>
      <c r="Z198" s="4"/>
      <c r="AA198" s="4" t="b">
        <f>IFERROR(__xludf.DUMMYFUNCTION("IF(X198="""",,REGEXMATCH(X198,""[א-ת]""))"),FALSE)</f>
        <v>0</v>
      </c>
      <c r="AB198" s="1">
        <v>27.48</v>
      </c>
      <c r="AC198" s="1">
        <v>62.16</v>
      </c>
      <c r="AD198" s="1">
        <v>0.8354562739387</v>
      </c>
      <c r="AE198" s="1">
        <v>0.7088</v>
      </c>
      <c r="AF198" s="1">
        <v>0.6808</v>
      </c>
      <c r="AG198" s="1">
        <v>6.337</v>
      </c>
      <c r="AH198" s="1">
        <v>6.781</v>
      </c>
      <c r="AI198" s="1" t="b">
        <v>0</v>
      </c>
      <c r="AJ198" s="1" t="b">
        <v>0</v>
      </c>
      <c r="AK198" s="1">
        <v>94.182</v>
      </c>
      <c r="AL198" s="1">
        <v>96.508</v>
      </c>
      <c r="AM198" s="1" t="b">
        <v>0</v>
      </c>
      <c r="AN198" s="1" t="b">
        <v>0</v>
      </c>
      <c r="AO198" s="1">
        <v>8.05</v>
      </c>
      <c r="AP198" s="1">
        <v>8.53399999999999</v>
      </c>
      <c r="AQ198" s="1" t="b">
        <v>0</v>
      </c>
      <c r="AR198" s="1" t="b">
        <v>0</v>
      </c>
      <c r="AS198" s="1">
        <v>86.9179999999999</v>
      </c>
      <c r="AT198" s="1">
        <v>87.152</v>
      </c>
      <c r="AU198" s="1" t="b">
        <v>0</v>
      </c>
      <c r="AV198" s="1" t="b">
        <v>0</v>
      </c>
      <c r="AW198" s="1">
        <v>9.61399999999999</v>
      </c>
      <c r="AX198" s="1">
        <v>11.026</v>
      </c>
      <c r="AY198" s="1" t="b">
        <v>0</v>
      </c>
      <c r="AZ198" s="1" t="b">
        <v>0</v>
      </c>
      <c r="BA198" s="1">
        <v>81.25</v>
      </c>
      <c r="BB198" s="1">
        <v>77.78</v>
      </c>
      <c r="BC198" s="1" t="b">
        <v>0</v>
      </c>
      <c r="BD198" s="1" t="b">
        <v>0</v>
      </c>
      <c r="BE198" s="1">
        <v>11.34</v>
      </c>
      <c r="BF198" s="1">
        <v>13.285</v>
      </c>
      <c r="BG198" s="1" t="b">
        <v>0</v>
      </c>
      <c r="BH198" s="1" t="b">
        <v>0</v>
      </c>
      <c r="BI198" s="1">
        <v>77.78</v>
      </c>
      <c r="BJ198" s="1">
        <v>75.0</v>
      </c>
      <c r="BK198" s="1" t="b">
        <v>0</v>
      </c>
      <c r="BL198" s="1" t="b">
        <v>0</v>
      </c>
      <c r="BM198" s="1">
        <v>13.121</v>
      </c>
      <c r="BN198" s="1">
        <v>14.568</v>
      </c>
      <c r="BO198" s="1" t="b">
        <v>0</v>
      </c>
      <c r="BP198" s="1" t="b">
        <v>0</v>
      </c>
      <c r="BQ198" s="1">
        <v>75.0</v>
      </c>
      <c r="BR198" s="1">
        <v>72.027</v>
      </c>
      <c r="BS198" s="1" t="b">
        <v>0</v>
      </c>
      <c r="BT198" s="1" t="b">
        <v>0</v>
      </c>
      <c r="BU198" s="1" t="s">
        <v>105</v>
      </c>
      <c r="BV198" s="1" t="s">
        <v>105</v>
      </c>
      <c r="BW198" s="1" t="s">
        <v>105</v>
      </c>
      <c r="BX198" s="1" t="s">
        <v>105</v>
      </c>
      <c r="BY198" s="1" t="s">
        <v>105</v>
      </c>
      <c r="BZ198" s="1" t="s">
        <v>105</v>
      </c>
      <c r="CA198" s="1" t="s">
        <v>105</v>
      </c>
      <c r="CB198" s="1" t="s">
        <v>105</v>
      </c>
      <c r="CC198" s="1" t="s">
        <v>105</v>
      </c>
      <c r="CD198" s="1" t="s">
        <v>105</v>
      </c>
      <c r="CE198" s="4"/>
      <c r="CF198" s="4"/>
    </row>
    <row r="199">
      <c r="A199" s="1" t="s">
        <v>82</v>
      </c>
      <c r="B199" s="1" t="s">
        <v>251</v>
      </c>
      <c r="C199" s="1">
        <v>23.0</v>
      </c>
      <c r="D199" s="5" t="s">
        <v>977</v>
      </c>
      <c r="E199" s="1" t="s">
        <v>978</v>
      </c>
      <c r="F199" s="1">
        <v>37.0</v>
      </c>
      <c r="G199" s="1">
        <v>0.0</v>
      </c>
      <c r="H199" s="1" t="s">
        <v>979</v>
      </c>
      <c r="I199" s="4" t="b">
        <f>IFERROR(__xludf.DUMMYFUNCTION("IF(H199="""",,REGEXMATCH(H199,""[א-ת]""))"),FALSE)</f>
        <v>0</v>
      </c>
      <c r="J199" s="4"/>
      <c r="K199" s="4"/>
      <c r="L199" s="1">
        <v>0.0</v>
      </c>
      <c r="M199" s="1">
        <v>13.24</v>
      </c>
      <c r="N199" s="1">
        <v>97.3</v>
      </c>
      <c r="O199" s="1">
        <v>2.62972973</v>
      </c>
      <c r="P199" s="4"/>
      <c r="Q199" s="4"/>
      <c r="R199" s="1" t="s">
        <v>89</v>
      </c>
      <c r="S199" s="1" t="s">
        <v>978</v>
      </c>
      <c r="T199" s="1" t="s">
        <v>251</v>
      </c>
      <c r="U199" s="1">
        <v>24.0</v>
      </c>
      <c r="V199" s="5" t="s">
        <v>977</v>
      </c>
      <c r="W199" s="1" t="s">
        <v>978</v>
      </c>
      <c r="X199" s="1" t="s">
        <v>980</v>
      </c>
      <c r="Y199" s="1" t="s">
        <v>776</v>
      </c>
      <c r="Z199" s="1" t="s">
        <v>981</v>
      </c>
      <c r="AA199" s="4" t="b">
        <f>IFERROR(__xludf.DUMMYFUNCTION("IF(X199="""",,REGEXMATCH(X199,""[א-ת]""))"),FALSE)</f>
        <v>0</v>
      </c>
      <c r="AB199" s="1">
        <v>5.38</v>
      </c>
      <c r="AC199" s="1">
        <v>75.68</v>
      </c>
      <c r="AD199" s="1">
        <v>0.174612358563135</v>
      </c>
      <c r="AE199" s="1">
        <v>0.0</v>
      </c>
      <c r="AF199" s="1">
        <v>0.0</v>
      </c>
      <c r="AG199" s="1">
        <v>6.337</v>
      </c>
      <c r="AH199" s="1">
        <v>6.781</v>
      </c>
      <c r="AI199" s="1" t="b">
        <v>0</v>
      </c>
      <c r="AJ199" s="1" t="b">
        <v>1</v>
      </c>
      <c r="AK199" s="1">
        <v>94.182</v>
      </c>
      <c r="AL199" s="1">
        <v>96.508</v>
      </c>
      <c r="AM199" s="1" t="b">
        <v>1</v>
      </c>
      <c r="AN199" s="1" t="b">
        <v>0</v>
      </c>
      <c r="AO199" s="1">
        <v>8.05</v>
      </c>
      <c r="AP199" s="1">
        <v>8.53399999999999</v>
      </c>
      <c r="AQ199" s="1" t="b">
        <v>0</v>
      </c>
      <c r="AR199" s="1" t="b">
        <v>1</v>
      </c>
      <c r="AS199" s="1">
        <v>86.9179999999999</v>
      </c>
      <c r="AT199" s="1">
        <v>87.152</v>
      </c>
      <c r="AU199" s="1" t="b">
        <v>1</v>
      </c>
      <c r="AV199" s="1" t="b">
        <v>0</v>
      </c>
      <c r="AW199" s="1">
        <v>9.61399999999999</v>
      </c>
      <c r="AX199" s="1">
        <v>11.026</v>
      </c>
      <c r="AY199" s="1" t="b">
        <v>0</v>
      </c>
      <c r="AZ199" s="1" t="b">
        <v>1</v>
      </c>
      <c r="BA199" s="1">
        <v>81.25</v>
      </c>
      <c r="BB199" s="1">
        <v>77.78</v>
      </c>
      <c r="BC199" s="1" t="b">
        <v>1</v>
      </c>
      <c r="BD199" s="1" t="b">
        <v>0</v>
      </c>
      <c r="BE199" s="1">
        <v>11.34</v>
      </c>
      <c r="BF199" s="1">
        <v>13.285</v>
      </c>
      <c r="BG199" s="1" t="b">
        <v>0</v>
      </c>
      <c r="BH199" s="1" t="b">
        <v>1</v>
      </c>
      <c r="BI199" s="1">
        <v>77.78</v>
      </c>
      <c r="BJ199" s="1">
        <v>75.0</v>
      </c>
      <c r="BK199" s="1" t="b">
        <v>1</v>
      </c>
      <c r="BL199" s="1" t="b">
        <v>1</v>
      </c>
      <c r="BM199" s="1">
        <v>13.121</v>
      </c>
      <c r="BN199" s="1">
        <v>14.568</v>
      </c>
      <c r="BO199" s="1" t="b">
        <v>0</v>
      </c>
      <c r="BP199" s="1" t="b">
        <v>1</v>
      </c>
      <c r="BQ199" s="1">
        <v>75.0</v>
      </c>
      <c r="BR199" s="1">
        <v>72.027</v>
      </c>
      <c r="BS199" s="1" t="b">
        <v>1</v>
      </c>
      <c r="BT199" s="1" t="b">
        <v>1</v>
      </c>
      <c r="BU199" s="1" t="s">
        <v>157</v>
      </c>
      <c r="BV199" s="1" t="s">
        <v>91</v>
      </c>
      <c r="BW199" s="1" t="s">
        <v>157</v>
      </c>
      <c r="BX199" s="1" t="s">
        <v>91</v>
      </c>
      <c r="BY199" s="1" t="s">
        <v>157</v>
      </c>
      <c r="BZ199" s="1" t="s">
        <v>91</v>
      </c>
      <c r="CA199" s="1" t="s">
        <v>157</v>
      </c>
      <c r="CB199" s="1" t="s">
        <v>104</v>
      </c>
      <c r="CC199" s="1" t="s">
        <v>157</v>
      </c>
      <c r="CD199" s="1" t="s">
        <v>104</v>
      </c>
      <c r="CE199" s="4"/>
      <c r="CF199" s="4"/>
    </row>
    <row r="200" hidden="1">
      <c r="A200" s="1" t="s">
        <v>82</v>
      </c>
      <c r="B200" s="1" t="s">
        <v>524</v>
      </c>
      <c r="C200" s="1">
        <v>9.0</v>
      </c>
      <c r="D200" s="5" t="s">
        <v>982</v>
      </c>
      <c r="E200" s="1" t="s">
        <v>983</v>
      </c>
      <c r="F200" s="1">
        <v>10.0</v>
      </c>
      <c r="G200" s="1">
        <v>0.0</v>
      </c>
      <c r="H200" s="1" t="s">
        <v>984</v>
      </c>
      <c r="I200" s="4" t="b">
        <f>IFERROR(__xludf.DUMMYFUNCTION("IF(H200="""",,REGEXMATCH(H200,""[א-ת]""))"),FALSE)</f>
        <v>0</v>
      </c>
      <c r="J200" s="4"/>
      <c r="K200" s="4"/>
      <c r="L200" s="1">
        <v>0.0</v>
      </c>
      <c r="M200" s="1">
        <v>13.29</v>
      </c>
      <c r="N200" s="1">
        <v>80.0</v>
      </c>
      <c r="O200" s="1">
        <v>8.0</v>
      </c>
      <c r="P200" s="4"/>
      <c r="Q200" s="4"/>
      <c r="R200" s="1" t="s">
        <v>89</v>
      </c>
      <c r="S200" s="1" t="s">
        <v>983</v>
      </c>
      <c r="T200" s="1" t="s">
        <v>524</v>
      </c>
      <c r="U200" s="1">
        <v>10.0</v>
      </c>
      <c r="V200" s="5" t="s">
        <v>982</v>
      </c>
      <c r="W200" s="1" t="s">
        <v>983</v>
      </c>
      <c r="X200" s="1" t="s">
        <v>985</v>
      </c>
      <c r="Y200" s="4"/>
      <c r="Z200" s="4"/>
      <c r="AA200" s="4" t="b">
        <f>IFERROR(__xludf.DUMMYFUNCTION("IF(X200="""",,REGEXMATCH(X200,""[א-ת]""))"),FALSE)</f>
        <v>0</v>
      </c>
      <c r="AB200" s="1">
        <v>14.46</v>
      </c>
      <c r="AC200" s="1">
        <v>60.0</v>
      </c>
      <c r="AD200" s="1">
        <v>0.433777146614125</v>
      </c>
      <c r="AE200" s="1">
        <v>0.0</v>
      </c>
      <c r="AF200" s="1">
        <v>0.0</v>
      </c>
      <c r="AG200" s="1">
        <v>6.337</v>
      </c>
      <c r="AH200" s="1">
        <v>6.781</v>
      </c>
      <c r="AI200" s="1" t="b">
        <v>0</v>
      </c>
      <c r="AJ200" s="1" t="b">
        <v>0</v>
      </c>
      <c r="AK200" s="1">
        <v>94.182</v>
      </c>
      <c r="AL200" s="1">
        <v>96.508</v>
      </c>
      <c r="AM200" s="1" t="b">
        <v>0</v>
      </c>
      <c r="AN200" s="1" t="b">
        <v>0</v>
      </c>
      <c r="AO200" s="1">
        <v>8.05</v>
      </c>
      <c r="AP200" s="1">
        <v>8.53399999999999</v>
      </c>
      <c r="AQ200" s="1" t="b">
        <v>0</v>
      </c>
      <c r="AR200" s="1" t="b">
        <v>0</v>
      </c>
      <c r="AS200" s="1">
        <v>86.9179999999999</v>
      </c>
      <c r="AT200" s="1">
        <v>87.152</v>
      </c>
      <c r="AU200" s="1" t="b">
        <v>0</v>
      </c>
      <c r="AV200" s="1" t="b">
        <v>0</v>
      </c>
      <c r="AW200" s="1">
        <v>9.61399999999999</v>
      </c>
      <c r="AX200" s="1">
        <v>11.026</v>
      </c>
      <c r="AY200" s="1" t="b">
        <v>0</v>
      </c>
      <c r="AZ200" s="1" t="b">
        <v>0</v>
      </c>
      <c r="BA200" s="1">
        <v>81.25</v>
      </c>
      <c r="BB200" s="1">
        <v>77.78</v>
      </c>
      <c r="BC200" s="1" t="b">
        <v>0</v>
      </c>
      <c r="BD200" s="1" t="b">
        <v>0</v>
      </c>
      <c r="BE200" s="1">
        <v>11.34</v>
      </c>
      <c r="BF200" s="1">
        <v>13.285</v>
      </c>
      <c r="BG200" s="1" t="b">
        <v>0</v>
      </c>
      <c r="BH200" s="1" t="b">
        <v>0</v>
      </c>
      <c r="BI200" s="1">
        <v>77.78</v>
      </c>
      <c r="BJ200" s="1">
        <v>75.0</v>
      </c>
      <c r="BK200" s="1" t="b">
        <v>1</v>
      </c>
      <c r="BL200" s="1" t="b">
        <v>0</v>
      </c>
      <c r="BM200" s="1">
        <v>13.121</v>
      </c>
      <c r="BN200" s="1">
        <v>14.568</v>
      </c>
      <c r="BO200" s="1" t="b">
        <v>0</v>
      </c>
      <c r="BP200" s="1" t="b">
        <v>1</v>
      </c>
      <c r="BQ200" s="1">
        <v>75.0</v>
      </c>
      <c r="BR200" s="1">
        <v>72.027</v>
      </c>
      <c r="BS200" s="1" t="b">
        <v>1</v>
      </c>
      <c r="BT200" s="1" t="b">
        <v>0</v>
      </c>
      <c r="BU200" s="1" t="s">
        <v>105</v>
      </c>
      <c r="BV200" s="1" t="s">
        <v>105</v>
      </c>
      <c r="BW200" s="1" t="s">
        <v>105</v>
      </c>
      <c r="BX200" s="1" t="s">
        <v>105</v>
      </c>
      <c r="BY200" s="1" t="s">
        <v>105</v>
      </c>
      <c r="BZ200" s="1" t="s">
        <v>105</v>
      </c>
      <c r="CA200" s="1" t="s">
        <v>105</v>
      </c>
      <c r="CB200" s="1" t="s">
        <v>91</v>
      </c>
      <c r="CC200" s="1" t="s">
        <v>157</v>
      </c>
      <c r="CD200" s="1" t="s">
        <v>91</v>
      </c>
      <c r="CE200" s="4"/>
      <c r="CF200" s="4"/>
    </row>
    <row r="201" hidden="1">
      <c r="A201" s="1" t="s">
        <v>82</v>
      </c>
      <c r="B201" s="1" t="s">
        <v>92</v>
      </c>
      <c r="C201" s="1">
        <v>19.0</v>
      </c>
      <c r="D201" s="5" t="s">
        <v>986</v>
      </c>
      <c r="E201" s="1" t="s">
        <v>987</v>
      </c>
      <c r="F201" s="1">
        <v>74.0</v>
      </c>
      <c r="G201" s="1">
        <v>0.5141</v>
      </c>
      <c r="H201" s="1" t="s">
        <v>988</v>
      </c>
      <c r="I201" s="4" t="b">
        <f>IFERROR(__xludf.DUMMYFUNCTION("IF(H201="""",,REGEXMATCH(H201,""[א-ת]""))"),FALSE)</f>
        <v>0</v>
      </c>
      <c r="J201" s="4"/>
      <c r="K201" s="4"/>
      <c r="L201" s="1">
        <v>-0.4173</v>
      </c>
      <c r="M201" s="1">
        <v>13.36</v>
      </c>
      <c r="N201" s="1">
        <v>71.62</v>
      </c>
      <c r="O201" s="1">
        <v>0.9678378378</v>
      </c>
      <c r="P201" s="4"/>
      <c r="Q201" s="4"/>
      <c r="R201" s="1" t="s">
        <v>96</v>
      </c>
      <c r="S201" s="1" t="s">
        <v>987</v>
      </c>
      <c r="T201" s="1" t="s">
        <v>92</v>
      </c>
      <c r="U201" s="1">
        <v>20.0</v>
      </c>
      <c r="V201" s="5" t="s">
        <v>986</v>
      </c>
      <c r="W201" s="1" t="s">
        <v>987</v>
      </c>
      <c r="X201" s="1" t="s">
        <v>989</v>
      </c>
      <c r="Y201" s="4"/>
      <c r="Z201" s="4"/>
      <c r="AA201" s="4" t="b">
        <f>IFERROR(__xludf.DUMMYFUNCTION("IF(X201="""",,REGEXMATCH(X201,""[א-ת]""))"),TRUE)</f>
        <v>1</v>
      </c>
      <c r="AB201" s="1">
        <v>13.75</v>
      </c>
      <c r="AC201" s="1">
        <v>63.51</v>
      </c>
      <c r="AD201" s="1">
        <v>0.384074911113481</v>
      </c>
      <c r="AE201" s="1">
        <v>0.48</v>
      </c>
      <c r="AF201" s="1">
        <v>0.5141</v>
      </c>
      <c r="AG201" s="1">
        <v>6.337</v>
      </c>
      <c r="AH201" s="1">
        <v>6.781</v>
      </c>
      <c r="AI201" s="1" t="b">
        <v>0</v>
      </c>
      <c r="AJ201" s="1" t="b">
        <v>0</v>
      </c>
      <c r="AK201" s="1">
        <v>94.182</v>
      </c>
      <c r="AL201" s="1">
        <v>96.508</v>
      </c>
      <c r="AM201" s="1" t="b">
        <v>0</v>
      </c>
      <c r="AN201" s="1" t="b">
        <v>0</v>
      </c>
      <c r="AO201" s="1">
        <v>8.05</v>
      </c>
      <c r="AP201" s="1">
        <v>8.53399999999999</v>
      </c>
      <c r="AQ201" s="1" t="b">
        <v>0</v>
      </c>
      <c r="AR201" s="1" t="b">
        <v>0</v>
      </c>
      <c r="AS201" s="1">
        <v>86.9179999999999</v>
      </c>
      <c r="AT201" s="1">
        <v>87.152</v>
      </c>
      <c r="AU201" s="1" t="b">
        <v>0</v>
      </c>
      <c r="AV201" s="1" t="b">
        <v>0</v>
      </c>
      <c r="AW201" s="1">
        <v>9.61399999999999</v>
      </c>
      <c r="AX201" s="1">
        <v>11.026</v>
      </c>
      <c r="AY201" s="1" t="b">
        <v>0</v>
      </c>
      <c r="AZ201" s="1" t="b">
        <v>0</v>
      </c>
      <c r="BA201" s="1">
        <v>81.25</v>
      </c>
      <c r="BB201" s="1">
        <v>77.78</v>
      </c>
      <c r="BC201" s="1" t="b">
        <v>0</v>
      </c>
      <c r="BD201" s="1" t="b">
        <v>0</v>
      </c>
      <c r="BE201" s="1">
        <v>11.34</v>
      </c>
      <c r="BF201" s="1">
        <v>13.285</v>
      </c>
      <c r="BG201" s="1" t="b">
        <v>0</v>
      </c>
      <c r="BH201" s="1" t="b">
        <v>0</v>
      </c>
      <c r="BI201" s="1">
        <v>77.78</v>
      </c>
      <c r="BJ201" s="1">
        <v>75.0</v>
      </c>
      <c r="BK201" s="1" t="b">
        <v>0</v>
      </c>
      <c r="BL201" s="1" t="b">
        <v>0</v>
      </c>
      <c r="BM201" s="1">
        <v>13.121</v>
      </c>
      <c r="BN201" s="1">
        <v>14.568</v>
      </c>
      <c r="BO201" s="1" t="b">
        <v>0</v>
      </c>
      <c r="BP201" s="1" t="b">
        <v>1</v>
      </c>
      <c r="BQ201" s="1">
        <v>75.0</v>
      </c>
      <c r="BR201" s="1">
        <v>72.027</v>
      </c>
      <c r="BS201" s="1" t="b">
        <v>0</v>
      </c>
      <c r="BT201" s="1" t="b">
        <v>0</v>
      </c>
      <c r="BU201" s="1" t="s">
        <v>105</v>
      </c>
      <c r="BV201" s="1" t="s">
        <v>105</v>
      </c>
      <c r="BW201" s="1" t="s">
        <v>105</v>
      </c>
      <c r="BX201" s="1" t="s">
        <v>105</v>
      </c>
      <c r="BY201" s="1" t="s">
        <v>105</v>
      </c>
      <c r="BZ201" s="1" t="s">
        <v>105</v>
      </c>
      <c r="CA201" s="1" t="s">
        <v>105</v>
      </c>
      <c r="CB201" s="1" t="s">
        <v>105</v>
      </c>
      <c r="CC201" s="1" t="s">
        <v>157</v>
      </c>
      <c r="CD201" s="1" t="s">
        <v>105</v>
      </c>
      <c r="CE201" s="4"/>
      <c r="CF201" s="4"/>
    </row>
    <row r="202" hidden="1">
      <c r="A202" s="1" t="s">
        <v>82</v>
      </c>
      <c r="B202" s="1" t="s">
        <v>98</v>
      </c>
      <c r="C202" s="1">
        <v>3.0</v>
      </c>
      <c r="D202" s="5" t="s">
        <v>990</v>
      </c>
      <c r="E202" s="1" t="s">
        <v>991</v>
      </c>
      <c r="F202" s="1">
        <v>62.0</v>
      </c>
      <c r="G202" s="1">
        <v>0.8225</v>
      </c>
      <c r="H202" s="1" t="s">
        <v>992</v>
      </c>
      <c r="I202" s="4" t="b">
        <f>IFERROR(__xludf.DUMMYFUNCTION("IF(H202="""",,REGEXMATCH(H202,""[א-ת]""))"),FALSE)</f>
        <v>0</v>
      </c>
      <c r="J202" s="4"/>
      <c r="K202" s="4"/>
      <c r="L202" s="1">
        <v>0.0</v>
      </c>
      <c r="M202" s="1">
        <v>13.4</v>
      </c>
      <c r="N202" s="1">
        <v>69.35</v>
      </c>
      <c r="O202" s="1">
        <v>1.118548387</v>
      </c>
      <c r="P202" s="4"/>
      <c r="Q202" s="4"/>
      <c r="R202" s="1" t="s">
        <v>89</v>
      </c>
      <c r="S202" s="1" t="s">
        <v>991</v>
      </c>
      <c r="T202" s="1" t="s">
        <v>98</v>
      </c>
      <c r="U202" s="1">
        <v>4.0</v>
      </c>
      <c r="V202" s="5" t="s">
        <v>990</v>
      </c>
      <c r="W202" s="1" t="s">
        <v>991</v>
      </c>
      <c r="X202" s="1" t="s">
        <v>993</v>
      </c>
      <c r="Y202" s="4"/>
      <c r="Z202" s="4"/>
      <c r="AA202" s="4" t="b">
        <f>IFERROR(__xludf.DUMMYFUNCTION("IF(X202="""",,REGEXMATCH(X202,""[א-ת]""))"),FALSE)</f>
        <v>0</v>
      </c>
      <c r="AB202" s="1">
        <v>26.58</v>
      </c>
      <c r="AC202" s="1">
        <v>53.23</v>
      </c>
      <c r="AD202" s="1">
        <v>0.483199255948168</v>
      </c>
      <c r="AE202" s="1">
        <v>0.0</v>
      </c>
      <c r="AF202" s="1">
        <v>0.8225</v>
      </c>
      <c r="AG202" s="1">
        <v>6.337</v>
      </c>
      <c r="AH202" s="1">
        <v>6.781</v>
      </c>
      <c r="AI202" s="1" t="b">
        <v>0</v>
      </c>
      <c r="AJ202" s="1" t="b">
        <v>0</v>
      </c>
      <c r="AK202" s="1">
        <v>94.182</v>
      </c>
      <c r="AL202" s="1">
        <v>96.508</v>
      </c>
      <c r="AM202" s="1" t="b">
        <v>0</v>
      </c>
      <c r="AN202" s="1" t="b">
        <v>0</v>
      </c>
      <c r="AO202" s="1">
        <v>8.05</v>
      </c>
      <c r="AP202" s="1">
        <v>8.53399999999999</v>
      </c>
      <c r="AQ202" s="1" t="b">
        <v>0</v>
      </c>
      <c r="AR202" s="1" t="b">
        <v>0</v>
      </c>
      <c r="AS202" s="1">
        <v>86.9179999999999</v>
      </c>
      <c r="AT202" s="1">
        <v>87.152</v>
      </c>
      <c r="AU202" s="1" t="b">
        <v>0</v>
      </c>
      <c r="AV202" s="1" t="b">
        <v>0</v>
      </c>
      <c r="AW202" s="1">
        <v>9.61399999999999</v>
      </c>
      <c r="AX202" s="1">
        <v>11.026</v>
      </c>
      <c r="AY202" s="1" t="b">
        <v>0</v>
      </c>
      <c r="AZ202" s="1" t="b">
        <v>0</v>
      </c>
      <c r="BA202" s="1">
        <v>81.25</v>
      </c>
      <c r="BB202" s="1">
        <v>77.78</v>
      </c>
      <c r="BC202" s="1" t="b">
        <v>0</v>
      </c>
      <c r="BD202" s="1" t="b">
        <v>0</v>
      </c>
      <c r="BE202" s="1">
        <v>11.34</v>
      </c>
      <c r="BF202" s="1">
        <v>13.285</v>
      </c>
      <c r="BG202" s="1" t="b">
        <v>0</v>
      </c>
      <c r="BH202" s="1" t="b">
        <v>0</v>
      </c>
      <c r="BI202" s="1">
        <v>77.78</v>
      </c>
      <c r="BJ202" s="1">
        <v>75.0</v>
      </c>
      <c r="BK202" s="1" t="b">
        <v>0</v>
      </c>
      <c r="BL202" s="1" t="b">
        <v>0</v>
      </c>
      <c r="BM202" s="1">
        <v>13.121</v>
      </c>
      <c r="BN202" s="1">
        <v>14.568</v>
      </c>
      <c r="BO202" s="1" t="b">
        <v>0</v>
      </c>
      <c r="BP202" s="1" t="b">
        <v>0</v>
      </c>
      <c r="BQ202" s="1">
        <v>75.0</v>
      </c>
      <c r="BR202" s="1">
        <v>72.027</v>
      </c>
      <c r="BS202" s="1" t="b">
        <v>0</v>
      </c>
      <c r="BT202" s="1" t="b">
        <v>0</v>
      </c>
      <c r="BU202" s="1" t="s">
        <v>105</v>
      </c>
      <c r="BV202" s="1" t="s">
        <v>105</v>
      </c>
      <c r="BW202" s="1" t="s">
        <v>105</v>
      </c>
      <c r="BX202" s="1" t="s">
        <v>105</v>
      </c>
      <c r="BY202" s="1" t="s">
        <v>105</v>
      </c>
      <c r="BZ202" s="1" t="s">
        <v>105</v>
      </c>
      <c r="CA202" s="1" t="s">
        <v>105</v>
      </c>
      <c r="CB202" s="1" t="s">
        <v>105</v>
      </c>
      <c r="CC202" s="1" t="s">
        <v>105</v>
      </c>
      <c r="CD202" s="1" t="s">
        <v>105</v>
      </c>
      <c r="CE202" s="4"/>
      <c r="CF202" s="4"/>
    </row>
    <row r="203" hidden="1">
      <c r="A203" s="1" t="s">
        <v>82</v>
      </c>
      <c r="B203" s="1" t="s">
        <v>304</v>
      </c>
      <c r="C203" s="1">
        <v>32.0</v>
      </c>
      <c r="D203" s="5" t="s">
        <v>994</v>
      </c>
      <c r="E203" s="1" t="s">
        <v>995</v>
      </c>
      <c r="F203" s="1">
        <v>68.0</v>
      </c>
      <c r="G203" s="1">
        <v>0.8847</v>
      </c>
      <c r="H203" s="1" t="s">
        <v>996</v>
      </c>
      <c r="I203" s="4" t="b">
        <f>IFERROR(__xludf.DUMMYFUNCTION("IF(H203="""",,REGEXMATCH(H203,""[א-ת]""))"),FALSE)</f>
        <v>0</v>
      </c>
      <c r="J203" s="4"/>
      <c r="K203" s="4"/>
      <c r="L203" s="1">
        <v>0.0</v>
      </c>
      <c r="M203" s="1">
        <v>13.43</v>
      </c>
      <c r="N203" s="1">
        <v>91.18</v>
      </c>
      <c r="O203" s="1">
        <v>1.340882353</v>
      </c>
      <c r="P203" s="4"/>
      <c r="Q203" s="4"/>
      <c r="R203" s="1" t="s">
        <v>89</v>
      </c>
      <c r="S203" s="1" t="s">
        <v>995</v>
      </c>
      <c r="T203" s="1" t="s">
        <v>304</v>
      </c>
      <c r="U203" s="1">
        <v>33.0</v>
      </c>
      <c r="V203" s="5" t="s">
        <v>994</v>
      </c>
      <c r="W203" s="1" t="s">
        <v>995</v>
      </c>
      <c r="X203" s="1" t="s">
        <v>997</v>
      </c>
      <c r="Y203" s="4"/>
      <c r="Z203" s="4"/>
      <c r="AA203" s="4" t="b">
        <f>IFERROR(__xludf.DUMMYFUNCTION("IF(X203="""",,REGEXMATCH(X203,""[א-ת]""))"),FALSE)</f>
        <v>0</v>
      </c>
      <c r="AB203" s="1">
        <v>6.81</v>
      </c>
      <c r="AC203" s="1">
        <v>83.82</v>
      </c>
      <c r="AD203" s="1">
        <v>0.457519914021542</v>
      </c>
      <c r="AE203" s="1">
        <v>0.1779</v>
      </c>
      <c r="AF203" s="1">
        <v>0.8847</v>
      </c>
      <c r="AG203" s="1">
        <v>6.337</v>
      </c>
      <c r="AH203" s="1">
        <v>6.781</v>
      </c>
      <c r="AI203" s="1" t="b">
        <v>0</v>
      </c>
      <c r="AJ203" s="1" t="b">
        <v>0</v>
      </c>
      <c r="AK203" s="1">
        <v>94.182</v>
      </c>
      <c r="AL203" s="1">
        <v>96.508</v>
      </c>
      <c r="AM203" s="1" t="b">
        <v>0</v>
      </c>
      <c r="AN203" s="1" t="b">
        <v>0</v>
      </c>
      <c r="AO203" s="1">
        <v>8.05</v>
      </c>
      <c r="AP203" s="1">
        <v>8.53399999999999</v>
      </c>
      <c r="AQ203" s="1" t="b">
        <v>0</v>
      </c>
      <c r="AR203" s="1" t="b">
        <v>1</v>
      </c>
      <c r="AS203" s="1">
        <v>86.9179999999999</v>
      </c>
      <c r="AT203" s="1">
        <v>87.152</v>
      </c>
      <c r="AU203" s="1" t="b">
        <v>1</v>
      </c>
      <c r="AV203" s="1" t="b">
        <v>0</v>
      </c>
      <c r="AW203" s="1">
        <v>9.61399999999999</v>
      </c>
      <c r="AX203" s="1">
        <v>11.026</v>
      </c>
      <c r="AY203" s="1" t="b">
        <v>0</v>
      </c>
      <c r="AZ203" s="1" t="b">
        <v>1</v>
      </c>
      <c r="BA203" s="1">
        <v>81.25</v>
      </c>
      <c r="BB203" s="1">
        <v>77.78</v>
      </c>
      <c r="BC203" s="1" t="b">
        <v>1</v>
      </c>
      <c r="BD203" s="1" t="b">
        <v>1</v>
      </c>
      <c r="BE203" s="1">
        <v>11.34</v>
      </c>
      <c r="BF203" s="1">
        <v>13.285</v>
      </c>
      <c r="BG203" s="1" t="b">
        <v>0</v>
      </c>
      <c r="BH203" s="1" t="b">
        <v>1</v>
      </c>
      <c r="BI203" s="1">
        <v>77.78</v>
      </c>
      <c r="BJ203" s="1">
        <v>75.0</v>
      </c>
      <c r="BK203" s="1" t="b">
        <v>1</v>
      </c>
      <c r="BL203" s="1" t="b">
        <v>1</v>
      </c>
      <c r="BM203" s="1">
        <v>13.121</v>
      </c>
      <c r="BN203" s="1">
        <v>14.568</v>
      </c>
      <c r="BO203" s="1" t="b">
        <v>0</v>
      </c>
      <c r="BP203" s="1" t="b">
        <v>1</v>
      </c>
      <c r="BQ203" s="1">
        <v>75.0</v>
      </c>
      <c r="BR203" s="1">
        <v>72.027</v>
      </c>
      <c r="BS203" s="1" t="b">
        <v>1</v>
      </c>
      <c r="BT203" s="1" t="b">
        <v>1</v>
      </c>
      <c r="BU203" s="1" t="s">
        <v>105</v>
      </c>
      <c r="BV203" s="1" t="s">
        <v>105</v>
      </c>
      <c r="BW203" s="1" t="s">
        <v>157</v>
      </c>
      <c r="BX203" s="1" t="s">
        <v>91</v>
      </c>
      <c r="BY203" s="1" t="s">
        <v>157</v>
      </c>
      <c r="BZ203" s="1" t="s">
        <v>104</v>
      </c>
      <c r="CA203" s="1" t="s">
        <v>157</v>
      </c>
      <c r="CB203" s="1" t="s">
        <v>104</v>
      </c>
      <c r="CC203" s="1" t="s">
        <v>157</v>
      </c>
      <c r="CD203" s="1" t="s">
        <v>104</v>
      </c>
      <c r="CE203" s="4"/>
      <c r="CF203" s="4"/>
    </row>
    <row r="204" hidden="1">
      <c r="A204" s="1" t="s">
        <v>82</v>
      </c>
      <c r="B204" s="1" t="s">
        <v>197</v>
      </c>
      <c r="C204" s="1">
        <v>10.0</v>
      </c>
      <c r="D204" s="5" t="s">
        <v>998</v>
      </c>
      <c r="E204" s="1" t="s">
        <v>999</v>
      </c>
      <c r="F204" s="1">
        <v>35.0</v>
      </c>
      <c r="G204" s="1">
        <v>0.0</v>
      </c>
      <c r="H204" s="1" t="s">
        <v>1000</v>
      </c>
      <c r="I204" s="4" t="b">
        <f>IFERROR(__xludf.DUMMYFUNCTION("IF(H204="""",,REGEXMATCH(H204,""[א-ת]""))"),TRUE)</f>
        <v>1</v>
      </c>
      <c r="J204" s="4"/>
      <c r="K204" s="4"/>
      <c r="L204" s="1">
        <v>0.0</v>
      </c>
      <c r="M204" s="1">
        <v>13.49</v>
      </c>
      <c r="N204" s="1">
        <v>62.86</v>
      </c>
      <c r="O204" s="1">
        <v>1.796</v>
      </c>
      <c r="P204" s="4"/>
      <c r="Q204" s="4"/>
      <c r="R204" s="1" t="s">
        <v>89</v>
      </c>
      <c r="S204" s="1" t="s">
        <v>999</v>
      </c>
      <c r="T204" s="1" t="s">
        <v>197</v>
      </c>
      <c r="U204" s="1">
        <v>11.0</v>
      </c>
      <c r="V204" s="5" t="s">
        <v>998</v>
      </c>
      <c r="W204" s="1" t="s">
        <v>999</v>
      </c>
      <c r="X204" s="1" t="s">
        <v>1001</v>
      </c>
      <c r="Y204" s="4"/>
      <c r="Z204" s="4"/>
      <c r="AA204" s="4" t="b">
        <f>IFERROR(__xludf.DUMMYFUNCTION("IF(X204="""",,REGEXMATCH(X204,""[א-ת]""))"),FALSE)</f>
        <v>0</v>
      </c>
      <c r="AB204" s="1">
        <v>14.2</v>
      </c>
      <c r="AC204" s="1">
        <v>62.86</v>
      </c>
      <c r="AD204" s="1">
        <v>0.680715562099164</v>
      </c>
      <c r="AE204" s="1">
        <v>0.0</v>
      </c>
      <c r="AF204" s="1">
        <v>0.0</v>
      </c>
      <c r="AG204" s="1">
        <v>6.337</v>
      </c>
      <c r="AH204" s="1">
        <v>6.781</v>
      </c>
      <c r="AI204" s="1" t="b">
        <v>0</v>
      </c>
      <c r="AJ204" s="1" t="b">
        <v>0</v>
      </c>
      <c r="AK204" s="1">
        <v>94.182</v>
      </c>
      <c r="AL204" s="1">
        <v>96.508</v>
      </c>
      <c r="AM204" s="1" t="b">
        <v>0</v>
      </c>
      <c r="AN204" s="1" t="b">
        <v>0</v>
      </c>
      <c r="AO204" s="1">
        <v>8.05</v>
      </c>
      <c r="AP204" s="1">
        <v>8.53399999999999</v>
      </c>
      <c r="AQ204" s="1" t="b">
        <v>0</v>
      </c>
      <c r="AR204" s="1" t="b">
        <v>0</v>
      </c>
      <c r="AS204" s="1">
        <v>86.9179999999999</v>
      </c>
      <c r="AT204" s="1">
        <v>87.152</v>
      </c>
      <c r="AU204" s="1" t="b">
        <v>0</v>
      </c>
      <c r="AV204" s="1" t="b">
        <v>0</v>
      </c>
      <c r="AW204" s="1">
        <v>9.61399999999999</v>
      </c>
      <c r="AX204" s="1">
        <v>11.026</v>
      </c>
      <c r="AY204" s="1" t="b">
        <v>0</v>
      </c>
      <c r="AZ204" s="1" t="b">
        <v>0</v>
      </c>
      <c r="BA204" s="1">
        <v>81.25</v>
      </c>
      <c r="BB204" s="1">
        <v>77.78</v>
      </c>
      <c r="BC204" s="1" t="b">
        <v>0</v>
      </c>
      <c r="BD204" s="1" t="b">
        <v>0</v>
      </c>
      <c r="BE204" s="1">
        <v>11.34</v>
      </c>
      <c r="BF204" s="1">
        <v>13.285</v>
      </c>
      <c r="BG204" s="1" t="b">
        <v>0</v>
      </c>
      <c r="BH204" s="1" t="b">
        <v>0</v>
      </c>
      <c r="BI204" s="1">
        <v>77.78</v>
      </c>
      <c r="BJ204" s="1">
        <v>75.0</v>
      </c>
      <c r="BK204" s="1" t="b">
        <v>0</v>
      </c>
      <c r="BL204" s="1" t="b">
        <v>0</v>
      </c>
      <c r="BM204" s="1">
        <v>13.121</v>
      </c>
      <c r="BN204" s="1">
        <v>14.568</v>
      </c>
      <c r="BO204" s="1" t="b">
        <v>0</v>
      </c>
      <c r="BP204" s="1" t="b">
        <v>1</v>
      </c>
      <c r="BQ204" s="1">
        <v>75.0</v>
      </c>
      <c r="BR204" s="1">
        <v>72.027</v>
      </c>
      <c r="BS204" s="1" t="b">
        <v>0</v>
      </c>
      <c r="BT204" s="1" t="b">
        <v>0</v>
      </c>
      <c r="BU204" s="1" t="s">
        <v>105</v>
      </c>
      <c r="BV204" s="1" t="s">
        <v>105</v>
      </c>
      <c r="BW204" s="1" t="s">
        <v>105</v>
      </c>
      <c r="BX204" s="1" t="s">
        <v>105</v>
      </c>
      <c r="BY204" s="1" t="s">
        <v>105</v>
      </c>
      <c r="BZ204" s="1" t="s">
        <v>105</v>
      </c>
      <c r="CA204" s="1" t="s">
        <v>105</v>
      </c>
      <c r="CB204" s="1" t="s">
        <v>105</v>
      </c>
      <c r="CC204" s="1" t="s">
        <v>157</v>
      </c>
      <c r="CD204" s="1" t="s">
        <v>105</v>
      </c>
      <c r="CE204" s="4"/>
      <c r="CF204" s="4"/>
    </row>
    <row r="205" hidden="1">
      <c r="A205" s="1" t="s">
        <v>82</v>
      </c>
      <c r="B205" s="1" t="s">
        <v>152</v>
      </c>
      <c r="C205" s="1">
        <v>18.0</v>
      </c>
      <c r="D205" s="5" t="s">
        <v>1002</v>
      </c>
      <c r="E205" s="1" t="s">
        <v>1003</v>
      </c>
      <c r="F205" s="1">
        <v>32.0</v>
      </c>
      <c r="G205" s="1">
        <v>-0.1779</v>
      </c>
      <c r="H205" s="1" t="s">
        <v>1004</v>
      </c>
      <c r="I205" s="4" t="b">
        <f>IFERROR(__xludf.DUMMYFUNCTION("IF(H205="""",,REGEXMATCH(H205,""[א-ת]""))"),FALSE)</f>
        <v>0</v>
      </c>
      <c r="J205" s="4"/>
      <c r="K205" s="4"/>
      <c r="L205" s="1">
        <v>-0.1779</v>
      </c>
      <c r="M205" s="1">
        <v>13.51</v>
      </c>
      <c r="N205" s="1">
        <v>87.5</v>
      </c>
      <c r="O205" s="1">
        <v>2.734375</v>
      </c>
      <c r="P205" s="4"/>
      <c r="Q205" s="4"/>
      <c r="R205" s="1" t="s">
        <v>89</v>
      </c>
      <c r="S205" s="1" t="s">
        <v>1003</v>
      </c>
      <c r="T205" s="1" t="s">
        <v>152</v>
      </c>
      <c r="U205" s="1">
        <v>19.0</v>
      </c>
      <c r="V205" s="5" t="s">
        <v>1002</v>
      </c>
      <c r="W205" s="1" t="s">
        <v>1003</v>
      </c>
      <c r="X205" s="1" t="s">
        <v>1005</v>
      </c>
      <c r="Y205" s="4"/>
      <c r="Z205" s="4"/>
      <c r="AA205" s="4" t="b">
        <f>IFERROR(__xludf.DUMMYFUNCTION("IF(X205="""",,REGEXMATCH(X205,""[א-ת]""))"),FALSE)</f>
        <v>0</v>
      </c>
      <c r="AB205" s="1">
        <v>22.56</v>
      </c>
      <c r="AC205" s="1">
        <v>78.12</v>
      </c>
      <c r="AD205" s="1">
        <v>0.568250263590107</v>
      </c>
      <c r="AE205" s="1">
        <v>-0.1779</v>
      </c>
      <c r="AF205" s="1">
        <v>-0.1779</v>
      </c>
      <c r="AG205" s="1">
        <v>6.337</v>
      </c>
      <c r="AH205" s="1">
        <v>6.781</v>
      </c>
      <c r="AI205" s="1" t="b">
        <v>0</v>
      </c>
      <c r="AJ205" s="1" t="b">
        <v>0</v>
      </c>
      <c r="AK205" s="1">
        <v>94.182</v>
      </c>
      <c r="AL205" s="1">
        <v>96.508</v>
      </c>
      <c r="AM205" s="1" t="b">
        <v>0</v>
      </c>
      <c r="AN205" s="1" t="b">
        <v>0</v>
      </c>
      <c r="AO205" s="1">
        <v>8.05</v>
      </c>
      <c r="AP205" s="1">
        <v>8.53399999999999</v>
      </c>
      <c r="AQ205" s="1" t="b">
        <v>0</v>
      </c>
      <c r="AR205" s="1" t="b">
        <v>0</v>
      </c>
      <c r="AS205" s="1">
        <v>86.9179999999999</v>
      </c>
      <c r="AT205" s="1">
        <v>87.152</v>
      </c>
      <c r="AU205" s="1" t="b">
        <v>1</v>
      </c>
      <c r="AV205" s="1" t="b">
        <v>0</v>
      </c>
      <c r="AW205" s="1">
        <v>9.61399999999999</v>
      </c>
      <c r="AX205" s="1">
        <v>11.026</v>
      </c>
      <c r="AY205" s="1" t="b">
        <v>0</v>
      </c>
      <c r="AZ205" s="1" t="b">
        <v>0</v>
      </c>
      <c r="BA205" s="1">
        <v>81.25</v>
      </c>
      <c r="BB205" s="1">
        <v>77.78</v>
      </c>
      <c r="BC205" s="1" t="b">
        <v>1</v>
      </c>
      <c r="BD205" s="1" t="b">
        <v>1</v>
      </c>
      <c r="BE205" s="1">
        <v>11.34</v>
      </c>
      <c r="BF205" s="1">
        <v>13.285</v>
      </c>
      <c r="BG205" s="1" t="b">
        <v>0</v>
      </c>
      <c r="BH205" s="1" t="b">
        <v>0</v>
      </c>
      <c r="BI205" s="1">
        <v>77.78</v>
      </c>
      <c r="BJ205" s="1">
        <v>75.0</v>
      </c>
      <c r="BK205" s="1" t="b">
        <v>1</v>
      </c>
      <c r="BL205" s="1" t="b">
        <v>1</v>
      </c>
      <c r="BM205" s="1">
        <v>13.121</v>
      </c>
      <c r="BN205" s="1">
        <v>14.568</v>
      </c>
      <c r="BO205" s="1" t="b">
        <v>0</v>
      </c>
      <c r="BP205" s="1" t="b">
        <v>0</v>
      </c>
      <c r="BQ205" s="1">
        <v>75.0</v>
      </c>
      <c r="BR205" s="1">
        <v>72.027</v>
      </c>
      <c r="BS205" s="1" t="b">
        <v>1</v>
      </c>
      <c r="BT205" s="1" t="b">
        <v>1</v>
      </c>
      <c r="BU205" s="1" t="s">
        <v>105</v>
      </c>
      <c r="BV205" s="1" t="s">
        <v>105</v>
      </c>
      <c r="BW205" s="1" t="s">
        <v>105</v>
      </c>
      <c r="BX205" s="1" t="s">
        <v>91</v>
      </c>
      <c r="BY205" s="1" t="s">
        <v>105</v>
      </c>
      <c r="BZ205" s="1" t="s">
        <v>104</v>
      </c>
      <c r="CA205" s="1" t="s">
        <v>105</v>
      </c>
      <c r="CB205" s="1" t="s">
        <v>104</v>
      </c>
      <c r="CC205" s="1" t="s">
        <v>105</v>
      </c>
      <c r="CD205" s="1" t="s">
        <v>104</v>
      </c>
      <c r="CE205" s="4"/>
      <c r="CF205" s="4"/>
    </row>
    <row r="206">
      <c r="A206" s="1" t="s">
        <v>82</v>
      </c>
      <c r="B206" s="1" t="s">
        <v>111</v>
      </c>
      <c r="C206" s="1">
        <v>31.0</v>
      </c>
      <c r="D206" s="5" t="s">
        <v>1006</v>
      </c>
      <c r="E206" s="1" t="s">
        <v>1007</v>
      </c>
      <c r="F206" s="1">
        <v>27.0</v>
      </c>
      <c r="G206" s="1">
        <v>-0.6808</v>
      </c>
      <c r="H206" s="1" t="s">
        <v>1008</v>
      </c>
      <c r="I206" s="4" t="b">
        <f>IFERROR(__xludf.DUMMYFUNCTION("IF(H206="""",,REGEXMATCH(H206,""[א-ת]""))"),FALSE)</f>
        <v>0</v>
      </c>
      <c r="J206" s="4"/>
      <c r="K206" s="4"/>
      <c r="L206" s="1">
        <v>-0.8126</v>
      </c>
      <c r="M206" s="1">
        <v>13.52</v>
      </c>
      <c r="N206" s="1">
        <v>70.37</v>
      </c>
      <c r="O206" s="1">
        <v>2.606296296</v>
      </c>
      <c r="P206" s="4"/>
      <c r="Q206" s="4"/>
      <c r="R206" s="1" t="s">
        <v>89</v>
      </c>
      <c r="S206" s="1" t="s">
        <v>1007</v>
      </c>
      <c r="T206" s="1" t="s">
        <v>111</v>
      </c>
      <c r="U206" s="1">
        <v>32.0</v>
      </c>
      <c r="V206" s="5" t="s">
        <v>1006</v>
      </c>
      <c r="W206" s="1" t="s">
        <v>1007</v>
      </c>
      <c r="X206" s="1" t="s">
        <v>1009</v>
      </c>
      <c r="Y206" s="1" t="s">
        <v>1010</v>
      </c>
      <c r="Z206" s="1" t="s">
        <v>1011</v>
      </c>
      <c r="AA206" s="4" t="b">
        <f>IFERROR(__xludf.DUMMYFUNCTION("IF(X206="""",,REGEXMATCH(X206,""[א-ת]""))"),TRUE)</f>
        <v>1</v>
      </c>
      <c r="AB206" s="1">
        <v>6.36</v>
      </c>
      <c r="AC206" s="1">
        <v>129.63</v>
      </c>
      <c r="AD206" s="1">
        <v>0.570363496008553</v>
      </c>
      <c r="AE206" s="1">
        <v>-0.4215</v>
      </c>
      <c r="AF206" s="1">
        <v>-0.6808</v>
      </c>
      <c r="AG206" s="1">
        <v>6.337</v>
      </c>
      <c r="AH206" s="1">
        <v>6.781</v>
      </c>
      <c r="AI206" s="1" t="b">
        <v>0</v>
      </c>
      <c r="AJ206" s="1" t="b">
        <v>1</v>
      </c>
      <c r="AK206" s="1">
        <v>94.182</v>
      </c>
      <c r="AL206" s="1">
        <v>96.508</v>
      </c>
      <c r="AM206" s="1" t="b">
        <v>0</v>
      </c>
      <c r="AN206" s="1" t="b">
        <v>1</v>
      </c>
      <c r="AO206" s="1">
        <v>8.05</v>
      </c>
      <c r="AP206" s="1">
        <v>8.53399999999999</v>
      </c>
      <c r="AQ206" s="1" t="b">
        <v>0</v>
      </c>
      <c r="AR206" s="1" t="b">
        <v>1</v>
      </c>
      <c r="AS206" s="1">
        <v>86.9179999999999</v>
      </c>
      <c r="AT206" s="1">
        <v>87.152</v>
      </c>
      <c r="AU206" s="1" t="b">
        <v>0</v>
      </c>
      <c r="AV206" s="1" t="b">
        <v>1</v>
      </c>
      <c r="AW206" s="1">
        <v>9.61399999999999</v>
      </c>
      <c r="AX206" s="1">
        <v>11.026</v>
      </c>
      <c r="AY206" s="1" t="b">
        <v>0</v>
      </c>
      <c r="AZ206" s="1" t="b">
        <v>1</v>
      </c>
      <c r="BA206" s="1">
        <v>81.25</v>
      </c>
      <c r="BB206" s="1">
        <v>77.78</v>
      </c>
      <c r="BC206" s="1" t="b">
        <v>0</v>
      </c>
      <c r="BD206" s="1" t="b">
        <v>1</v>
      </c>
      <c r="BE206" s="1">
        <v>11.34</v>
      </c>
      <c r="BF206" s="1">
        <v>13.285</v>
      </c>
      <c r="BG206" s="1" t="b">
        <v>0</v>
      </c>
      <c r="BH206" s="1" t="b">
        <v>1</v>
      </c>
      <c r="BI206" s="1">
        <v>77.78</v>
      </c>
      <c r="BJ206" s="1">
        <v>75.0</v>
      </c>
      <c r="BK206" s="1" t="b">
        <v>0</v>
      </c>
      <c r="BL206" s="1" t="b">
        <v>1</v>
      </c>
      <c r="BM206" s="1">
        <v>13.121</v>
      </c>
      <c r="BN206" s="1">
        <v>14.568</v>
      </c>
      <c r="BO206" s="1" t="b">
        <v>0</v>
      </c>
      <c r="BP206" s="1" t="b">
        <v>1</v>
      </c>
      <c r="BQ206" s="1">
        <v>75.0</v>
      </c>
      <c r="BR206" s="1">
        <v>72.027</v>
      </c>
      <c r="BS206" s="1" t="b">
        <v>0</v>
      </c>
      <c r="BT206" s="1" t="b">
        <v>1</v>
      </c>
      <c r="BU206" s="1" t="s">
        <v>157</v>
      </c>
      <c r="BV206" s="1" t="s">
        <v>157</v>
      </c>
      <c r="BW206" s="1" t="s">
        <v>157</v>
      </c>
      <c r="BX206" s="1" t="s">
        <v>157</v>
      </c>
      <c r="BY206" s="1" t="s">
        <v>157</v>
      </c>
      <c r="BZ206" s="1" t="s">
        <v>157</v>
      </c>
      <c r="CA206" s="1" t="s">
        <v>157</v>
      </c>
      <c r="CB206" s="1" t="s">
        <v>157</v>
      </c>
      <c r="CC206" s="1" t="s">
        <v>157</v>
      </c>
      <c r="CD206" s="1" t="s">
        <v>157</v>
      </c>
      <c r="CE206" s="4"/>
      <c r="CF206" s="4"/>
    </row>
    <row r="207" hidden="1">
      <c r="A207" s="1" t="s">
        <v>82</v>
      </c>
      <c r="B207" s="1" t="s">
        <v>139</v>
      </c>
      <c r="C207" s="1">
        <v>31.0</v>
      </c>
      <c r="D207" s="5" t="s">
        <v>1012</v>
      </c>
      <c r="E207" s="1" t="s">
        <v>1013</v>
      </c>
      <c r="F207" s="1">
        <v>12.0</v>
      </c>
      <c r="G207" s="1">
        <v>0.0</v>
      </c>
      <c r="H207" s="1" t="s">
        <v>1014</v>
      </c>
      <c r="I207" s="4" t="b">
        <f>IFERROR(__xludf.DUMMYFUNCTION("IF(H207="""",,REGEXMATCH(H207,""[א-ת]""))"),FALSE)</f>
        <v>0</v>
      </c>
      <c r="J207" s="4"/>
      <c r="K207" s="4"/>
      <c r="L207" s="1">
        <v>0.0</v>
      </c>
      <c r="M207" s="1">
        <v>13.52</v>
      </c>
      <c r="N207" s="1">
        <v>100.0</v>
      </c>
      <c r="O207" s="1">
        <v>8.333333333</v>
      </c>
      <c r="P207" s="4"/>
      <c r="Q207" s="4"/>
      <c r="R207" s="1" t="s">
        <v>96</v>
      </c>
      <c r="S207" s="1" t="s">
        <v>1013</v>
      </c>
      <c r="T207" s="1" t="s">
        <v>139</v>
      </c>
      <c r="U207" s="1">
        <v>32.0</v>
      </c>
      <c r="V207" s="5" t="s">
        <v>1012</v>
      </c>
      <c r="W207" s="1" t="s">
        <v>1013</v>
      </c>
      <c r="X207" s="1" t="s">
        <v>1015</v>
      </c>
      <c r="Y207" s="4"/>
      <c r="Z207" s="4"/>
      <c r="AA207" s="4" t="b">
        <f>IFERROR(__xludf.DUMMYFUNCTION("IF(X207="""",,REGEXMATCH(X207,""[א-ת]""))"),FALSE)</f>
        <v>0</v>
      </c>
      <c r="AB207" s="1">
        <v>10.52</v>
      </c>
      <c r="AC207" s="1">
        <v>91.67</v>
      </c>
      <c r="AD207" s="1">
        <v>0.288615977577856</v>
      </c>
      <c r="AE207" s="1">
        <v>0.0</v>
      </c>
      <c r="AF207" s="1">
        <v>0.0</v>
      </c>
      <c r="AG207" s="1">
        <v>6.337</v>
      </c>
      <c r="AH207" s="1">
        <v>6.781</v>
      </c>
      <c r="AI207" s="1" t="b">
        <v>0</v>
      </c>
      <c r="AJ207" s="1" t="b">
        <v>0</v>
      </c>
      <c r="AK207" s="1">
        <v>94.182</v>
      </c>
      <c r="AL207" s="1">
        <v>96.508</v>
      </c>
      <c r="AM207" s="1" t="b">
        <v>1</v>
      </c>
      <c r="AN207" s="1" t="b">
        <v>0</v>
      </c>
      <c r="AO207" s="1">
        <v>8.05</v>
      </c>
      <c r="AP207" s="1">
        <v>8.53399999999999</v>
      </c>
      <c r="AQ207" s="1" t="b">
        <v>0</v>
      </c>
      <c r="AR207" s="1" t="b">
        <v>0</v>
      </c>
      <c r="AS207" s="1">
        <v>86.9179999999999</v>
      </c>
      <c r="AT207" s="1">
        <v>87.152</v>
      </c>
      <c r="AU207" s="1" t="b">
        <v>1</v>
      </c>
      <c r="AV207" s="1" t="b">
        <v>1</v>
      </c>
      <c r="AW207" s="1">
        <v>9.61399999999999</v>
      </c>
      <c r="AX207" s="1">
        <v>11.026</v>
      </c>
      <c r="AY207" s="1" t="b">
        <v>0</v>
      </c>
      <c r="AZ207" s="1" t="b">
        <v>1</v>
      </c>
      <c r="BA207" s="1">
        <v>81.25</v>
      </c>
      <c r="BB207" s="1">
        <v>77.78</v>
      </c>
      <c r="BC207" s="1" t="b">
        <v>1</v>
      </c>
      <c r="BD207" s="1" t="b">
        <v>1</v>
      </c>
      <c r="BE207" s="1">
        <v>11.34</v>
      </c>
      <c r="BF207" s="1">
        <v>13.285</v>
      </c>
      <c r="BG207" s="1" t="b">
        <v>0</v>
      </c>
      <c r="BH207" s="1" t="b">
        <v>1</v>
      </c>
      <c r="BI207" s="1">
        <v>77.78</v>
      </c>
      <c r="BJ207" s="1">
        <v>75.0</v>
      </c>
      <c r="BK207" s="1" t="b">
        <v>1</v>
      </c>
      <c r="BL207" s="1" t="b">
        <v>1</v>
      </c>
      <c r="BM207" s="1">
        <v>13.121</v>
      </c>
      <c r="BN207" s="1">
        <v>14.568</v>
      </c>
      <c r="BO207" s="1" t="b">
        <v>0</v>
      </c>
      <c r="BP207" s="1" t="b">
        <v>1</v>
      </c>
      <c r="BQ207" s="1">
        <v>75.0</v>
      </c>
      <c r="BR207" s="1">
        <v>72.027</v>
      </c>
      <c r="BS207" s="1" t="b">
        <v>1</v>
      </c>
      <c r="BT207" s="1" t="b">
        <v>1</v>
      </c>
      <c r="BU207" s="1" t="s">
        <v>105</v>
      </c>
      <c r="BV207" s="1" t="s">
        <v>91</v>
      </c>
      <c r="BW207" s="1" t="s">
        <v>105</v>
      </c>
      <c r="BX207" s="1" t="s">
        <v>104</v>
      </c>
      <c r="BY207" s="1" t="s">
        <v>157</v>
      </c>
      <c r="BZ207" s="1" t="s">
        <v>104</v>
      </c>
      <c r="CA207" s="1" t="s">
        <v>157</v>
      </c>
      <c r="CB207" s="1" t="s">
        <v>104</v>
      </c>
      <c r="CC207" s="1" t="s">
        <v>157</v>
      </c>
      <c r="CD207" s="1" t="s">
        <v>104</v>
      </c>
      <c r="CE207" s="4"/>
      <c r="CF207" s="4"/>
    </row>
    <row r="208" hidden="1">
      <c r="A208" s="1" t="s">
        <v>82</v>
      </c>
      <c r="B208" s="1" t="s">
        <v>176</v>
      </c>
      <c r="C208" s="1">
        <v>8.0</v>
      </c>
      <c r="D208" s="5" t="s">
        <v>1016</v>
      </c>
      <c r="E208" s="1" t="s">
        <v>1017</v>
      </c>
      <c r="F208" s="1">
        <v>66.0</v>
      </c>
      <c r="G208" s="1">
        <v>0.7351</v>
      </c>
      <c r="H208" s="1" t="s">
        <v>1018</v>
      </c>
      <c r="I208" s="4" t="b">
        <f>IFERROR(__xludf.DUMMYFUNCTION("IF(H208="""",,REGEXMATCH(H208,""[א-ת]""))"),FALSE)</f>
        <v>0</v>
      </c>
      <c r="J208" s="4"/>
      <c r="K208" s="4"/>
      <c r="L208" s="1">
        <v>0.8655</v>
      </c>
      <c r="M208" s="1">
        <v>13.54</v>
      </c>
      <c r="N208" s="1">
        <v>75.76</v>
      </c>
      <c r="O208" s="1">
        <v>1.147878788</v>
      </c>
      <c r="P208" s="4"/>
      <c r="Q208" s="4"/>
      <c r="R208" s="1" t="s">
        <v>89</v>
      </c>
      <c r="S208" s="1" t="s">
        <v>1017</v>
      </c>
      <c r="T208" s="1" t="s">
        <v>176</v>
      </c>
      <c r="U208" s="1">
        <v>9.0</v>
      </c>
      <c r="V208" s="5" t="s">
        <v>1016</v>
      </c>
      <c r="W208" s="1" t="s">
        <v>1017</v>
      </c>
      <c r="X208" s="1" t="s">
        <v>1019</v>
      </c>
      <c r="Y208" s="4"/>
      <c r="Z208" s="4"/>
      <c r="AA208" s="4" t="b">
        <f>IFERROR(__xludf.DUMMYFUNCTION("IF(X208="""",,REGEXMATCH(X208,""[א-ת]""))"),TRUE)</f>
        <v>1</v>
      </c>
      <c r="AB208" s="1">
        <v>7.09</v>
      </c>
      <c r="AC208" s="1">
        <v>131.82</v>
      </c>
      <c r="AD208" s="1">
        <v>0.287297414332606</v>
      </c>
      <c r="AE208" s="1">
        <v>0.8395</v>
      </c>
      <c r="AF208" s="1">
        <v>0.7351</v>
      </c>
      <c r="AG208" s="1">
        <v>6.337</v>
      </c>
      <c r="AH208" s="1">
        <v>6.781</v>
      </c>
      <c r="AI208" s="1" t="b">
        <v>0</v>
      </c>
      <c r="AJ208" s="1" t="b">
        <v>0</v>
      </c>
      <c r="AK208" s="1">
        <v>94.182</v>
      </c>
      <c r="AL208" s="1">
        <v>96.508</v>
      </c>
      <c r="AM208" s="1" t="b">
        <v>0</v>
      </c>
      <c r="AN208" s="1" t="b">
        <v>1</v>
      </c>
      <c r="AO208" s="1">
        <v>8.05</v>
      </c>
      <c r="AP208" s="1">
        <v>8.53399999999999</v>
      </c>
      <c r="AQ208" s="1" t="b">
        <v>0</v>
      </c>
      <c r="AR208" s="1" t="b">
        <v>1</v>
      </c>
      <c r="AS208" s="1">
        <v>86.9179999999999</v>
      </c>
      <c r="AT208" s="1">
        <v>87.152</v>
      </c>
      <c r="AU208" s="1" t="b">
        <v>0</v>
      </c>
      <c r="AV208" s="1" t="b">
        <v>1</v>
      </c>
      <c r="AW208" s="1">
        <v>9.61399999999999</v>
      </c>
      <c r="AX208" s="1">
        <v>11.026</v>
      </c>
      <c r="AY208" s="1" t="b">
        <v>0</v>
      </c>
      <c r="AZ208" s="1" t="b">
        <v>1</v>
      </c>
      <c r="BA208" s="1">
        <v>81.25</v>
      </c>
      <c r="BB208" s="1">
        <v>77.78</v>
      </c>
      <c r="BC208" s="1" t="b">
        <v>0</v>
      </c>
      <c r="BD208" s="1" t="b">
        <v>1</v>
      </c>
      <c r="BE208" s="1">
        <v>11.34</v>
      </c>
      <c r="BF208" s="1">
        <v>13.285</v>
      </c>
      <c r="BG208" s="1" t="b">
        <v>0</v>
      </c>
      <c r="BH208" s="1" t="b">
        <v>1</v>
      </c>
      <c r="BI208" s="1">
        <v>77.78</v>
      </c>
      <c r="BJ208" s="1">
        <v>75.0</v>
      </c>
      <c r="BK208" s="1" t="b">
        <v>0</v>
      </c>
      <c r="BL208" s="1" t="b">
        <v>1</v>
      </c>
      <c r="BM208" s="1">
        <v>13.121</v>
      </c>
      <c r="BN208" s="1">
        <v>14.568</v>
      </c>
      <c r="BO208" s="1" t="b">
        <v>0</v>
      </c>
      <c r="BP208" s="1" t="b">
        <v>1</v>
      </c>
      <c r="BQ208" s="1">
        <v>75.0</v>
      </c>
      <c r="BR208" s="1">
        <v>72.027</v>
      </c>
      <c r="BS208" s="1" t="b">
        <v>1</v>
      </c>
      <c r="BT208" s="1" t="b">
        <v>1</v>
      </c>
      <c r="BU208" s="1" t="s">
        <v>105</v>
      </c>
      <c r="BV208" s="1" t="s">
        <v>157</v>
      </c>
      <c r="BW208" s="1" t="s">
        <v>157</v>
      </c>
      <c r="BX208" s="1" t="s">
        <v>157</v>
      </c>
      <c r="BY208" s="1" t="s">
        <v>157</v>
      </c>
      <c r="BZ208" s="1" t="s">
        <v>157</v>
      </c>
      <c r="CA208" s="1" t="s">
        <v>157</v>
      </c>
      <c r="CB208" s="1" t="s">
        <v>157</v>
      </c>
      <c r="CC208" s="1" t="s">
        <v>157</v>
      </c>
      <c r="CD208" s="1" t="s">
        <v>104</v>
      </c>
      <c r="CE208" s="4"/>
      <c r="CF208" s="4"/>
    </row>
    <row r="209" hidden="1">
      <c r="A209" s="1" t="s">
        <v>82</v>
      </c>
      <c r="B209" s="1" t="s">
        <v>139</v>
      </c>
      <c r="C209" s="1">
        <v>10.0</v>
      </c>
      <c r="D209" s="5" t="s">
        <v>1020</v>
      </c>
      <c r="E209" s="1" t="s">
        <v>1021</v>
      </c>
      <c r="F209" s="1">
        <v>80.0</v>
      </c>
      <c r="G209" s="1">
        <v>0.0</v>
      </c>
      <c r="H209" s="1" t="s">
        <v>1022</v>
      </c>
      <c r="I209" s="4" t="b">
        <f>IFERROR(__xludf.DUMMYFUNCTION("IF(H209="""",,REGEXMATCH(H209,""[א-ת]""))"),FALSE)</f>
        <v>0</v>
      </c>
      <c r="J209" s="4"/>
      <c r="K209" s="4"/>
      <c r="L209" s="1">
        <v>0.3612</v>
      </c>
      <c r="M209" s="1">
        <v>13.54</v>
      </c>
      <c r="N209" s="1">
        <v>51.25</v>
      </c>
      <c r="O209" s="1">
        <v>0.640625</v>
      </c>
      <c r="P209" s="4"/>
      <c r="Q209" s="4"/>
      <c r="R209" s="1" t="s">
        <v>96</v>
      </c>
      <c r="S209" s="1" t="s">
        <v>1021</v>
      </c>
      <c r="T209" s="1" t="s">
        <v>139</v>
      </c>
      <c r="U209" s="1">
        <v>11.0</v>
      </c>
      <c r="V209" s="5" t="s">
        <v>1020</v>
      </c>
      <c r="W209" s="1" t="s">
        <v>1021</v>
      </c>
      <c r="X209" s="1" t="s">
        <v>1023</v>
      </c>
      <c r="Y209" s="4"/>
      <c r="Z209" s="4"/>
      <c r="AA209" s="4" t="b">
        <f>IFERROR(__xludf.DUMMYFUNCTION("IF(X209="""",,REGEXMATCH(X209,""[א-ת]""))"),FALSE)</f>
        <v>0</v>
      </c>
      <c r="AB209" s="1">
        <v>18.56</v>
      </c>
      <c r="AC209" s="1">
        <v>43.75</v>
      </c>
      <c r="AD209" s="1">
        <v>0.597834396864266</v>
      </c>
      <c r="AE209" s="1">
        <v>0.6908</v>
      </c>
      <c r="AF209" s="1">
        <v>0.0</v>
      </c>
      <c r="AG209" s="1">
        <v>6.337</v>
      </c>
      <c r="AH209" s="1">
        <v>6.781</v>
      </c>
      <c r="AI209" s="1" t="b">
        <v>0</v>
      </c>
      <c r="AJ209" s="1" t="b">
        <v>0</v>
      </c>
      <c r="AK209" s="1">
        <v>94.182</v>
      </c>
      <c r="AL209" s="1">
        <v>96.508</v>
      </c>
      <c r="AM209" s="1" t="b">
        <v>0</v>
      </c>
      <c r="AN209" s="1" t="b">
        <v>0</v>
      </c>
      <c r="AO209" s="1">
        <v>8.05</v>
      </c>
      <c r="AP209" s="1">
        <v>8.53399999999999</v>
      </c>
      <c r="AQ209" s="1" t="b">
        <v>0</v>
      </c>
      <c r="AR209" s="1" t="b">
        <v>0</v>
      </c>
      <c r="AS209" s="1">
        <v>86.9179999999999</v>
      </c>
      <c r="AT209" s="1">
        <v>87.152</v>
      </c>
      <c r="AU209" s="1" t="b">
        <v>0</v>
      </c>
      <c r="AV209" s="1" t="b">
        <v>0</v>
      </c>
      <c r="AW209" s="1">
        <v>9.61399999999999</v>
      </c>
      <c r="AX209" s="1">
        <v>11.026</v>
      </c>
      <c r="AY209" s="1" t="b">
        <v>0</v>
      </c>
      <c r="AZ209" s="1" t="b">
        <v>0</v>
      </c>
      <c r="BA209" s="1">
        <v>81.25</v>
      </c>
      <c r="BB209" s="1">
        <v>77.78</v>
      </c>
      <c r="BC209" s="1" t="b">
        <v>0</v>
      </c>
      <c r="BD209" s="1" t="b">
        <v>0</v>
      </c>
      <c r="BE209" s="1">
        <v>11.34</v>
      </c>
      <c r="BF209" s="1">
        <v>13.285</v>
      </c>
      <c r="BG209" s="1" t="b">
        <v>0</v>
      </c>
      <c r="BH209" s="1" t="b">
        <v>0</v>
      </c>
      <c r="BI209" s="1">
        <v>77.78</v>
      </c>
      <c r="BJ209" s="1">
        <v>75.0</v>
      </c>
      <c r="BK209" s="1" t="b">
        <v>0</v>
      </c>
      <c r="BL209" s="1" t="b">
        <v>0</v>
      </c>
      <c r="BM209" s="1">
        <v>13.121</v>
      </c>
      <c r="BN209" s="1">
        <v>14.568</v>
      </c>
      <c r="BO209" s="1" t="b">
        <v>0</v>
      </c>
      <c r="BP209" s="1" t="b">
        <v>0</v>
      </c>
      <c r="BQ209" s="1">
        <v>75.0</v>
      </c>
      <c r="BR209" s="1">
        <v>72.027</v>
      </c>
      <c r="BS209" s="1" t="b">
        <v>0</v>
      </c>
      <c r="BT209" s="1" t="b">
        <v>0</v>
      </c>
      <c r="BU209" s="1" t="s">
        <v>105</v>
      </c>
      <c r="BV209" s="1" t="s">
        <v>105</v>
      </c>
      <c r="BW209" s="1" t="s">
        <v>105</v>
      </c>
      <c r="BX209" s="1" t="s">
        <v>105</v>
      </c>
      <c r="BY209" s="1" t="s">
        <v>105</v>
      </c>
      <c r="BZ209" s="1" t="s">
        <v>105</v>
      </c>
      <c r="CA209" s="1" t="s">
        <v>105</v>
      </c>
      <c r="CB209" s="1" t="s">
        <v>105</v>
      </c>
      <c r="CC209" s="1" t="s">
        <v>105</v>
      </c>
      <c r="CD209" s="1" t="s">
        <v>105</v>
      </c>
      <c r="CE209" s="4"/>
      <c r="CF209" s="4"/>
    </row>
    <row r="210">
      <c r="A210" s="1" t="s">
        <v>82</v>
      </c>
      <c r="B210" s="1" t="s">
        <v>139</v>
      </c>
      <c r="C210" s="1">
        <v>5.0</v>
      </c>
      <c r="D210" s="5" t="s">
        <v>1024</v>
      </c>
      <c r="E210" s="1" t="s">
        <v>1025</v>
      </c>
      <c r="F210" s="1">
        <v>39.0</v>
      </c>
      <c r="G210" s="1">
        <v>0.4767</v>
      </c>
      <c r="H210" s="1" t="s">
        <v>1026</v>
      </c>
      <c r="I210" s="4" t="b">
        <f>IFERROR(__xludf.DUMMYFUNCTION("IF(H210="""",,REGEXMATCH(H210,""[א-ת]""))"),FALSE)</f>
        <v>0</v>
      </c>
      <c r="J210" s="4"/>
      <c r="K210" s="4"/>
      <c r="L210" s="1">
        <v>0.4497</v>
      </c>
      <c r="M210" s="1">
        <v>13.57</v>
      </c>
      <c r="N210" s="1">
        <v>148.72</v>
      </c>
      <c r="O210" s="1">
        <v>3.813333333</v>
      </c>
      <c r="P210" s="4"/>
      <c r="Q210" s="4"/>
      <c r="R210" s="1" t="s">
        <v>96</v>
      </c>
      <c r="S210" s="1" t="s">
        <v>1025</v>
      </c>
      <c r="T210" s="1" t="s">
        <v>139</v>
      </c>
      <c r="U210" s="1">
        <v>6.0</v>
      </c>
      <c r="V210" s="5" t="s">
        <v>1024</v>
      </c>
      <c r="W210" s="1" t="s">
        <v>1025</v>
      </c>
      <c r="X210" s="1" t="s">
        <v>1027</v>
      </c>
      <c r="Y210" s="1" t="s">
        <v>1028</v>
      </c>
      <c r="Z210" s="4"/>
      <c r="AA210" s="4" t="b">
        <f>IFERROR(__xludf.DUMMYFUNCTION("IF(X210="""",,REGEXMATCH(X210,""[א-ת]""))"),TRUE)</f>
        <v>1</v>
      </c>
      <c r="AB210" s="1">
        <v>2.6</v>
      </c>
      <c r="AC210" s="1">
        <v>105.13</v>
      </c>
      <c r="AD210" s="1">
        <v>0.132694303063567</v>
      </c>
      <c r="AE210" s="1">
        <v>0.3182</v>
      </c>
      <c r="AF210" s="1">
        <v>0.4767</v>
      </c>
      <c r="AG210" s="1">
        <v>6.337</v>
      </c>
      <c r="AH210" s="1">
        <v>6.781</v>
      </c>
      <c r="AI210" s="1" t="b">
        <v>0</v>
      </c>
      <c r="AJ210" s="1" t="b">
        <v>1</v>
      </c>
      <c r="AK210" s="1">
        <v>94.182</v>
      </c>
      <c r="AL210" s="1">
        <v>96.508</v>
      </c>
      <c r="AM210" s="1" t="b">
        <v>1</v>
      </c>
      <c r="AN210" s="1" t="b">
        <v>1</v>
      </c>
      <c r="AO210" s="1">
        <v>8.05</v>
      </c>
      <c r="AP210" s="1">
        <v>8.53399999999999</v>
      </c>
      <c r="AQ210" s="1" t="b">
        <v>0</v>
      </c>
      <c r="AR210" s="1" t="b">
        <v>1</v>
      </c>
      <c r="AS210" s="1">
        <v>86.9179999999999</v>
      </c>
      <c r="AT210" s="1">
        <v>87.152</v>
      </c>
      <c r="AU210" s="1" t="b">
        <v>1</v>
      </c>
      <c r="AV210" s="1" t="b">
        <v>1</v>
      </c>
      <c r="AW210" s="1">
        <v>9.61399999999999</v>
      </c>
      <c r="AX210" s="1">
        <v>11.026</v>
      </c>
      <c r="AY210" s="1" t="b">
        <v>0</v>
      </c>
      <c r="AZ210" s="1" t="b">
        <v>1</v>
      </c>
      <c r="BA210" s="1">
        <v>81.25</v>
      </c>
      <c r="BB210" s="1">
        <v>77.78</v>
      </c>
      <c r="BC210" s="1" t="b">
        <v>1</v>
      </c>
      <c r="BD210" s="1" t="b">
        <v>1</v>
      </c>
      <c r="BE210" s="1">
        <v>11.34</v>
      </c>
      <c r="BF210" s="1">
        <v>13.285</v>
      </c>
      <c r="BG210" s="1" t="b">
        <v>0</v>
      </c>
      <c r="BH210" s="1" t="b">
        <v>1</v>
      </c>
      <c r="BI210" s="1">
        <v>77.78</v>
      </c>
      <c r="BJ210" s="1">
        <v>75.0</v>
      </c>
      <c r="BK210" s="1" t="b">
        <v>1</v>
      </c>
      <c r="BL210" s="1" t="b">
        <v>1</v>
      </c>
      <c r="BM210" s="1">
        <v>13.121</v>
      </c>
      <c r="BN210" s="1">
        <v>14.568</v>
      </c>
      <c r="BO210" s="1" t="b">
        <v>0</v>
      </c>
      <c r="BP210" s="1" t="b">
        <v>1</v>
      </c>
      <c r="BQ210" s="1">
        <v>75.0</v>
      </c>
      <c r="BR210" s="1">
        <v>72.027</v>
      </c>
      <c r="BS210" s="1" t="b">
        <v>1</v>
      </c>
      <c r="BT210" s="1" t="b">
        <v>1</v>
      </c>
      <c r="BU210" s="1" t="s">
        <v>157</v>
      </c>
      <c r="BV210" s="1" t="s">
        <v>104</v>
      </c>
      <c r="BW210" s="1" t="s">
        <v>157</v>
      </c>
      <c r="BX210" s="1" t="s">
        <v>104</v>
      </c>
      <c r="BY210" s="1" t="s">
        <v>157</v>
      </c>
      <c r="BZ210" s="1" t="s">
        <v>104</v>
      </c>
      <c r="CA210" s="1" t="s">
        <v>157</v>
      </c>
      <c r="CB210" s="1" t="s">
        <v>104</v>
      </c>
      <c r="CC210" s="1" t="s">
        <v>157</v>
      </c>
      <c r="CD210" s="1" t="s">
        <v>104</v>
      </c>
      <c r="CE210" s="4"/>
      <c r="CF210" s="4"/>
    </row>
    <row r="211" hidden="1">
      <c r="A211" s="1" t="s">
        <v>82</v>
      </c>
      <c r="B211" s="1" t="s">
        <v>111</v>
      </c>
      <c r="C211" s="1">
        <v>8.0</v>
      </c>
      <c r="D211" s="5" t="s">
        <v>1029</v>
      </c>
      <c r="E211" s="1" t="s">
        <v>1030</v>
      </c>
      <c r="F211" s="1">
        <v>48.0</v>
      </c>
      <c r="G211" s="1">
        <v>0.0323</v>
      </c>
      <c r="H211" s="1" t="s">
        <v>1031</v>
      </c>
      <c r="I211" s="4" t="b">
        <f>IFERROR(__xludf.DUMMYFUNCTION("IF(H211="""",,REGEXMATCH(H211,""[א-ת]""))"),FALSE)</f>
        <v>0</v>
      </c>
      <c r="J211" s="4"/>
      <c r="K211" s="4"/>
      <c r="L211" s="1">
        <v>-0.4449</v>
      </c>
      <c r="M211" s="1">
        <v>13.59</v>
      </c>
      <c r="N211" s="1">
        <v>81.25</v>
      </c>
      <c r="O211" s="1">
        <v>1.692708333</v>
      </c>
      <c r="P211" s="4"/>
      <c r="Q211" s="4"/>
      <c r="R211" s="1" t="s">
        <v>89</v>
      </c>
      <c r="S211" s="1" t="s">
        <v>1030</v>
      </c>
      <c r="T211" s="1" t="s">
        <v>111</v>
      </c>
      <c r="U211" s="1">
        <v>9.0</v>
      </c>
      <c r="V211" s="5" t="s">
        <v>1029</v>
      </c>
      <c r="W211" s="1" t="s">
        <v>1030</v>
      </c>
      <c r="X211" s="1" t="s">
        <v>1032</v>
      </c>
      <c r="Y211" s="4"/>
      <c r="Z211" s="4"/>
      <c r="AA211" s="4" t="b">
        <f>IFERROR(__xludf.DUMMYFUNCTION("IF(X211="""",,REGEXMATCH(X211,""[א-ת]""))"),FALSE)</f>
        <v>0</v>
      </c>
      <c r="AB211" s="1">
        <v>19.42</v>
      </c>
      <c r="AC211" s="1">
        <v>66.67</v>
      </c>
      <c r="AD211" s="1">
        <v>0.639777537948477</v>
      </c>
      <c r="AE211" s="1">
        <v>0.2399</v>
      </c>
      <c r="AF211" s="1">
        <v>0.0323</v>
      </c>
      <c r="AG211" s="1">
        <v>6.337</v>
      </c>
      <c r="AH211" s="1">
        <v>6.781</v>
      </c>
      <c r="AI211" s="1" t="b">
        <v>0</v>
      </c>
      <c r="AJ211" s="1" t="b">
        <v>0</v>
      </c>
      <c r="AK211" s="1">
        <v>94.182</v>
      </c>
      <c r="AL211" s="1">
        <v>96.508</v>
      </c>
      <c r="AM211" s="1" t="b">
        <v>0</v>
      </c>
      <c r="AN211" s="1" t="b">
        <v>0</v>
      </c>
      <c r="AO211" s="1">
        <v>8.05</v>
      </c>
      <c r="AP211" s="1">
        <v>8.53399999999999</v>
      </c>
      <c r="AQ211" s="1" t="b">
        <v>0</v>
      </c>
      <c r="AR211" s="1" t="b">
        <v>0</v>
      </c>
      <c r="AS211" s="1">
        <v>86.9179999999999</v>
      </c>
      <c r="AT211" s="1">
        <v>87.152</v>
      </c>
      <c r="AU211" s="1" t="b">
        <v>0</v>
      </c>
      <c r="AV211" s="1" t="b">
        <v>0</v>
      </c>
      <c r="AW211" s="1">
        <v>9.61399999999999</v>
      </c>
      <c r="AX211" s="1">
        <v>11.026</v>
      </c>
      <c r="AY211" s="1" t="b">
        <v>0</v>
      </c>
      <c r="AZ211" s="1" t="b">
        <v>0</v>
      </c>
      <c r="BA211" s="1">
        <v>81.25</v>
      </c>
      <c r="BB211" s="1">
        <v>77.78</v>
      </c>
      <c r="BC211" s="1" t="b">
        <v>1</v>
      </c>
      <c r="BD211" s="1" t="b">
        <v>0</v>
      </c>
      <c r="BE211" s="1">
        <v>11.34</v>
      </c>
      <c r="BF211" s="1">
        <v>13.285</v>
      </c>
      <c r="BG211" s="1" t="b">
        <v>0</v>
      </c>
      <c r="BH211" s="1" t="b">
        <v>0</v>
      </c>
      <c r="BI211" s="1">
        <v>77.78</v>
      </c>
      <c r="BJ211" s="1">
        <v>75.0</v>
      </c>
      <c r="BK211" s="1" t="b">
        <v>1</v>
      </c>
      <c r="BL211" s="1" t="b">
        <v>0</v>
      </c>
      <c r="BM211" s="1">
        <v>13.121</v>
      </c>
      <c r="BN211" s="1">
        <v>14.568</v>
      </c>
      <c r="BO211" s="1" t="b">
        <v>0</v>
      </c>
      <c r="BP211" s="1" t="b">
        <v>0</v>
      </c>
      <c r="BQ211" s="1">
        <v>75.0</v>
      </c>
      <c r="BR211" s="1">
        <v>72.027</v>
      </c>
      <c r="BS211" s="1" t="b">
        <v>1</v>
      </c>
      <c r="BT211" s="1" t="b">
        <v>0</v>
      </c>
      <c r="BU211" s="1" t="s">
        <v>105</v>
      </c>
      <c r="BV211" s="1" t="s">
        <v>105</v>
      </c>
      <c r="BW211" s="1" t="s">
        <v>105</v>
      </c>
      <c r="BX211" s="1" t="s">
        <v>105</v>
      </c>
      <c r="BY211" s="1" t="s">
        <v>105</v>
      </c>
      <c r="BZ211" s="1" t="s">
        <v>91</v>
      </c>
      <c r="CA211" s="1" t="s">
        <v>105</v>
      </c>
      <c r="CB211" s="1" t="s">
        <v>91</v>
      </c>
      <c r="CC211" s="1" t="s">
        <v>105</v>
      </c>
      <c r="CD211" s="1" t="s">
        <v>91</v>
      </c>
      <c r="CE211" s="4"/>
      <c r="CF211" s="4"/>
    </row>
    <row r="212" hidden="1">
      <c r="A212" s="1" t="s">
        <v>82</v>
      </c>
      <c r="B212" s="1" t="s">
        <v>427</v>
      </c>
      <c r="C212" s="1">
        <v>11.0</v>
      </c>
      <c r="D212" s="5" t="s">
        <v>1033</v>
      </c>
      <c r="E212" s="1" t="s">
        <v>1034</v>
      </c>
      <c r="F212" s="1">
        <v>72.0</v>
      </c>
      <c r="G212" s="1">
        <v>0.1779</v>
      </c>
      <c r="H212" s="1" t="s">
        <v>1035</v>
      </c>
      <c r="I212" s="4" t="b">
        <f>IFERROR(__xludf.DUMMYFUNCTION("IF(H212="""",,REGEXMATCH(H212,""[א-ת]""))"),FALSE)</f>
        <v>0</v>
      </c>
      <c r="J212" s="4"/>
      <c r="K212" s="4"/>
      <c r="L212" s="1">
        <v>0.0</v>
      </c>
      <c r="M212" s="1">
        <v>13.62</v>
      </c>
      <c r="N212" s="1">
        <v>70.83</v>
      </c>
      <c r="O212" s="1">
        <v>0.98375</v>
      </c>
      <c r="P212" s="4"/>
      <c r="Q212" s="4"/>
      <c r="R212" s="1" t="s">
        <v>96</v>
      </c>
      <c r="S212" s="1" t="s">
        <v>1034</v>
      </c>
      <c r="T212" s="1" t="s">
        <v>427</v>
      </c>
      <c r="U212" s="1">
        <v>12.0</v>
      </c>
      <c r="V212" s="5" t="s">
        <v>1033</v>
      </c>
      <c r="W212" s="1" t="s">
        <v>1034</v>
      </c>
      <c r="X212" s="1" t="s">
        <v>1036</v>
      </c>
      <c r="Y212" s="4"/>
      <c r="Z212" s="4"/>
      <c r="AA212" s="4" t="b">
        <f>IFERROR(__xludf.DUMMYFUNCTION("IF(X212="""",,REGEXMATCH(X212,""[א-ת]""))"),FALSE)</f>
        <v>0</v>
      </c>
      <c r="AB212" s="1">
        <v>12.88</v>
      </c>
      <c r="AC212" s="1">
        <v>70.83</v>
      </c>
      <c r="AD212" s="1">
        <v>0.478031247223892</v>
      </c>
      <c r="AE212" s="1">
        <v>0.6249</v>
      </c>
      <c r="AF212" s="1">
        <v>0.1779</v>
      </c>
      <c r="AG212" s="1">
        <v>6.337</v>
      </c>
      <c r="AH212" s="1">
        <v>6.781</v>
      </c>
      <c r="AI212" s="1" t="b">
        <v>0</v>
      </c>
      <c r="AJ212" s="1" t="b">
        <v>0</v>
      </c>
      <c r="AK212" s="1">
        <v>94.182</v>
      </c>
      <c r="AL212" s="1">
        <v>96.508</v>
      </c>
      <c r="AM212" s="1" t="b">
        <v>0</v>
      </c>
      <c r="AN212" s="1" t="b">
        <v>0</v>
      </c>
      <c r="AO212" s="1">
        <v>8.05</v>
      </c>
      <c r="AP212" s="1">
        <v>8.53399999999999</v>
      </c>
      <c r="AQ212" s="1" t="b">
        <v>0</v>
      </c>
      <c r="AR212" s="1" t="b">
        <v>0</v>
      </c>
      <c r="AS212" s="1">
        <v>86.9179999999999</v>
      </c>
      <c r="AT212" s="1">
        <v>87.152</v>
      </c>
      <c r="AU212" s="1" t="b">
        <v>0</v>
      </c>
      <c r="AV212" s="1" t="b">
        <v>0</v>
      </c>
      <c r="AW212" s="1">
        <v>9.61399999999999</v>
      </c>
      <c r="AX212" s="1">
        <v>11.026</v>
      </c>
      <c r="AY212" s="1" t="b">
        <v>0</v>
      </c>
      <c r="AZ212" s="1" t="b">
        <v>0</v>
      </c>
      <c r="BA212" s="1">
        <v>81.25</v>
      </c>
      <c r="BB212" s="1">
        <v>77.78</v>
      </c>
      <c r="BC212" s="1" t="b">
        <v>0</v>
      </c>
      <c r="BD212" s="1" t="b">
        <v>0</v>
      </c>
      <c r="BE212" s="1">
        <v>11.34</v>
      </c>
      <c r="BF212" s="1">
        <v>13.285</v>
      </c>
      <c r="BG212" s="1" t="b">
        <v>0</v>
      </c>
      <c r="BH212" s="1" t="b">
        <v>1</v>
      </c>
      <c r="BI212" s="1">
        <v>77.78</v>
      </c>
      <c r="BJ212" s="1">
        <v>75.0</v>
      </c>
      <c r="BK212" s="1" t="b">
        <v>0</v>
      </c>
      <c r="BL212" s="1" t="b">
        <v>0</v>
      </c>
      <c r="BM212" s="1">
        <v>13.121</v>
      </c>
      <c r="BN212" s="1">
        <v>14.568</v>
      </c>
      <c r="BO212" s="1" t="b">
        <v>0</v>
      </c>
      <c r="BP212" s="1" t="b">
        <v>1</v>
      </c>
      <c r="BQ212" s="1">
        <v>75.0</v>
      </c>
      <c r="BR212" s="1">
        <v>72.027</v>
      </c>
      <c r="BS212" s="1" t="b">
        <v>0</v>
      </c>
      <c r="BT212" s="1" t="b">
        <v>0</v>
      </c>
      <c r="BU212" s="1" t="s">
        <v>105</v>
      </c>
      <c r="BV212" s="1" t="s">
        <v>105</v>
      </c>
      <c r="BW212" s="1" t="s">
        <v>105</v>
      </c>
      <c r="BX212" s="1" t="s">
        <v>105</v>
      </c>
      <c r="BY212" s="1" t="s">
        <v>105</v>
      </c>
      <c r="BZ212" s="1" t="s">
        <v>105</v>
      </c>
      <c r="CA212" s="1" t="s">
        <v>157</v>
      </c>
      <c r="CB212" s="1" t="s">
        <v>105</v>
      </c>
      <c r="CC212" s="1" t="s">
        <v>157</v>
      </c>
      <c r="CD212" s="1" t="s">
        <v>105</v>
      </c>
      <c r="CE212" s="4"/>
      <c r="CF212" s="4"/>
    </row>
    <row r="213" hidden="1">
      <c r="A213" s="1" t="s">
        <v>82</v>
      </c>
      <c r="B213" s="1" t="s">
        <v>111</v>
      </c>
      <c r="C213" s="1">
        <v>60.0</v>
      </c>
      <c r="D213" s="5" t="s">
        <v>1037</v>
      </c>
      <c r="E213" s="1" t="s">
        <v>1038</v>
      </c>
      <c r="F213" s="1">
        <v>30.0</v>
      </c>
      <c r="G213" s="1">
        <v>0.0</v>
      </c>
      <c r="H213" s="1" t="s">
        <v>1039</v>
      </c>
      <c r="I213" s="4" t="b">
        <f>IFERROR(__xludf.DUMMYFUNCTION("IF(H213="""",,REGEXMATCH(H213,""[א-ת]""))"),FALSE)</f>
        <v>0</v>
      </c>
      <c r="J213" s="4"/>
      <c r="K213" s="4"/>
      <c r="L213" s="1">
        <v>0.0</v>
      </c>
      <c r="M213" s="1">
        <v>13.63</v>
      </c>
      <c r="N213" s="1">
        <v>66.67</v>
      </c>
      <c r="O213" s="1">
        <v>2.222333333</v>
      </c>
      <c r="P213" s="4"/>
      <c r="Q213" s="4"/>
      <c r="R213" s="1" t="s">
        <v>89</v>
      </c>
      <c r="S213" s="1" t="s">
        <v>1038</v>
      </c>
      <c r="T213" s="1" t="s">
        <v>111</v>
      </c>
      <c r="U213" s="1">
        <v>61.0</v>
      </c>
      <c r="V213" s="5" t="s">
        <v>1037</v>
      </c>
      <c r="W213" s="1" t="s">
        <v>1038</v>
      </c>
      <c r="X213" s="1" t="s">
        <v>1040</v>
      </c>
      <c r="Y213" s="4"/>
      <c r="Z213" s="4"/>
      <c r="AA213" s="4" t="b">
        <f>IFERROR(__xludf.DUMMYFUNCTION("IF(X213="""",,REGEXMATCH(X213,""[א-ת]""))"),FALSE)</f>
        <v>0</v>
      </c>
      <c r="AB213" s="1">
        <v>30.53</v>
      </c>
      <c r="AC213" s="1">
        <v>50.0</v>
      </c>
      <c r="AD213" s="1">
        <v>0.473707671293547</v>
      </c>
      <c r="AE213" s="1">
        <v>0.0</v>
      </c>
      <c r="AF213" s="1">
        <v>0.0</v>
      </c>
      <c r="AG213" s="1">
        <v>6.337</v>
      </c>
      <c r="AH213" s="1">
        <v>6.781</v>
      </c>
      <c r="AI213" s="1" t="b">
        <v>0</v>
      </c>
      <c r="AJ213" s="1" t="b">
        <v>0</v>
      </c>
      <c r="AK213" s="1">
        <v>94.182</v>
      </c>
      <c r="AL213" s="1">
        <v>96.508</v>
      </c>
      <c r="AM213" s="1" t="b">
        <v>0</v>
      </c>
      <c r="AN213" s="1" t="b">
        <v>0</v>
      </c>
      <c r="AO213" s="1">
        <v>8.05</v>
      </c>
      <c r="AP213" s="1">
        <v>8.53399999999999</v>
      </c>
      <c r="AQ213" s="1" t="b">
        <v>0</v>
      </c>
      <c r="AR213" s="1" t="b">
        <v>0</v>
      </c>
      <c r="AS213" s="1">
        <v>86.9179999999999</v>
      </c>
      <c r="AT213" s="1">
        <v>87.152</v>
      </c>
      <c r="AU213" s="1" t="b">
        <v>0</v>
      </c>
      <c r="AV213" s="1" t="b">
        <v>0</v>
      </c>
      <c r="AW213" s="1">
        <v>9.61399999999999</v>
      </c>
      <c r="AX213" s="1">
        <v>11.026</v>
      </c>
      <c r="AY213" s="1" t="b">
        <v>0</v>
      </c>
      <c r="AZ213" s="1" t="b">
        <v>0</v>
      </c>
      <c r="BA213" s="1">
        <v>81.25</v>
      </c>
      <c r="BB213" s="1">
        <v>77.78</v>
      </c>
      <c r="BC213" s="1" t="b">
        <v>0</v>
      </c>
      <c r="BD213" s="1" t="b">
        <v>0</v>
      </c>
      <c r="BE213" s="1">
        <v>11.34</v>
      </c>
      <c r="BF213" s="1">
        <v>13.285</v>
      </c>
      <c r="BG213" s="1" t="b">
        <v>0</v>
      </c>
      <c r="BH213" s="1" t="b">
        <v>0</v>
      </c>
      <c r="BI213" s="1">
        <v>77.78</v>
      </c>
      <c r="BJ213" s="1">
        <v>75.0</v>
      </c>
      <c r="BK213" s="1" t="b">
        <v>0</v>
      </c>
      <c r="BL213" s="1" t="b">
        <v>0</v>
      </c>
      <c r="BM213" s="1">
        <v>13.121</v>
      </c>
      <c r="BN213" s="1">
        <v>14.568</v>
      </c>
      <c r="BO213" s="1" t="b">
        <v>0</v>
      </c>
      <c r="BP213" s="1" t="b">
        <v>0</v>
      </c>
      <c r="BQ213" s="1">
        <v>75.0</v>
      </c>
      <c r="BR213" s="1">
        <v>72.027</v>
      </c>
      <c r="BS213" s="1" t="b">
        <v>0</v>
      </c>
      <c r="BT213" s="1" t="b">
        <v>0</v>
      </c>
      <c r="BU213" s="1" t="s">
        <v>105</v>
      </c>
      <c r="BV213" s="1" t="s">
        <v>105</v>
      </c>
      <c r="BW213" s="1" t="s">
        <v>105</v>
      </c>
      <c r="BX213" s="1" t="s">
        <v>105</v>
      </c>
      <c r="BY213" s="1" t="s">
        <v>105</v>
      </c>
      <c r="BZ213" s="1" t="s">
        <v>105</v>
      </c>
      <c r="CA213" s="1" t="s">
        <v>105</v>
      </c>
      <c r="CB213" s="1" t="s">
        <v>105</v>
      </c>
      <c r="CC213" s="1" t="s">
        <v>105</v>
      </c>
      <c r="CD213" s="1" t="s">
        <v>105</v>
      </c>
      <c r="CE213" s="4"/>
      <c r="CF213" s="4"/>
    </row>
    <row r="214" hidden="1">
      <c r="A214" s="1" t="s">
        <v>82</v>
      </c>
      <c r="B214" s="1" t="s">
        <v>123</v>
      </c>
      <c r="C214" s="1">
        <v>9.0</v>
      </c>
      <c r="D214" s="5" t="s">
        <v>1041</v>
      </c>
      <c r="E214" s="1" t="s">
        <v>1042</v>
      </c>
      <c r="F214" s="1">
        <v>29.0</v>
      </c>
      <c r="G214" s="1">
        <v>-0.4939</v>
      </c>
      <c r="H214" s="1" t="s">
        <v>1043</v>
      </c>
      <c r="I214" s="4" t="b">
        <f>IFERROR(__xludf.DUMMYFUNCTION("IF(H214="""",,REGEXMATCH(H214,""[א-ת]""))"),FALSE)</f>
        <v>0</v>
      </c>
      <c r="J214" s="4"/>
      <c r="K214" s="4"/>
      <c r="L214" s="1">
        <v>-0.3506</v>
      </c>
      <c r="M214" s="1">
        <v>13.81</v>
      </c>
      <c r="N214" s="1">
        <v>79.31</v>
      </c>
      <c r="O214" s="1">
        <v>2.734827586</v>
      </c>
      <c r="P214" s="4"/>
      <c r="Q214" s="4"/>
      <c r="R214" s="1" t="s">
        <v>127</v>
      </c>
      <c r="S214" s="1" t="s">
        <v>1042</v>
      </c>
      <c r="T214" s="1" t="s">
        <v>123</v>
      </c>
      <c r="U214" s="1">
        <v>10.0</v>
      </c>
      <c r="V214" s="5" t="s">
        <v>1041</v>
      </c>
      <c r="W214" s="1" t="s">
        <v>1042</v>
      </c>
      <c r="X214" s="1" t="s">
        <v>1044</v>
      </c>
      <c r="Y214" s="4"/>
      <c r="Z214" s="4"/>
      <c r="AA214" s="4" t="b">
        <f>IFERROR(__xludf.DUMMYFUNCTION("IF(X214="""",,REGEXMATCH(X214,""[א-ת]""))"),FALSE)</f>
        <v>0</v>
      </c>
      <c r="AB214" s="1">
        <v>36.22</v>
      </c>
      <c r="AC214" s="1">
        <v>65.52</v>
      </c>
      <c r="AD214" s="1">
        <v>0.562649536605908</v>
      </c>
      <c r="AE214" s="1">
        <v>-0.0793</v>
      </c>
      <c r="AF214" s="1">
        <v>-0.4939</v>
      </c>
      <c r="AG214" s="1">
        <v>6.337</v>
      </c>
      <c r="AH214" s="1">
        <v>6.781</v>
      </c>
      <c r="AI214" s="1" t="b">
        <v>0</v>
      </c>
      <c r="AJ214" s="1" t="b">
        <v>0</v>
      </c>
      <c r="AK214" s="1">
        <v>94.182</v>
      </c>
      <c r="AL214" s="1">
        <v>96.508</v>
      </c>
      <c r="AM214" s="1" t="b">
        <v>0</v>
      </c>
      <c r="AN214" s="1" t="b">
        <v>0</v>
      </c>
      <c r="AO214" s="1">
        <v>8.05</v>
      </c>
      <c r="AP214" s="1">
        <v>8.53399999999999</v>
      </c>
      <c r="AQ214" s="1" t="b">
        <v>0</v>
      </c>
      <c r="AR214" s="1" t="b">
        <v>0</v>
      </c>
      <c r="AS214" s="1">
        <v>86.9179999999999</v>
      </c>
      <c r="AT214" s="1">
        <v>87.152</v>
      </c>
      <c r="AU214" s="1" t="b">
        <v>0</v>
      </c>
      <c r="AV214" s="1" t="b">
        <v>0</v>
      </c>
      <c r="AW214" s="1">
        <v>9.61399999999999</v>
      </c>
      <c r="AX214" s="1">
        <v>11.026</v>
      </c>
      <c r="AY214" s="1" t="b">
        <v>0</v>
      </c>
      <c r="AZ214" s="1" t="b">
        <v>0</v>
      </c>
      <c r="BA214" s="1">
        <v>81.25</v>
      </c>
      <c r="BB214" s="1">
        <v>77.78</v>
      </c>
      <c r="BC214" s="1" t="b">
        <v>0</v>
      </c>
      <c r="BD214" s="1" t="b">
        <v>0</v>
      </c>
      <c r="BE214" s="1">
        <v>11.34</v>
      </c>
      <c r="BF214" s="1">
        <v>13.285</v>
      </c>
      <c r="BG214" s="1" t="b">
        <v>0</v>
      </c>
      <c r="BH214" s="1" t="b">
        <v>0</v>
      </c>
      <c r="BI214" s="1">
        <v>77.78</v>
      </c>
      <c r="BJ214" s="1">
        <v>75.0</v>
      </c>
      <c r="BK214" s="1" t="b">
        <v>1</v>
      </c>
      <c r="BL214" s="1" t="b">
        <v>0</v>
      </c>
      <c r="BM214" s="1">
        <v>13.121</v>
      </c>
      <c r="BN214" s="1">
        <v>14.568</v>
      </c>
      <c r="BO214" s="1" t="b">
        <v>0</v>
      </c>
      <c r="BP214" s="1" t="b">
        <v>0</v>
      </c>
      <c r="BQ214" s="1">
        <v>75.0</v>
      </c>
      <c r="BR214" s="1">
        <v>72.027</v>
      </c>
      <c r="BS214" s="1" t="b">
        <v>1</v>
      </c>
      <c r="BT214" s="1" t="b">
        <v>0</v>
      </c>
      <c r="BU214" s="1" t="s">
        <v>105</v>
      </c>
      <c r="BV214" s="1" t="s">
        <v>105</v>
      </c>
      <c r="BW214" s="1" t="s">
        <v>105</v>
      </c>
      <c r="BX214" s="1" t="s">
        <v>105</v>
      </c>
      <c r="BY214" s="1" t="s">
        <v>105</v>
      </c>
      <c r="BZ214" s="1" t="s">
        <v>105</v>
      </c>
      <c r="CA214" s="1" t="s">
        <v>105</v>
      </c>
      <c r="CB214" s="1" t="s">
        <v>91</v>
      </c>
      <c r="CC214" s="1" t="s">
        <v>105</v>
      </c>
      <c r="CD214" s="1" t="s">
        <v>91</v>
      </c>
      <c r="CE214" s="4"/>
      <c r="CF214" s="4"/>
    </row>
    <row r="215" hidden="1">
      <c r="A215" s="1" t="s">
        <v>82</v>
      </c>
      <c r="B215" s="1" t="s">
        <v>262</v>
      </c>
      <c r="C215" s="1">
        <v>2.0</v>
      </c>
      <c r="D215" s="5" t="s">
        <v>1045</v>
      </c>
      <c r="E215" s="1" t="s">
        <v>1046</v>
      </c>
      <c r="F215" s="1">
        <v>30.0</v>
      </c>
      <c r="G215" s="1">
        <v>-0.5994</v>
      </c>
      <c r="H215" s="1" t="s">
        <v>1047</v>
      </c>
      <c r="I215" s="4" t="b">
        <f>IFERROR(__xludf.DUMMYFUNCTION("IF(H215="""",,REGEXMATCH(H215,""[א-ת]""))"),FALSE)</f>
        <v>0</v>
      </c>
      <c r="J215" s="4"/>
      <c r="K215" s="4"/>
      <c r="L215" s="1">
        <v>-0.7469</v>
      </c>
      <c r="M215" s="1">
        <v>13.83</v>
      </c>
      <c r="N215" s="1">
        <v>63.33</v>
      </c>
      <c r="O215" s="1">
        <v>2.111</v>
      </c>
      <c r="P215" s="4"/>
      <c r="Q215" s="4"/>
      <c r="R215" s="1" t="s">
        <v>96</v>
      </c>
      <c r="S215" s="1" t="s">
        <v>1046</v>
      </c>
      <c r="T215" s="1" t="s">
        <v>262</v>
      </c>
      <c r="U215" s="1">
        <v>3.0</v>
      </c>
      <c r="V215" s="5" t="s">
        <v>1045</v>
      </c>
      <c r="W215" s="1" t="s">
        <v>1046</v>
      </c>
      <c r="X215" s="1" t="s">
        <v>1048</v>
      </c>
      <c r="Y215" s="4"/>
      <c r="Z215" s="4"/>
      <c r="AA215" s="4" t="b">
        <f>IFERROR(__xludf.DUMMYFUNCTION("IF(X215="""",,REGEXMATCH(X215,""[א-ת]""))"),FALSE)</f>
        <v>0</v>
      </c>
      <c r="AB215" s="1">
        <v>10.08</v>
      </c>
      <c r="AC215" s="1">
        <v>120.0</v>
      </c>
      <c r="AD215" s="1">
        <v>0.413856553678612</v>
      </c>
      <c r="AE215" s="1">
        <v>-0.5994</v>
      </c>
      <c r="AF215" s="1">
        <v>-0.5994</v>
      </c>
      <c r="AG215" s="1">
        <v>6.337</v>
      </c>
      <c r="AH215" s="1">
        <v>6.781</v>
      </c>
      <c r="AI215" s="1" t="b">
        <v>0</v>
      </c>
      <c r="AJ215" s="1" t="b">
        <v>0</v>
      </c>
      <c r="AK215" s="1">
        <v>94.182</v>
      </c>
      <c r="AL215" s="1">
        <v>96.508</v>
      </c>
      <c r="AM215" s="1" t="b">
        <v>0</v>
      </c>
      <c r="AN215" s="1" t="b">
        <v>1</v>
      </c>
      <c r="AO215" s="1">
        <v>8.05</v>
      </c>
      <c r="AP215" s="1">
        <v>8.53399999999999</v>
      </c>
      <c r="AQ215" s="1" t="b">
        <v>0</v>
      </c>
      <c r="AR215" s="1" t="b">
        <v>0</v>
      </c>
      <c r="AS215" s="1">
        <v>86.9179999999999</v>
      </c>
      <c r="AT215" s="1">
        <v>87.152</v>
      </c>
      <c r="AU215" s="1" t="b">
        <v>0</v>
      </c>
      <c r="AV215" s="1" t="b">
        <v>1</v>
      </c>
      <c r="AW215" s="1">
        <v>9.61399999999999</v>
      </c>
      <c r="AX215" s="1">
        <v>11.026</v>
      </c>
      <c r="AY215" s="1" t="b">
        <v>0</v>
      </c>
      <c r="AZ215" s="1" t="b">
        <v>1</v>
      </c>
      <c r="BA215" s="1">
        <v>81.25</v>
      </c>
      <c r="BB215" s="1">
        <v>77.78</v>
      </c>
      <c r="BC215" s="1" t="b">
        <v>0</v>
      </c>
      <c r="BD215" s="1" t="b">
        <v>1</v>
      </c>
      <c r="BE215" s="1">
        <v>11.34</v>
      </c>
      <c r="BF215" s="1">
        <v>13.285</v>
      </c>
      <c r="BG215" s="1" t="b">
        <v>0</v>
      </c>
      <c r="BH215" s="1" t="b">
        <v>1</v>
      </c>
      <c r="BI215" s="1">
        <v>77.78</v>
      </c>
      <c r="BJ215" s="1">
        <v>75.0</v>
      </c>
      <c r="BK215" s="1" t="b">
        <v>0</v>
      </c>
      <c r="BL215" s="1" t="b">
        <v>1</v>
      </c>
      <c r="BM215" s="1">
        <v>13.121</v>
      </c>
      <c r="BN215" s="1">
        <v>14.568</v>
      </c>
      <c r="BO215" s="1" t="b">
        <v>0</v>
      </c>
      <c r="BP215" s="1" t="b">
        <v>1</v>
      </c>
      <c r="BQ215" s="1">
        <v>75.0</v>
      </c>
      <c r="BR215" s="1">
        <v>72.027</v>
      </c>
      <c r="BS215" s="1" t="b">
        <v>0</v>
      </c>
      <c r="BT215" s="1" t="b">
        <v>1</v>
      </c>
      <c r="BU215" s="1" t="s">
        <v>105</v>
      </c>
      <c r="BV215" s="1" t="s">
        <v>157</v>
      </c>
      <c r="BW215" s="1" t="s">
        <v>105</v>
      </c>
      <c r="BX215" s="1" t="s">
        <v>157</v>
      </c>
      <c r="BY215" s="1" t="s">
        <v>157</v>
      </c>
      <c r="BZ215" s="1" t="s">
        <v>157</v>
      </c>
      <c r="CA215" s="1" t="s">
        <v>157</v>
      </c>
      <c r="CB215" s="1" t="s">
        <v>157</v>
      </c>
      <c r="CC215" s="1" t="s">
        <v>157</v>
      </c>
      <c r="CD215" s="1" t="s">
        <v>157</v>
      </c>
      <c r="CE215" s="4"/>
      <c r="CF215" s="4"/>
    </row>
    <row r="216" hidden="1">
      <c r="A216" s="1" t="s">
        <v>82</v>
      </c>
      <c r="B216" s="1" t="s">
        <v>251</v>
      </c>
      <c r="C216" s="1">
        <v>15.0</v>
      </c>
      <c r="D216" s="5" t="s">
        <v>1049</v>
      </c>
      <c r="E216" s="1" t="s">
        <v>1050</v>
      </c>
      <c r="F216" s="1">
        <v>17.0</v>
      </c>
      <c r="G216" s="1">
        <v>0.0</v>
      </c>
      <c r="H216" s="1" t="s">
        <v>1051</v>
      </c>
      <c r="I216" s="4" t="b">
        <f>IFERROR(__xludf.DUMMYFUNCTION("IF(H216="""",,REGEXMATCH(H216,""[א-ת]""))"),FALSE)</f>
        <v>0</v>
      </c>
      <c r="J216" s="4"/>
      <c r="K216" s="4"/>
      <c r="L216" s="1">
        <v>-0.6114</v>
      </c>
      <c r="M216" s="1">
        <v>13.95</v>
      </c>
      <c r="N216" s="1">
        <v>100.0</v>
      </c>
      <c r="O216" s="1">
        <v>5.882352941</v>
      </c>
      <c r="P216" s="4"/>
      <c r="Q216" s="4"/>
      <c r="R216" s="1" t="s">
        <v>89</v>
      </c>
      <c r="S216" s="1" t="s">
        <v>1050</v>
      </c>
      <c r="T216" s="1" t="s">
        <v>251</v>
      </c>
      <c r="U216" s="1">
        <v>16.0</v>
      </c>
      <c r="V216" s="5" t="s">
        <v>1049</v>
      </c>
      <c r="W216" s="1" t="s">
        <v>1050</v>
      </c>
      <c r="X216" s="1" t="s">
        <v>1052</v>
      </c>
      <c r="Y216" s="4"/>
      <c r="Z216" s="4"/>
      <c r="AA216" s="4" t="b">
        <f>IFERROR(__xludf.DUMMYFUNCTION("IF(X216="""",,REGEXMATCH(X216,""[א-ת]""))"),FALSE)</f>
        <v>0</v>
      </c>
      <c r="AB216" s="1">
        <v>8.36</v>
      </c>
      <c r="AC216" s="1">
        <v>105.88</v>
      </c>
      <c r="AD216" s="1">
        <v>0.423312098359078</v>
      </c>
      <c r="AE216" s="1">
        <v>0.0</v>
      </c>
      <c r="AF216" s="1">
        <v>0.0</v>
      </c>
      <c r="AG216" s="1">
        <v>6.337</v>
      </c>
      <c r="AH216" s="1">
        <v>6.781</v>
      </c>
      <c r="AI216" s="1" t="b">
        <v>0</v>
      </c>
      <c r="AJ216" s="1" t="b">
        <v>0</v>
      </c>
      <c r="AK216" s="1">
        <v>94.182</v>
      </c>
      <c r="AL216" s="1">
        <v>96.508</v>
      </c>
      <c r="AM216" s="1" t="b">
        <v>1</v>
      </c>
      <c r="AN216" s="1" t="b">
        <v>1</v>
      </c>
      <c r="AO216" s="1">
        <v>8.05</v>
      </c>
      <c r="AP216" s="1">
        <v>8.53399999999999</v>
      </c>
      <c r="AQ216" s="1" t="b">
        <v>0</v>
      </c>
      <c r="AR216" s="1" t="b">
        <v>1</v>
      </c>
      <c r="AS216" s="1">
        <v>86.9179999999999</v>
      </c>
      <c r="AT216" s="1">
        <v>87.152</v>
      </c>
      <c r="AU216" s="1" t="b">
        <v>1</v>
      </c>
      <c r="AV216" s="1" t="b">
        <v>1</v>
      </c>
      <c r="AW216" s="1">
        <v>9.61399999999999</v>
      </c>
      <c r="AX216" s="1">
        <v>11.026</v>
      </c>
      <c r="AY216" s="1" t="b">
        <v>0</v>
      </c>
      <c r="AZ216" s="1" t="b">
        <v>1</v>
      </c>
      <c r="BA216" s="1">
        <v>81.25</v>
      </c>
      <c r="BB216" s="1">
        <v>77.78</v>
      </c>
      <c r="BC216" s="1" t="b">
        <v>1</v>
      </c>
      <c r="BD216" s="1" t="b">
        <v>1</v>
      </c>
      <c r="BE216" s="1">
        <v>11.34</v>
      </c>
      <c r="BF216" s="1">
        <v>13.285</v>
      </c>
      <c r="BG216" s="1" t="b">
        <v>0</v>
      </c>
      <c r="BH216" s="1" t="b">
        <v>1</v>
      </c>
      <c r="BI216" s="1">
        <v>77.78</v>
      </c>
      <c r="BJ216" s="1">
        <v>75.0</v>
      </c>
      <c r="BK216" s="1" t="b">
        <v>1</v>
      </c>
      <c r="BL216" s="1" t="b">
        <v>1</v>
      </c>
      <c r="BM216" s="1">
        <v>13.121</v>
      </c>
      <c r="BN216" s="1">
        <v>14.568</v>
      </c>
      <c r="BO216" s="1" t="b">
        <v>0</v>
      </c>
      <c r="BP216" s="1" t="b">
        <v>1</v>
      </c>
      <c r="BQ216" s="1">
        <v>75.0</v>
      </c>
      <c r="BR216" s="1">
        <v>72.027</v>
      </c>
      <c r="BS216" s="1" t="b">
        <v>1</v>
      </c>
      <c r="BT216" s="1" t="b">
        <v>1</v>
      </c>
      <c r="BU216" s="1" t="s">
        <v>105</v>
      </c>
      <c r="BV216" s="1" t="s">
        <v>104</v>
      </c>
      <c r="BW216" s="1" t="s">
        <v>157</v>
      </c>
      <c r="BX216" s="1" t="s">
        <v>104</v>
      </c>
      <c r="BY216" s="1" t="s">
        <v>157</v>
      </c>
      <c r="BZ216" s="1" t="s">
        <v>104</v>
      </c>
      <c r="CA216" s="1" t="s">
        <v>157</v>
      </c>
      <c r="CB216" s="1" t="s">
        <v>104</v>
      </c>
      <c r="CC216" s="1" t="s">
        <v>157</v>
      </c>
      <c r="CD216" s="1" t="s">
        <v>104</v>
      </c>
      <c r="CE216" s="4"/>
      <c r="CF216" s="4"/>
    </row>
    <row r="217">
      <c r="A217" s="1" t="s">
        <v>82</v>
      </c>
      <c r="B217" s="1" t="s">
        <v>524</v>
      </c>
      <c r="C217" s="1">
        <v>6.0</v>
      </c>
      <c r="D217" s="5" t="s">
        <v>1053</v>
      </c>
      <c r="E217" s="1" t="s">
        <v>1054</v>
      </c>
      <c r="F217" s="1">
        <v>38.0</v>
      </c>
      <c r="G217" s="1">
        <v>0.0</v>
      </c>
      <c r="H217" s="1" t="s">
        <v>1055</v>
      </c>
      <c r="I217" s="4" t="b">
        <f>IFERROR(__xludf.DUMMYFUNCTION("IF(H217="""",,REGEXMATCH(H217,""[א-ת]""))"),FALSE)</f>
        <v>0</v>
      </c>
      <c r="J217" s="4"/>
      <c r="K217" s="4"/>
      <c r="L217" s="1">
        <v>0.0</v>
      </c>
      <c r="M217" s="1">
        <v>13.95</v>
      </c>
      <c r="N217" s="1">
        <v>60.53</v>
      </c>
      <c r="O217" s="1">
        <v>1.592894737</v>
      </c>
      <c r="P217" s="4"/>
      <c r="Q217" s="4"/>
      <c r="R217" s="1" t="s">
        <v>89</v>
      </c>
      <c r="S217" s="1" t="s">
        <v>1054</v>
      </c>
      <c r="T217" s="1" t="s">
        <v>524</v>
      </c>
      <c r="U217" s="1">
        <v>7.0</v>
      </c>
      <c r="V217" s="5" t="s">
        <v>1053</v>
      </c>
      <c r="W217" s="1" t="s">
        <v>1054</v>
      </c>
      <c r="X217" s="1" t="s">
        <v>1056</v>
      </c>
      <c r="Y217" s="1" t="s">
        <v>1057</v>
      </c>
      <c r="Z217" s="4"/>
      <c r="AA217" s="4" t="b">
        <f>IFERROR(__xludf.DUMMYFUNCTION("IF(X217="""",,REGEXMATCH(X217,""[א-ת]""))"),FALSE)</f>
        <v>0</v>
      </c>
      <c r="AB217" s="1">
        <v>5.74</v>
      </c>
      <c r="AC217" s="1">
        <v>92.11</v>
      </c>
      <c r="AD217" s="1">
        <v>0.443169703563714</v>
      </c>
      <c r="AE217" s="1">
        <v>0.0</v>
      </c>
      <c r="AF217" s="1">
        <v>0.0</v>
      </c>
      <c r="AG217" s="1">
        <v>6.337</v>
      </c>
      <c r="AH217" s="1">
        <v>6.781</v>
      </c>
      <c r="AI217" s="1" t="b">
        <v>0</v>
      </c>
      <c r="AJ217" s="1" t="b">
        <v>1</v>
      </c>
      <c r="AK217" s="1">
        <v>94.182</v>
      </c>
      <c r="AL217" s="1">
        <v>96.508</v>
      </c>
      <c r="AM217" s="1" t="b">
        <v>0</v>
      </c>
      <c r="AN217" s="1" t="b">
        <v>0</v>
      </c>
      <c r="AO217" s="1">
        <v>8.05</v>
      </c>
      <c r="AP217" s="1">
        <v>8.53399999999999</v>
      </c>
      <c r="AQ217" s="1" t="b">
        <v>0</v>
      </c>
      <c r="AR217" s="1" t="b">
        <v>1</v>
      </c>
      <c r="AS217" s="1">
        <v>86.9179999999999</v>
      </c>
      <c r="AT217" s="1">
        <v>87.152</v>
      </c>
      <c r="AU217" s="1" t="b">
        <v>0</v>
      </c>
      <c r="AV217" s="1" t="b">
        <v>1</v>
      </c>
      <c r="AW217" s="1">
        <v>9.61399999999999</v>
      </c>
      <c r="AX217" s="1">
        <v>11.026</v>
      </c>
      <c r="AY217" s="1" t="b">
        <v>0</v>
      </c>
      <c r="AZ217" s="1" t="b">
        <v>1</v>
      </c>
      <c r="BA217" s="1">
        <v>81.25</v>
      </c>
      <c r="BB217" s="1">
        <v>77.78</v>
      </c>
      <c r="BC217" s="1" t="b">
        <v>0</v>
      </c>
      <c r="BD217" s="1" t="b">
        <v>1</v>
      </c>
      <c r="BE217" s="1">
        <v>11.34</v>
      </c>
      <c r="BF217" s="1">
        <v>13.285</v>
      </c>
      <c r="BG217" s="1" t="b">
        <v>0</v>
      </c>
      <c r="BH217" s="1" t="b">
        <v>1</v>
      </c>
      <c r="BI217" s="1">
        <v>77.78</v>
      </c>
      <c r="BJ217" s="1">
        <v>75.0</v>
      </c>
      <c r="BK217" s="1" t="b">
        <v>0</v>
      </c>
      <c r="BL217" s="1" t="b">
        <v>1</v>
      </c>
      <c r="BM217" s="1">
        <v>13.121</v>
      </c>
      <c r="BN217" s="1">
        <v>14.568</v>
      </c>
      <c r="BO217" s="1" t="b">
        <v>0</v>
      </c>
      <c r="BP217" s="1" t="b">
        <v>1</v>
      </c>
      <c r="BQ217" s="1">
        <v>75.0</v>
      </c>
      <c r="BR217" s="1">
        <v>72.027</v>
      </c>
      <c r="BS217" s="1" t="b">
        <v>0</v>
      </c>
      <c r="BT217" s="1" t="b">
        <v>1</v>
      </c>
      <c r="BU217" s="1" t="s">
        <v>157</v>
      </c>
      <c r="BV217" s="1" t="s">
        <v>105</v>
      </c>
      <c r="BW217" s="1" t="s">
        <v>157</v>
      </c>
      <c r="BX217" s="1" t="s">
        <v>157</v>
      </c>
      <c r="BY217" s="1" t="s">
        <v>157</v>
      </c>
      <c r="BZ217" s="1" t="s">
        <v>157</v>
      </c>
      <c r="CA217" s="1" t="s">
        <v>157</v>
      </c>
      <c r="CB217" s="1" t="s">
        <v>157</v>
      </c>
      <c r="CC217" s="1" t="s">
        <v>157</v>
      </c>
      <c r="CD217" s="1" t="s">
        <v>157</v>
      </c>
      <c r="CE217" s="4"/>
      <c r="CF217" s="4"/>
    </row>
    <row r="218" hidden="1">
      <c r="A218" s="1" t="s">
        <v>82</v>
      </c>
      <c r="B218" s="1" t="s">
        <v>111</v>
      </c>
      <c r="C218" s="1">
        <v>30.0</v>
      </c>
      <c r="D218" s="5" t="s">
        <v>1058</v>
      </c>
      <c r="E218" s="1" t="s">
        <v>1059</v>
      </c>
      <c r="F218" s="1">
        <v>71.0</v>
      </c>
      <c r="G218" s="1">
        <v>-0.5994</v>
      </c>
      <c r="H218" s="1" t="s">
        <v>1060</v>
      </c>
      <c r="I218" s="4" t="b">
        <f>IFERROR(__xludf.DUMMYFUNCTION("IF(H218="""",,REGEXMATCH(H218,""[א-ת]""))"),FALSE)</f>
        <v>0</v>
      </c>
      <c r="J218" s="4"/>
      <c r="K218" s="4"/>
      <c r="L218" s="1">
        <v>0.2682</v>
      </c>
      <c r="M218" s="1">
        <v>13.98</v>
      </c>
      <c r="N218" s="1">
        <v>76.06</v>
      </c>
      <c r="O218" s="1">
        <v>1.071267606</v>
      </c>
      <c r="P218" s="4"/>
      <c r="Q218" s="4"/>
      <c r="R218" s="1" t="s">
        <v>89</v>
      </c>
      <c r="S218" s="1" t="s">
        <v>1059</v>
      </c>
      <c r="T218" s="1" t="s">
        <v>111</v>
      </c>
      <c r="U218" s="1">
        <v>31.0</v>
      </c>
      <c r="V218" s="5" t="s">
        <v>1058</v>
      </c>
      <c r="W218" s="1" t="s">
        <v>1059</v>
      </c>
      <c r="X218" s="1" t="s">
        <v>1061</v>
      </c>
      <c r="Y218" s="4"/>
      <c r="Z218" s="4"/>
      <c r="AA218" s="4" t="b">
        <f>IFERROR(__xludf.DUMMYFUNCTION("IF(X218="""",,REGEXMATCH(X218,""[א-ת]""))"),FALSE)</f>
        <v>0</v>
      </c>
      <c r="AB218" s="1">
        <v>24.61</v>
      </c>
      <c r="AC218" s="1">
        <v>67.61</v>
      </c>
      <c r="AD218" s="1">
        <v>0.672336598280825</v>
      </c>
      <c r="AE218" s="1">
        <v>-0.5994</v>
      </c>
      <c r="AF218" s="1">
        <v>-0.5994</v>
      </c>
      <c r="AG218" s="1">
        <v>6.337</v>
      </c>
      <c r="AH218" s="1">
        <v>6.781</v>
      </c>
      <c r="AI218" s="1" t="b">
        <v>0</v>
      </c>
      <c r="AJ218" s="1" t="b">
        <v>0</v>
      </c>
      <c r="AK218" s="1">
        <v>94.182</v>
      </c>
      <c r="AL218" s="1">
        <v>96.508</v>
      </c>
      <c r="AM218" s="1" t="b">
        <v>0</v>
      </c>
      <c r="AN218" s="1" t="b">
        <v>0</v>
      </c>
      <c r="AO218" s="1">
        <v>8.05</v>
      </c>
      <c r="AP218" s="1">
        <v>8.53399999999999</v>
      </c>
      <c r="AQ218" s="1" t="b">
        <v>0</v>
      </c>
      <c r="AR218" s="1" t="b">
        <v>0</v>
      </c>
      <c r="AS218" s="1">
        <v>86.9179999999999</v>
      </c>
      <c r="AT218" s="1">
        <v>87.152</v>
      </c>
      <c r="AU218" s="1" t="b">
        <v>0</v>
      </c>
      <c r="AV218" s="1" t="b">
        <v>0</v>
      </c>
      <c r="AW218" s="1">
        <v>9.61399999999999</v>
      </c>
      <c r="AX218" s="1">
        <v>11.026</v>
      </c>
      <c r="AY218" s="1" t="b">
        <v>0</v>
      </c>
      <c r="AZ218" s="1" t="b">
        <v>0</v>
      </c>
      <c r="BA218" s="1">
        <v>81.25</v>
      </c>
      <c r="BB218" s="1">
        <v>77.78</v>
      </c>
      <c r="BC218" s="1" t="b">
        <v>0</v>
      </c>
      <c r="BD218" s="1" t="b">
        <v>0</v>
      </c>
      <c r="BE218" s="1">
        <v>11.34</v>
      </c>
      <c r="BF218" s="1">
        <v>13.285</v>
      </c>
      <c r="BG218" s="1" t="b">
        <v>0</v>
      </c>
      <c r="BH218" s="1" t="b">
        <v>0</v>
      </c>
      <c r="BI218" s="1">
        <v>77.78</v>
      </c>
      <c r="BJ218" s="1">
        <v>75.0</v>
      </c>
      <c r="BK218" s="1" t="b">
        <v>0</v>
      </c>
      <c r="BL218" s="1" t="b">
        <v>0</v>
      </c>
      <c r="BM218" s="1">
        <v>13.121</v>
      </c>
      <c r="BN218" s="1">
        <v>14.568</v>
      </c>
      <c r="BO218" s="1" t="b">
        <v>0</v>
      </c>
      <c r="BP218" s="1" t="b">
        <v>0</v>
      </c>
      <c r="BQ218" s="1">
        <v>75.0</v>
      </c>
      <c r="BR218" s="1">
        <v>72.027</v>
      </c>
      <c r="BS218" s="1" t="b">
        <v>1</v>
      </c>
      <c r="BT218" s="1" t="b">
        <v>0</v>
      </c>
      <c r="BU218" s="1" t="s">
        <v>105</v>
      </c>
      <c r="BV218" s="1" t="s">
        <v>105</v>
      </c>
      <c r="BW218" s="1" t="s">
        <v>105</v>
      </c>
      <c r="BX218" s="1" t="s">
        <v>105</v>
      </c>
      <c r="BY218" s="1" t="s">
        <v>105</v>
      </c>
      <c r="BZ218" s="1" t="s">
        <v>105</v>
      </c>
      <c r="CA218" s="1" t="s">
        <v>105</v>
      </c>
      <c r="CB218" s="1" t="s">
        <v>105</v>
      </c>
      <c r="CC218" s="1" t="s">
        <v>105</v>
      </c>
      <c r="CD218" s="1" t="s">
        <v>91</v>
      </c>
      <c r="CE218" s="4"/>
      <c r="CF218" s="4"/>
    </row>
    <row r="219" hidden="1">
      <c r="A219" s="1" t="s">
        <v>82</v>
      </c>
      <c r="B219" s="1" t="s">
        <v>304</v>
      </c>
      <c r="C219" s="1">
        <v>26.0</v>
      </c>
      <c r="D219" s="5" t="s">
        <v>1062</v>
      </c>
      <c r="E219" s="1" t="s">
        <v>1063</v>
      </c>
      <c r="F219" s="1">
        <v>14.0</v>
      </c>
      <c r="G219" s="1">
        <v>0.2755</v>
      </c>
      <c r="H219" s="1" t="s">
        <v>1064</v>
      </c>
      <c r="I219" s="4" t="b">
        <f>IFERROR(__xludf.DUMMYFUNCTION("IF(H219="""",,REGEXMATCH(H219,""[א-ת]""))"),FALSE)</f>
        <v>0</v>
      </c>
      <c r="J219" s="4"/>
      <c r="K219" s="4"/>
      <c r="L219" s="1">
        <v>0.2755</v>
      </c>
      <c r="M219" s="1">
        <v>14.03</v>
      </c>
      <c r="N219" s="1">
        <v>50.0</v>
      </c>
      <c r="O219" s="1">
        <v>3.571428571</v>
      </c>
      <c r="P219" s="4"/>
      <c r="Q219" s="4"/>
      <c r="R219" s="1" t="s">
        <v>89</v>
      </c>
      <c r="S219" s="1" t="s">
        <v>1063</v>
      </c>
      <c r="T219" s="1" t="s">
        <v>304</v>
      </c>
      <c r="U219" s="1">
        <v>27.0</v>
      </c>
      <c r="V219" s="5" t="s">
        <v>1062</v>
      </c>
      <c r="W219" s="1" t="s">
        <v>1063</v>
      </c>
      <c r="X219" s="1" t="s">
        <v>1065</v>
      </c>
      <c r="Y219" s="4"/>
      <c r="Z219" s="4"/>
      <c r="AA219" s="4" t="b">
        <f>IFERROR(__xludf.DUMMYFUNCTION("IF(X219="""",,REGEXMATCH(X219,""[א-ת]""))"),FALSE)</f>
        <v>0</v>
      </c>
      <c r="AB219" s="1">
        <v>13.68</v>
      </c>
      <c r="AC219" s="1">
        <v>71.43</v>
      </c>
      <c r="AD219" s="1">
        <v>0.630956420647088</v>
      </c>
      <c r="AE219" s="1">
        <v>0.2755</v>
      </c>
      <c r="AF219" s="1">
        <v>0.2755</v>
      </c>
      <c r="AG219" s="1">
        <v>6.337</v>
      </c>
      <c r="AH219" s="1">
        <v>6.781</v>
      </c>
      <c r="AI219" s="1" t="b">
        <v>0</v>
      </c>
      <c r="AJ219" s="1" t="b">
        <v>0</v>
      </c>
      <c r="AK219" s="1">
        <v>94.182</v>
      </c>
      <c r="AL219" s="1">
        <v>96.508</v>
      </c>
      <c r="AM219" s="1" t="b">
        <v>0</v>
      </c>
      <c r="AN219" s="1" t="b">
        <v>0</v>
      </c>
      <c r="AO219" s="1">
        <v>8.05</v>
      </c>
      <c r="AP219" s="1">
        <v>8.53399999999999</v>
      </c>
      <c r="AQ219" s="1" t="b">
        <v>0</v>
      </c>
      <c r="AR219" s="1" t="b">
        <v>0</v>
      </c>
      <c r="AS219" s="1">
        <v>86.9179999999999</v>
      </c>
      <c r="AT219" s="1">
        <v>87.152</v>
      </c>
      <c r="AU219" s="1" t="b">
        <v>0</v>
      </c>
      <c r="AV219" s="1" t="b">
        <v>0</v>
      </c>
      <c r="AW219" s="1">
        <v>9.61399999999999</v>
      </c>
      <c r="AX219" s="1">
        <v>11.026</v>
      </c>
      <c r="AY219" s="1" t="b">
        <v>0</v>
      </c>
      <c r="AZ219" s="1" t="b">
        <v>0</v>
      </c>
      <c r="BA219" s="1">
        <v>81.25</v>
      </c>
      <c r="BB219" s="1">
        <v>77.78</v>
      </c>
      <c r="BC219" s="1" t="b">
        <v>0</v>
      </c>
      <c r="BD219" s="1" t="b">
        <v>0</v>
      </c>
      <c r="BE219" s="1">
        <v>11.34</v>
      </c>
      <c r="BF219" s="1">
        <v>13.285</v>
      </c>
      <c r="BG219" s="1" t="b">
        <v>0</v>
      </c>
      <c r="BH219" s="1" t="b">
        <v>0</v>
      </c>
      <c r="BI219" s="1">
        <v>77.78</v>
      </c>
      <c r="BJ219" s="1">
        <v>75.0</v>
      </c>
      <c r="BK219" s="1" t="b">
        <v>0</v>
      </c>
      <c r="BL219" s="1" t="b">
        <v>0</v>
      </c>
      <c r="BM219" s="1">
        <v>13.121</v>
      </c>
      <c r="BN219" s="1">
        <v>14.568</v>
      </c>
      <c r="BO219" s="1" t="b">
        <v>0</v>
      </c>
      <c r="BP219" s="1" t="b">
        <v>1</v>
      </c>
      <c r="BQ219" s="1">
        <v>75.0</v>
      </c>
      <c r="BR219" s="1">
        <v>72.027</v>
      </c>
      <c r="BS219" s="1" t="b">
        <v>0</v>
      </c>
      <c r="BT219" s="1" t="b">
        <v>0</v>
      </c>
      <c r="BU219" s="1" t="s">
        <v>105</v>
      </c>
      <c r="BV219" s="1" t="s">
        <v>105</v>
      </c>
      <c r="BW219" s="1" t="s">
        <v>105</v>
      </c>
      <c r="BX219" s="1" t="s">
        <v>105</v>
      </c>
      <c r="BY219" s="1" t="s">
        <v>105</v>
      </c>
      <c r="BZ219" s="1" t="s">
        <v>105</v>
      </c>
      <c r="CA219" s="1" t="s">
        <v>105</v>
      </c>
      <c r="CB219" s="1" t="s">
        <v>105</v>
      </c>
      <c r="CC219" s="1" t="s">
        <v>157</v>
      </c>
      <c r="CD219" s="1" t="s">
        <v>105</v>
      </c>
      <c r="CE219" s="4"/>
      <c r="CF219" s="4"/>
    </row>
    <row r="220" hidden="1">
      <c r="A220" s="1" t="s">
        <v>82</v>
      </c>
      <c r="B220" s="1" t="s">
        <v>123</v>
      </c>
      <c r="C220" s="1">
        <v>12.0</v>
      </c>
      <c r="D220" s="5" t="s">
        <v>1066</v>
      </c>
      <c r="E220" s="1" t="s">
        <v>1067</v>
      </c>
      <c r="F220" s="1">
        <v>19.0</v>
      </c>
      <c r="G220" s="1">
        <v>0.0</v>
      </c>
      <c r="H220" s="1" t="s">
        <v>1068</v>
      </c>
      <c r="I220" s="4" t="b">
        <f>IFERROR(__xludf.DUMMYFUNCTION("IF(H220="""",,REGEXMATCH(H220,""[א-ת]""))"),FALSE)</f>
        <v>0</v>
      </c>
      <c r="J220" s="4"/>
      <c r="K220" s="4"/>
      <c r="L220" s="1">
        <v>0.0</v>
      </c>
      <c r="M220" s="1">
        <v>14.1</v>
      </c>
      <c r="N220" s="1">
        <v>68.42</v>
      </c>
      <c r="O220" s="1">
        <v>3.601052632</v>
      </c>
      <c r="P220" s="4"/>
      <c r="Q220" s="4"/>
      <c r="R220" s="1" t="s">
        <v>127</v>
      </c>
      <c r="S220" s="1" t="s">
        <v>1067</v>
      </c>
      <c r="T220" s="1" t="s">
        <v>123</v>
      </c>
      <c r="U220" s="1">
        <v>13.0</v>
      </c>
      <c r="V220" s="5" t="s">
        <v>1066</v>
      </c>
      <c r="W220" s="1" t="s">
        <v>1067</v>
      </c>
      <c r="X220" s="1" t="s">
        <v>1069</v>
      </c>
      <c r="Y220" s="4"/>
      <c r="Z220" s="4"/>
      <c r="AA220" s="4" t="b">
        <f>IFERROR(__xludf.DUMMYFUNCTION("IF(X220="""",,REGEXMATCH(X220,""[א-ת]""))"),FALSE)</f>
        <v>0</v>
      </c>
      <c r="AB220" s="1">
        <v>28.88</v>
      </c>
      <c r="AC220" s="1">
        <v>63.16</v>
      </c>
      <c r="AD220" s="1">
        <v>0.697097344935773</v>
      </c>
      <c r="AE220" s="1">
        <v>0.0</v>
      </c>
      <c r="AF220" s="1">
        <v>0.0</v>
      </c>
      <c r="AG220" s="1">
        <v>6.337</v>
      </c>
      <c r="AH220" s="1">
        <v>6.781</v>
      </c>
      <c r="AI220" s="1" t="b">
        <v>0</v>
      </c>
      <c r="AJ220" s="1" t="b">
        <v>0</v>
      </c>
      <c r="AK220" s="1">
        <v>94.182</v>
      </c>
      <c r="AL220" s="1">
        <v>96.508</v>
      </c>
      <c r="AM220" s="1" t="b">
        <v>0</v>
      </c>
      <c r="AN220" s="1" t="b">
        <v>0</v>
      </c>
      <c r="AO220" s="1">
        <v>8.05</v>
      </c>
      <c r="AP220" s="1">
        <v>8.53399999999999</v>
      </c>
      <c r="AQ220" s="1" t="b">
        <v>0</v>
      </c>
      <c r="AR220" s="1" t="b">
        <v>0</v>
      </c>
      <c r="AS220" s="1">
        <v>86.9179999999999</v>
      </c>
      <c r="AT220" s="1">
        <v>87.152</v>
      </c>
      <c r="AU220" s="1" t="b">
        <v>0</v>
      </c>
      <c r="AV220" s="1" t="b">
        <v>0</v>
      </c>
      <c r="AW220" s="1">
        <v>9.61399999999999</v>
      </c>
      <c r="AX220" s="1">
        <v>11.026</v>
      </c>
      <c r="AY220" s="1" t="b">
        <v>0</v>
      </c>
      <c r="AZ220" s="1" t="b">
        <v>0</v>
      </c>
      <c r="BA220" s="1">
        <v>81.25</v>
      </c>
      <c r="BB220" s="1">
        <v>77.78</v>
      </c>
      <c r="BC220" s="1" t="b">
        <v>0</v>
      </c>
      <c r="BD220" s="1" t="b">
        <v>0</v>
      </c>
      <c r="BE220" s="1">
        <v>11.34</v>
      </c>
      <c r="BF220" s="1">
        <v>13.285</v>
      </c>
      <c r="BG220" s="1" t="b">
        <v>0</v>
      </c>
      <c r="BH220" s="1" t="b">
        <v>0</v>
      </c>
      <c r="BI220" s="1">
        <v>77.78</v>
      </c>
      <c r="BJ220" s="1">
        <v>75.0</v>
      </c>
      <c r="BK220" s="1" t="b">
        <v>0</v>
      </c>
      <c r="BL220" s="1" t="b">
        <v>0</v>
      </c>
      <c r="BM220" s="1">
        <v>13.121</v>
      </c>
      <c r="BN220" s="1">
        <v>14.568</v>
      </c>
      <c r="BO220" s="1" t="b">
        <v>0</v>
      </c>
      <c r="BP220" s="1" t="b">
        <v>0</v>
      </c>
      <c r="BQ220" s="1">
        <v>75.0</v>
      </c>
      <c r="BR220" s="1">
        <v>72.027</v>
      </c>
      <c r="BS220" s="1" t="b">
        <v>0</v>
      </c>
      <c r="BT220" s="1" t="b">
        <v>0</v>
      </c>
      <c r="BU220" s="1" t="s">
        <v>105</v>
      </c>
      <c r="BV220" s="1" t="s">
        <v>105</v>
      </c>
      <c r="BW220" s="1" t="s">
        <v>105</v>
      </c>
      <c r="BX220" s="1" t="s">
        <v>105</v>
      </c>
      <c r="BY220" s="1" t="s">
        <v>105</v>
      </c>
      <c r="BZ220" s="1" t="s">
        <v>105</v>
      </c>
      <c r="CA220" s="1" t="s">
        <v>105</v>
      </c>
      <c r="CB220" s="1" t="s">
        <v>105</v>
      </c>
      <c r="CC220" s="1" t="s">
        <v>105</v>
      </c>
      <c r="CD220" s="1" t="s">
        <v>105</v>
      </c>
      <c r="CE220" s="4"/>
      <c r="CF220" s="4"/>
    </row>
    <row r="221" hidden="1">
      <c r="A221" s="1" t="s">
        <v>82</v>
      </c>
      <c r="B221" s="1" t="s">
        <v>152</v>
      </c>
      <c r="C221" s="1">
        <v>10.0</v>
      </c>
      <c r="D221" s="5" t="s">
        <v>1070</v>
      </c>
      <c r="E221" s="1" t="s">
        <v>1071</v>
      </c>
      <c r="F221" s="1">
        <v>31.0</v>
      </c>
      <c r="G221" s="1">
        <v>-0.5423</v>
      </c>
      <c r="H221" s="1" t="s">
        <v>1072</v>
      </c>
      <c r="I221" s="4" t="b">
        <f>IFERROR(__xludf.DUMMYFUNCTION("IF(H221="""",,REGEXMATCH(H221,""[א-ת]""))"),FALSE)</f>
        <v>0</v>
      </c>
      <c r="J221" s="4"/>
      <c r="K221" s="4"/>
      <c r="L221" s="1">
        <v>-0.126</v>
      </c>
      <c r="M221" s="1">
        <v>14.12</v>
      </c>
      <c r="N221" s="1">
        <v>87.1</v>
      </c>
      <c r="O221" s="1">
        <v>2.809677419</v>
      </c>
      <c r="P221" s="4"/>
      <c r="Q221" s="4"/>
      <c r="R221" s="1" t="s">
        <v>89</v>
      </c>
      <c r="S221" s="1" t="s">
        <v>1071</v>
      </c>
      <c r="T221" s="1" t="s">
        <v>152</v>
      </c>
      <c r="U221" s="1">
        <v>11.0</v>
      </c>
      <c r="V221" s="5" t="s">
        <v>1070</v>
      </c>
      <c r="W221" s="1" t="s">
        <v>1071</v>
      </c>
      <c r="X221" s="1" t="s">
        <v>1073</v>
      </c>
      <c r="Y221" s="4"/>
      <c r="Z221" s="4"/>
      <c r="AA221" s="4" t="b">
        <f>IFERROR(__xludf.DUMMYFUNCTION("IF(X221="""",,REGEXMATCH(X221,""[א-ת]""))"),TRUE)</f>
        <v>1</v>
      </c>
      <c r="AB221" s="1">
        <v>17.51</v>
      </c>
      <c r="AC221" s="1">
        <v>106.45</v>
      </c>
      <c r="AD221" s="1">
        <v>0.579099720804001</v>
      </c>
      <c r="AE221" s="1">
        <v>0.0</v>
      </c>
      <c r="AF221" s="1">
        <v>-0.5423</v>
      </c>
      <c r="AG221" s="1">
        <v>6.337</v>
      </c>
      <c r="AH221" s="1">
        <v>6.781</v>
      </c>
      <c r="AI221" s="1" t="b">
        <v>0</v>
      </c>
      <c r="AJ221" s="1" t="b">
        <v>0</v>
      </c>
      <c r="AK221" s="1">
        <v>94.182</v>
      </c>
      <c r="AL221" s="1">
        <v>96.508</v>
      </c>
      <c r="AM221" s="1" t="b">
        <v>0</v>
      </c>
      <c r="AN221" s="1" t="b">
        <v>1</v>
      </c>
      <c r="AO221" s="1">
        <v>8.05</v>
      </c>
      <c r="AP221" s="1">
        <v>8.53399999999999</v>
      </c>
      <c r="AQ221" s="1" t="b">
        <v>0</v>
      </c>
      <c r="AR221" s="1" t="b">
        <v>0</v>
      </c>
      <c r="AS221" s="1">
        <v>86.9179999999999</v>
      </c>
      <c r="AT221" s="1">
        <v>87.152</v>
      </c>
      <c r="AU221" s="1" t="b">
        <v>1</v>
      </c>
      <c r="AV221" s="1" t="b">
        <v>1</v>
      </c>
      <c r="AW221" s="1">
        <v>9.61399999999999</v>
      </c>
      <c r="AX221" s="1">
        <v>11.026</v>
      </c>
      <c r="AY221" s="1" t="b">
        <v>0</v>
      </c>
      <c r="AZ221" s="1" t="b">
        <v>0</v>
      </c>
      <c r="BA221" s="1">
        <v>81.25</v>
      </c>
      <c r="BB221" s="1">
        <v>77.78</v>
      </c>
      <c r="BC221" s="1" t="b">
        <v>1</v>
      </c>
      <c r="BD221" s="1" t="b">
        <v>1</v>
      </c>
      <c r="BE221" s="1">
        <v>11.34</v>
      </c>
      <c r="BF221" s="1">
        <v>13.285</v>
      </c>
      <c r="BG221" s="1" t="b">
        <v>0</v>
      </c>
      <c r="BH221" s="1" t="b">
        <v>0</v>
      </c>
      <c r="BI221" s="1">
        <v>77.78</v>
      </c>
      <c r="BJ221" s="1">
        <v>75.0</v>
      </c>
      <c r="BK221" s="1" t="b">
        <v>1</v>
      </c>
      <c r="BL221" s="1" t="b">
        <v>1</v>
      </c>
      <c r="BM221" s="1">
        <v>13.121</v>
      </c>
      <c r="BN221" s="1">
        <v>14.568</v>
      </c>
      <c r="BO221" s="1" t="b">
        <v>0</v>
      </c>
      <c r="BP221" s="1" t="b">
        <v>0</v>
      </c>
      <c r="BQ221" s="1">
        <v>75.0</v>
      </c>
      <c r="BR221" s="1">
        <v>72.027</v>
      </c>
      <c r="BS221" s="1" t="b">
        <v>1</v>
      </c>
      <c r="BT221" s="1" t="b">
        <v>1</v>
      </c>
      <c r="BU221" s="1" t="s">
        <v>105</v>
      </c>
      <c r="BV221" s="1" t="s">
        <v>157</v>
      </c>
      <c r="BW221" s="1" t="s">
        <v>105</v>
      </c>
      <c r="BX221" s="1" t="s">
        <v>104</v>
      </c>
      <c r="BY221" s="1" t="s">
        <v>105</v>
      </c>
      <c r="BZ221" s="1" t="s">
        <v>104</v>
      </c>
      <c r="CA221" s="1" t="s">
        <v>105</v>
      </c>
      <c r="CB221" s="1" t="s">
        <v>104</v>
      </c>
      <c r="CC221" s="1" t="s">
        <v>105</v>
      </c>
      <c r="CD221" s="1" t="s">
        <v>104</v>
      </c>
      <c r="CE221" s="4"/>
      <c r="CF221" s="4"/>
    </row>
    <row r="222">
      <c r="A222" s="1" t="s">
        <v>82</v>
      </c>
      <c r="B222" s="1" t="s">
        <v>197</v>
      </c>
      <c r="C222" s="1">
        <v>14.0</v>
      </c>
      <c r="D222" s="5" t="s">
        <v>1074</v>
      </c>
      <c r="E222" s="1" t="s">
        <v>1075</v>
      </c>
      <c r="F222" s="1">
        <v>38.0</v>
      </c>
      <c r="G222" s="1">
        <v>-0.457</v>
      </c>
      <c r="H222" s="1" t="s">
        <v>1076</v>
      </c>
      <c r="I222" s="4" t="b">
        <f>IFERROR(__xludf.DUMMYFUNCTION("IF(H222="""",,REGEXMATCH(H222,""[א-ת]""))"),FALSE)</f>
        <v>0</v>
      </c>
      <c r="J222" s="4"/>
      <c r="K222" s="4"/>
      <c r="L222" s="1">
        <v>-0.4647</v>
      </c>
      <c r="M222" s="1">
        <v>14.14</v>
      </c>
      <c r="N222" s="1">
        <v>65.79</v>
      </c>
      <c r="O222" s="1">
        <v>1.731315789</v>
      </c>
      <c r="P222" s="4"/>
      <c r="Q222" s="4"/>
      <c r="R222" s="1" t="s">
        <v>89</v>
      </c>
      <c r="S222" s="1" t="s">
        <v>1075</v>
      </c>
      <c r="T222" s="1" t="s">
        <v>197</v>
      </c>
      <c r="U222" s="1">
        <v>15.0</v>
      </c>
      <c r="V222" s="5" t="s">
        <v>1074</v>
      </c>
      <c r="W222" s="1" t="s">
        <v>1075</v>
      </c>
      <c r="X222" s="1" t="s">
        <v>1077</v>
      </c>
      <c r="Y222" s="1" t="s">
        <v>1078</v>
      </c>
      <c r="Z222" s="1" t="s">
        <v>1079</v>
      </c>
      <c r="AA222" s="4" t="b">
        <f>IFERROR(__xludf.DUMMYFUNCTION("IF(X222="""",,REGEXMATCH(X222,""[א-ת]""))"),FALSE)</f>
        <v>0</v>
      </c>
      <c r="AB222" s="1">
        <v>5.63</v>
      </c>
      <c r="AC222" s="1">
        <v>78.95</v>
      </c>
      <c r="AD222" s="1">
        <v>0.33226314932503</v>
      </c>
      <c r="AE222" s="1">
        <v>-0.4588</v>
      </c>
      <c r="AF222" s="1">
        <v>-0.457</v>
      </c>
      <c r="AG222" s="1">
        <v>6.337</v>
      </c>
      <c r="AH222" s="1">
        <v>6.781</v>
      </c>
      <c r="AI222" s="1" t="b">
        <v>0</v>
      </c>
      <c r="AJ222" s="1" t="b">
        <v>1</v>
      </c>
      <c r="AK222" s="1">
        <v>94.182</v>
      </c>
      <c r="AL222" s="1">
        <v>96.508</v>
      </c>
      <c r="AM222" s="1" t="b">
        <v>0</v>
      </c>
      <c r="AN222" s="1" t="b">
        <v>0</v>
      </c>
      <c r="AO222" s="1">
        <v>8.05</v>
      </c>
      <c r="AP222" s="1">
        <v>8.53399999999999</v>
      </c>
      <c r="AQ222" s="1" t="b">
        <v>0</v>
      </c>
      <c r="AR222" s="1" t="b">
        <v>1</v>
      </c>
      <c r="AS222" s="1">
        <v>86.9179999999999</v>
      </c>
      <c r="AT222" s="1">
        <v>87.152</v>
      </c>
      <c r="AU222" s="1" t="b">
        <v>0</v>
      </c>
      <c r="AV222" s="1" t="b">
        <v>0</v>
      </c>
      <c r="AW222" s="1">
        <v>9.61399999999999</v>
      </c>
      <c r="AX222" s="1">
        <v>11.026</v>
      </c>
      <c r="AY222" s="1" t="b">
        <v>0</v>
      </c>
      <c r="AZ222" s="1" t="b">
        <v>1</v>
      </c>
      <c r="BA222" s="1">
        <v>81.25</v>
      </c>
      <c r="BB222" s="1">
        <v>77.78</v>
      </c>
      <c r="BC222" s="1" t="b">
        <v>0</v>
      </c>
      <c r="BD222" s="1" t="b">
        <v>1</v>
      </c>
      <c r="BE222" s="1">
        <v>11.34</v>
      </c>
      <c r="BF222" s="1">
        <v>13.285</v>
      </c>
      <c r="BG222" s="1" t="b">
        <v>0</v>
      </c>
      <c r="BH222" s="1" t="b">
        <v>1</v>
      </c>
      <c r="BI222" s="1">
        <v>77.78</v>
      </c>
      <c r="BJ222" s="1">
        <v>75.0</v>
      </c>
      <c r="BK222" s="1" t="b">
        <v>0</v>
      </c>
      <c r="BL222" s="1" t="b">
        <v>1</v>
      </c>
      <c r="BM222" s="1">
        <v>13.121</v>
      </c>
      <c r="BN222" s="1">
        <v>14.568</v>
      </c>
      <c r="BO222" s="1" t="b">
        <v>0</v>
      </c>
      <c r="BP222" s="1" t="b">
        <v>1</v>
      </c>
      <c r="BQ222" s="1">
        <v>75.0</v>
      </c>
      <c r="BR222" s="1">
        <v>72.027</v>
      </c>
      <c r="BS222" s="1" t="b">
        <v>0</v>
      </c>
      <c r="BT222" s="1" t="b">
        <v>1</v>
      </c>
      <c r="BU222" s="1" t="s">
        <v>157</v>
      </c>
      <c r="BV222" s="1" t="s">
        <v>105</v>
      </c>
      <c r="BW222" s="1" t="s">
        <v>157</v>
      </c>
      <c r="BX222" s="1" t="s">
        <v>105</v>
      </c>
      <c r="BY222" s="1" t="s">
        <v>157</v>
      </c>
      <c r="BZ222" s="1" t="s">
        <v>157</v>
      </c>
      <c r="CA222" s="1" t="s">
        <v>157</v>
      </c>
      <c r="CB222" s="1" t="s">
        <v>157</v>
      </c>
      <c r="CC222" s="1" t="s">
        <v>157</v>
      </c>
      <c r="CD222" s="1" t="s">
        <v>157</v>
      </c>
      <c r="CE222" s="4"/>
      <c r="CF222" s="4"/>
    </row>
    <row r="223" hidden="1">
      <c r="A223" s="1" t="s">
        <v>82</v>
      </c>
      <c r="B223" s="1" t="s">
        <v>111</v>
      </c>
      <c r="C223" s="1">
        <v>50.0</v>
      </c>
      <c r="D223" s="5" t="s">
        <v>1080</v>
      </c>
      <c r="E223" s="1" t="s">
        <v>1081</v>
      </c>
      <c r="F223" s="1">
        <v>29.0</v>
      </c>
      <c r="G223" s="1">
        <v>0.0</v>
      </c>
      <c r="H223" s="1" t="s">
        <v>1082</v>
      </c>
      <c r="I223" s="4" t="b">
        <f>IFERROR(__xludf.DUMMYFUNCTION("IF(H223="""",,REGEXMATCH(H223,""[א-ת]""))"),FALSE)</f>
        <v>0</v>
      </c>
      <c r="J223" s="4"/>
      <c r="K223" s="4"/>
      <c r="L223" s="1">
        <v>0.0</v>
      </c>
      <c r="M223" s="1">
        <v>14.18</v>
      </c>
      <c r="N223" s="1">
        <v>75.86</v>
      </c>
      <c r="O223" s="1">
        <v>2.615862069</v>
      </c>
      <c r="P223" s="4"/>
      <c r="Q223" s="4"/>
      <c r="R223" s="1" t="s">
        <v>89</v>
      </c>
      <c r="S223" s="1" t="s">
        <v>1081</v>
      </c>
      <c r="T223" s="1" t="s">
        <v>111</v>
      </c>
      <c r="U223" s="1">
        <v>51.0</v>
      </c>
      <c r="V223" s="5" t="s">
        <v>1080</v>
      </c>
      <c r="W223" s="1" t="s">
        <v>1081</v>
      </c>
      <c r="X223" s="1" t="s">
        <v>1083</v>
      </c>
      <c r="Y223" s="4"/>
      <c r="Z223" s="4"/>
      <c r="AA223" s="4" t="b">
        <f>IFERROR(__xludf.DUMMYFUNCTION("IF(X223="""",,REGEXMATCH(X223,""[א-ת]""))"),FALSE)</f>
        <v>0</v>
      </c>
      <c r="AB223" s="1">
        <v>16.59</v>
      </c>
      <c r="AC223" s="1">
        <v>62.07</v>
      </c>
      <c r="AD223" s="1">
        <v>0.665369676217003</v>
      </c>
      <c r="AE223" s="1">
        <v>0.0</v>
      </c>
      <c r="AF223" s="1">
        <v>0.0</v>
      </c>
      <c r="AG223" s="1">
        <v>6.337</v>
      </c>
      <c r="AH223" s="1">
        <v>6.781</v>
      </c>
      <c r="AI223" s="1" t="b">
        <v>0</v>
      </c>
      <c r="AJ223" s="1" t="b">
        <v>0</v>
      </c>
      <c r="AK223" s="1">
        <v>94.182</v>
      </c>
      <c r="AL223" s="1">
        <v>96.508</v>
      </c>
      <c r="AM223" s="1" t="b">
        <v>0</v>
      </c>
      <c r="AN223" s="1" t="b">
        <v>0</v>
      </c>
      <c r="AO223" s="1">
        <v>8.05</v>
      </c>
      <c r="AP223" s="1">
        <v>8.53399999999999</v>
      </c>
      <c r="AQ223" s="1" t="b">
        <v>0</v>
      </c>
      <c r="AR223" s="1" t="b">
        <v>0</v>
      </c>
      <c r="AS223" s="1">
        <v>86.9179999999999</v>
      </c>
      <c r="AT223" s="1">
        <v>87.152</v>
      </c>
      <c r="AU223" s="1" t="b">
        <v>0</v>
      </c>
      <c r="AV223" s="1" t="b">
        <v>0</v>
      </c>
      <c r="AW223" s="1">
        <v>9.61399999999999</v>
      </c>
      <c r="AX223" s="1">
        <v>11.026</v>
      </c>
      <c r="AY223" s="1" t="b">
        <v>0</v>
      </c>
      <c r="AZ223" s="1" t="b">
        <v>0</v>
      </c>
      <c r="BA223" s="1">
        <v>81.25</v>
      </c>
      <c r="BB223" s="1">
        <v>77.78</v>
      </c>
      <c r="BC223" s="1" t="b">
        <v>0</v>
      </c>
      <c r="BD223" s="1" t="b">
        <v>0</v>
      </c>
      <c r="BE223" s="1">
        <v>11.34</v>
      </c>
      <c r="BF223" s="1">
        <v>13.285</v>
      </c>
      <c r="BG223" s="1" t="b">
        <v>0</v>
      </c>
      <c r="BH223" s="1" t="b">
        <v>0</v>
      </c>
      <c r="BI223" s="1">
        <v>77.78</v>
      </c>
      <c r="BJ223" s="1">
        <v>75.0</v>
      </c>
      <c r="BK223" s="1" t="b">
        <v>0</v>
      </c>
      <c r="BL223" s="1" t="b">
        <v>0</v>
      </c>
      <c r="BM223" s="1">
        <v>13.121</v>
      </c>
      <c r="BN223" s="1">
        <v>14.568</v>
      </c>
      <c r="BO223" s="1" t="b">
        <v>0</v>
      </c>
      <c r="BP223" s="1" t="b">
        <v>0</v>
      </c>
      <c r="BQ223" s="1">
        <v>75.0</v>
      </c>
      <c r="BR223" s="1">
        <v>72.027</v>
      </c>
      <c r="BS223" s="1" t="b">
        <v>1</v>
      </c>
      <c r="BT223" s="1" t="b">
        <v>0</v>
      </c>
      <c r="BU223" s="1" t="s">
        <v>105</v>
      </c>
      <c r="BV223" s="1" t="s">
        <v>105</v>
      </c>
      <c r="BW223" s="1" t="s">
        <v>105</v>
      </c>
      <c r="BX223" s="1" t="s">
        <v>105</v>
      </c>
      <c r="BY223" s="1" t="s">
        <v>105</v>
      </c>
      <c r="BZ223" s="1" t="s">
        <v>105</v>
      </c>
      <c r="CA223" s="1" t="s">
        <v>105</v>
      </c>
      <c r="CB223" s="1" t="s">
        <v>105</v>
      </c>
      <c r="CC223" s="1" t="s">
        <v>105</v>
      </c>
      <c r="CD223" s="1" t="s">
        <v>91</v>
      </c>
      <c r="CE223" s="4"/>
      <c r="CF223" s="4"/>
    </row>
    <row r="224" hidden="1">
      <c r="A224" s="1" t="s">
        <v>82</v>
      </c>
      <c r="B224" s="1" t="s">
        <v>158</v>
      </c>
      <c r="C224" s="1">
        <v>16.0</v>
      </c>
      <c r="D224" s="5" t="s">
        <v>1084</v>
      </c>
      <c r="E224" s="1" t="s">
        <v>1085</v>
      </c>
      <c r="F224" s="1">
        <v>40.0</v>
      </c>
      <c r="G224" s="1">
        <v>0.0</v>
      </c>
      <c r="H224" s="1" t="s">
        <v>1086</v>
      </c>
      <c r="I224" s="4" t="b">
        <f>IFERROR(__xludf.DUMMYFUNCTION("IF(H224="""",,REGEXMATCH(H224,""[א-ת]""))"),FALSE)</f>
        <v>0</v>
      </c>
      <c r="J224" s="4"/>
      <c r="K224" s="4"/>
      <c r="L224" s="1">
        <v>0.0</v>
      </c>
      <c r="M224" s="1">
        <v>14.23</v>
      </c>
      <c r="N224" s="1">
        <v>70.0</v>
      </c>
      <c r="O224" s="1">
        <v>1.75</v>
      </c>
      <c r="P224" s="4"/>
      <c r="Q224" s="4"/>
      <c r="R224" s="1" t="s">
        <v>89</v>
      </c>
      <c r="S224" s="1" t="s">
        <v>1085</v>
      </c>
      <c r="T224" s="1" t="s">
        <v>158</v>
      </c>
      <c r="U224" s="1">
        <v>17.0</v>
      </c>
      <c r="V224" s="5" t="s">
        <v>1084</v>
      </c>
      <c r="W224" s="1" t="s">
        <v>1085</v>
      </c>
      <c r="X224" s="1" t="s">
        <v>1087</v>
      </c>
      <c r="Y224" s="4"/>
      <c r="Z224" s="4"/>
      <c r="AA224" s="4" t="b">
        <f>IFERROR(__xludf.DUMMYFUNCTION("IF(X224="""",,REGEXMATCH(X224,""[א-ת]""))"),FALSE)</f>
        <v>0</v>
      </c>
      <c r="AB224" s="1">
        <v>26.64</v>
      </c>
      <c r="AC224" s="1">
        <v>52.5</v>
      </c>
      <c r="AD224" s="1">
        <v>0.731651978136078</v>
      </c>
      <c r="AE224" s="1">
        <v>0.0</v>
      </c>
      <c r="AF224" s="1">
        <v>0.0</v>
      </c>
      <c r="AG224" s="1">
        <v>6.337</v>
      </c>
      <c r="AH224" s="1">
        <v>6.781</v>
      </c>
      <c r="AI224" s="1" t="b">
        <v>0</v>
      </c>
      <c r="AJ224" s="1" t="b">
        <v>0</v>
      </c>
      <c r="AK224" s="1">
        <v>94.182</v>
      </c>
      <c r="AL224" s="1">
        <v>96.508</v>
      </c>
      <c r="AM224" s="1" t="b">
        <v>0</v>
      </c>
      <c r="AN224" s="1" t="b">
        <v>0</v>
      </c>
      <c r="AO224" s="1">
        <v>8.05</v>
      </c>
      <c r="AP224" s="1">
        <v>8.53399999999999</v>
      </c>
      <c r="AQ224" s="1" t="b">
        <v>0</v>
      </c>
      <c r="AR224" s="1" t="b">
        <v>0</v>
      </c>
      <c r="AS224" s="1">
        <v>86.9179999999999</v>
      </c>
      <c r="AT224" s="1">
        <v>87.152</v>
      </c>
      <c r="AU224" s="1" t="b">
        <v>0</v>
      </c>
      <c r="AV224" s="1" t="b">
        <v>0</v>
      </c>
      <c r="AW224" s="1">
        <v>9.61399999999999</v>
      </c>
      <c r="AX224" s="1">
        <v>11.026</v>
      </c>
      <c r="AY224" s="1" t="b">
        <v>0</v>
      </c>
      <c r="AZ224" s="1" t="b">
        <v>0</v>
      </c>
      <c r="BA224" s="1">
        <v>81.25</v>
      </c>
      <c r="BB224" s="1">
        <v>77.78</v>
      </c>
      <c r="BC224" s="1" t="b">
        <v>0</v>
      </c>
      <c r="BD224" s="1" t="b">
        <v>0</v>
      </c>
      <c r="BE224" s="1">
        <v>11.34</v>
      </c>
      <c r="BF224" s="1">
        <v>13.285</v>
      </c>
      <c r="BG224" s="1" t="b">
        <v>0</v>
      </c>
      <c r="BH224" s="1" t="b">
        <v>0</v>
      </c>
      <c r="BI224" s="1">
        <v>77.78</v>
      </c>
      <c r="BJ224" s="1">
        <v>75.0</v>
      </c>
      <c r="BK224" s="1" t="b">
        <v>0</v>
      </c>
      <c r="BL224" s="1" t="b">
        <v>0</v>
      </c>
      <c r="BM224" s="1">
        <v>13.121</v>
      </c>
      <c r="BN224" s="1">
        <v>14.568</v>
      </c>
      <c r="BO224" s="1" t="b">
        <v>0</v>
      </c>
      <c r="BP224" s="1" t="b">
        <v>0</v>
      </c>
      <c r="BQ224" s="1">
        <v>75.0</v>
      </c>
      <c r="BR224" s="1">
        <v>72.027</v>
      </c>
      <c r="BS224" s="1" t="b">
        <v>0</v>
      </c>
      <c r="BT224" s="1" t="b">
        <v>0</v>
      </c>
      <c r="BU224" s="1" t="s">
        <v>105</v>
      </c>
      <c r="BV224" s="1" t="s">
        <v>105</v>
      </c>
      <c r="BW224" s="1" t="s">
        <v>105</v>
      </c>
      <c r="BX224" s="1" t="s">
        <v>105</v>
      </c>
      <c r="BY224" s="1" t="s">
        <v>105</v>
      </c>
      <c r="BZ224" s="1" t="s">
        <v>105</v>
      </c>
      <c r="CA224" s="1" t="s">
        <v>105</v>
      </c>
      <c r="CB224" s="1" t="s">
        <v>105</v>
      </c>
      <c r="CC224" s="1" t="s">
        <v>105</v>
      </c>
      <c r="CD224" s="1" t="s">
        <v>105</v>
      </c>
      <c r="CE224" s="4"/>
      <c r="CF224" s="4"/>
    </row>
    <row r="225" hidden="1">
      <c r="A225" s="1" t="s">
        <v>82</v>
      </c>
      <c r="B225" s="1" t="s">
        <v>111</v>
      </c>
      <c r="C225" s="1">
        <v>74.0</v>
      </c>
      <c r="D225" s="5" t="s">
        <v>1088</v>
      </c>
      <c r="E225" s="1" t="s">
        <v>1089</v>
      </c>
      <c r="F225" s="1">
        <v>29.0</v>
      </c>
      <c r="G225" s="1">
        <v>-0.1406</v>
      </c>
      <c r="H225" s="1" t="s">
        <v>1090</v>
      </c>
      <c r="I225" s="4" t="b">
        <f>IFERROR(__xludf.DUMMYFUNCTION("IF(H225="""",,REGEXMATCH(H225,""[א-ת]""))"),FALSE)</f>
        <v>0</v>
      </c>
      <c r="J225" s="4"/>
      <c r="K225" s="4"/>
      <c r="L225" s="1">
        <v>0.0</v>
      </c>
      <c r="M225" s="1">
        <v>14.24</v>
      </c>
      <c r="N225" s="1">
        <v>72.41</v>
      </c>
      <c r="O225" s="1">
        <v>2.496896552</v>
      </c>
      <c r="P225" s="4"/>
      <c r="Q225" s="4"/>
      <c r="R225" s="1" t="s">
        <v>89</v>
      </c>
      <c r="S225" s="1" t="s">
        <v>1089</v>
      </c>
      <c r="T225" s="1" t="s">
        <v>111</v>
      </c>
      <c r="U225" s="1">
        <v>75.0</v>
      </c>
      <c r="V225" s="5" t="s">
        <v>1088</v>
      </c>
      <c r="W225" s="1" t="s">
        <v>1089</v>
      </c>
      <c r="X225" s="1" t="s">
        <v>1091</v>
      </c>
      <c r="Y225" s="4"/>
      <c r="Z225" s="4"/>
      <c r="AA225" s="4" t="b">
        <f>IFERROR(__xludf.DUMMYFUNCTION("IF(X225="""",,REGEXMATCH(X225,""[א-ת]""))"),FALSE)</f>
        <v>0</v>
      </c>
      <c r="AB225" s="1">
        <v>14.96</v>
      </c>
      <c r="AC225" s="1">
        <v>75.86</v>
      </c>
      <c r="AD225" s="1">
        <v>0.330121246588792</v>
      </c>
      <c r="AE225" s="1">
        <v>0.0</v>
      </c>
      <c r="AF225" s="1">
        <v>-0.1406</v>
      </c>
      <c r="AG225" s="1">
        <v>6.337</v>
      </c>
      <c r="AH225" s="1">
        <v>6.781</v>
      </c>
      <c r="AI225" s="1" t="b">
        <v>0</v>
      </c>
      <c r="AJ225" s="1" t="b">
        <v>0</v>
      </c>
      <c r="AK225" s="1">
        <v>94.182</v>
      </c>
      <c r="AL225" s="1">
        <v>96.508</v>
      </c>
      <c r="AM225" s="1" t="b">
        <v>0</v>
      </c>
      <c r="AN225" s="1" t="b">
        <v>0</v>
      </c>
      <c r="AO225" s="1">
        <v>8.05</v>
      </c>
      <c r="AP225" s="1">
        <v>8.53399999999999</v>
      </c>
      <c r="AQ225" s="1" t="b">
        <v>0</v>
      </c>
      <c r="AR225" s="1" t="b">
        <v>0</v>
      </c>
      <c r="AS225" s="1">
        <v>86.9179999999999</v>
      </c>
      <c r="AT225" s="1">
        <v>87.152</v>
      </c>
      <c r="AU225" s="1" t="b">
        <v>0</v>
      </c>
      <c r="AV225" s="1" t="b">
        <v>0</v>
      </c>
      <c r="AW225" s="1">
        <v>9.61399999999999</v>
      </c>
      <c r="AX225" s="1">
        <v>11.026</v>
      </c>
      <c r="AY225" s="1" t="b">
        <v>0</v>
      </c>
      <c r="AZ225" s="1" t="b">
        <v>0</v>
      </c>
      <c r="BA225" s="1">
        <v>81.25</v>
      </c>
      <c r="BB225" s="1">
        <v>77.78</v>
      </c>
      <c r="BC225" s="1" t="b">
        <v>0</v>
      </c>
      <c r="BD225" s="1" t="b">
        <v>0</v>
      </c>
      <c r="BE225" s="1">
        <v>11.34</v>
      </c>
      <c r="BF225" s="1">
        <v>13.285</v>
      </c>
      <c r="BG225" s="1" t="b">
        <v>0</v>
      </c>
      <c r="BH225" s="1" t="b">
        <v>0</v>
      </c>
      <c r="BI225" s="1">
        <v>77.78</v>
      </c>
      <c r="BJ225" s="1">
        <v>75.0</v>
      </c>
      <c r="BK225" s="1" t="b">
        <v>0</v>
      </c>
      <c r="BL225" s="1" t="b">
        <v>1</v>
      </c>
      <c r="BM225" s="1">
        <v>13.121</v>
      </c>
      <c r="BN225" s="1">
        <v>14.568</v>
      </c>
      <c r="BO225" s="1" t="b">
        <v>0</v>
      </c>
      <c r="BP225" s="1" t="b">
        <v>0</v>
      </c>
      <c r="BQ225" s="1">
        <v>75.0</v>
      </c>
      <c r="BR225" s="1">
        <v>72.027</v>
      </c>
      <c r="BS225" s="1" t="b">
        <v>0</v>
      </c>
      <c r="BT225" s="1" t="b">
        <v>1</v>
      </c>
      <c r="BU225" s="1" t="s">
        <v>105</v>
      </c>
      <c r="BV225" s="1" t="s">
        <v>105</v>
      </c>
      <c r="BW225" s="1" t="s">
        <v>105</v>
      </c>
      <c r="BX225" s="1" t="s">
        <v>105</v>
      </c>
      <c r="BY225" s="1" t="s">
        <v>105</v>
      </c>
      <c r="BZ225" s="1" t="s">
        <v>105</v>
      </c>
      <c r="CA225" s="1" t="s">
        <v>105</v>
      </c>
      <c r="CB225" s="1" t="s">
        <v>157</v>
      </c>
      <c r="CC225" s="1" t="s">
        <v>105</v>
      </c>
      <c r="CD225" s="1" t="s">
        <v>157</v>
      </c>
      <c r="CE225" s="4"/>
      <c r="CF225" s="4"/>
    </row>
    <row r="226">
      <c r="A226" s="1" t="s">
        <v>82</v>
      </c>
      <c r="B226" s="1" t="s">
        <v>158</v>
      </c>
      <c r="C226" s="1">
        <v>10.0</v>
      </c>
      <c r="D226" s="5" t="s">
        <v>1092</v>
      </c>
      <c r="E226" s="1" t="s">
        <v>1093</v>
      </c>
      <c r="F226" s="1">
        <v>35.0</v>
      </c>
      <c r="G226" s="1">
        <v>-0.3182</v>
      </c>
      <c r="H226" s="1" t="s">
        <v>1094</v>
      </c>
      <c r="I226" s="4" t="b">
        <f>IFERROR(__xludf.DUMMYFUNCTION("IF(H226="""",,REGEXMATCH(H226,""[א-ת]""))"),FALSE)</f>
        <v>0</v>
      </c>
      <c r="J226" s="4"/>
      <c r="K226" s="4"/>
      <c r="L226" s="1">
        <v>-0.3382</v>
      </c>
      <c r="M226" s="1">
        <v>14.34</v>
      </c>
      <c r="N226" s="1">
        <v>77.14</v>
      </c>
      <c r="O226" s="1">
        <v>2.204</v>
      </c>
      <c r="P226" s="4"/>
      <c r="Q226" s="4"/>
      <c r="R226" s="1" t="s">
        <v>89</v>
      </c>
      <c r="S226" s="1" t="s">
        <v>1093</v>
      </c>
      <c r="T226" s="1" t="s">
        <v>158</v>
      </c>
      <c r="U226" s="1">
        <v>11.0</v>
      </c>
      <c r="V226" s="5" t="s">
        <v>1092</v>
      </c>
      <c r="W226" s="1" t="s">
        <v>1093</v>
      </c>
      <c r="X226" s="1" t="s">
        <v>1095</v>
      </c>
      <c r="Y226" s="1" t="s">
        <v>1096</v>
      </c>
      <c r="Z226" s="1" t="s">
        <v>1097</v>
      </c>
      <c r="AA226" s="4" t="b">
        <f>IFERROR(__xludf.DUMMYFUNCTION("IF(X226="""",,REGEXMATCH(X226,""[א-ת]""))"),TRUE)</f>
        <v>1</v>
      </c>
      <c r="AB226" s="1">
        <v>6.26</v>
      </c>
      <c r="AC226" s="1">
        <v>88.57</v>
      </c>
      <c r="AD226" s="1">
        <v>0.279403645679166</v>
      </c>
      <c r="AE226" s="1">
        <v>0.0</v>
      </c>
      <c r="AF226" s="1">
        <v>-0.3182</v>
      </c>
      <c r="AG226" s="1">
        <v>6.337</v>
      </c>
      <c r="AH226" s="1">
        <v>6.781</v>
      </c>
      <c r="AI226" s="1" t="b">
        <v>0</v>
      </c>
      <c r="AJ226" s="1" t="b">
        <v>1</v>
      </c>
      <c r="AK226" s="1">
        <v>94.182</v>
      </c>
      <c r="AL226" s="1">
        <v>96.508</v>
      </c>
      <c r="AM226" s="1" t="b">
        <v>0</v>
      </c>
      <c r="AN226" s="1" t="b">
        <v>0</v>
      </c>
      <c r="AO226" s="1">
        <v>8.05</v>
      </c>
      <c r="AP226" s="1">
        <v>8.53399999999999</v>
      </c>
      <c r="AQ226" s="1" t="b">
        <v>0</v>
      </c>
      <c r="AR226" s="1" t="b">
        <v>1</v>
      </c>
      <c r="AS226" s="1">
        <v>86.9179999999999</v>
      </c>
      <c r="AT226" s="1">
        <v>87.152</v>
      </c>
      <c r="AU226" s="1" t="b">
        <v>0</v>
      </c>
      <c r="AV226" s="1" t="b">
        <v>1</v>
      </c>
      <c r="AW226" s="1">
        <v>9.61399999999999</v>
      </c>
      <c r="AX226" s="1">
        <v>11.026</v>
      </c>
      <c r="AY226" s="1" t="b">
        <v>0</v>
      </c>
      <c r="AZ226" s="1" t="b">
        <v>1</v>
      </c>
      <c r="BA226" s="1">
        <v>81.25</v>
      </c>
      <c r="BB226" s="1">
        <v>77.78</v>
      </c>
      <c r="BC226" s="1" t="b">
        <v>0</v>
      </c>
      <c r="BD226" s="1" t="b">
        <v>1</v>
      </c>
      <c r="BE226" s="1">
        <v>11.34</v>
      </c>
      <c r="BF226" s="1">
        <v>13.285</v>
      </c>
      <c r="BG226" s="1" t="b">
        <v>0</v>
      </c>
      <c r="BH226" s="1" t="b">
        <v>1</v>
      </c>
      <c r="BI226" s="1">
        <v>77.78</v>
      </c>
      <c r="BJ226" s="1">
        <v>75.0</v>
      </c>
      <c r="BK226" s="1" t="b">
        <v>0</v>
      </c>
      <c r="BL226" s="1" t="b">
        <v>1</v>
      </c>
      <c r="BM226" s="1">
        <v>13.121</v>
      </c>
      <c r="BN226" s="1">
        <v>14.568</v>
      </c>
      <c r="BO226" s="1" t="b">
        <v>0</v>
      </c>
      <c r="BP226" s="1" t="b">
        <v>1</v>
      </c>
      <c r="BQ226" s="1">
        <v>75.0</v>
      </c>
      <c r="BR226" s="1">
        <v>72.027</v>
      </c>
      <c r="BS226" s="1" t="b">
        <v>1</v>
      </c>
      <c r="BT226" s="1" t="b">
        <v>1</v>
      </c>
      <c r="BU226" s="1" t="s">
        <v>157</v>
      </c>
      <c r="BV226" s="1" t="s">
        <v>105</v>
      </c>
      <c r="BW226" s="1" t="s">
        <v>157</v>
      </c>
      <c r="BX226" s="1" t="s">
        <v>157</v>
      </c>
      <c r="BY226" s="1" t="s">
        <v>157</v>
      </c>
      <c r="BZ226" s="1" t="s">
        <v>157</v>
      </c>
      <c r="CA226" s="1" t="s">
        <v>157</v>
      </c>
      <c r="CB226" s="1" t="s">
        <v>157</v>
      </c>
      <c r="CC226" s="1" t="s">
        <v>157</v>
      </c>
      <c r="CD226" s="1" t="s">
        <v>104</v>
      </c>
      <c r="CE226" s="4"/>
      <c r="CF226" s="4"/>
    </row>
    <row r="227" hidden="1">
      <c r="A227" s="1" t="s">
        <v>82</v>
      </c>
      <c r="B227" s="1" t="s">
        <v>83</v>
      </c>
      <c r="C227" s="1">
        <v>12.0</v>
      </c>
      <c r="D227" s="5" t="s">
        <v>1098</v>
      </c>
      <c r="E227" s="1" t="s">
        <v>1099</v>
      </c>
      <c r="F227" s="1">
        <v>56.0</v>
      </c>
      <c r="G227" s="1">
        <v>0.2677</v>
      </c>
      <c r="H227" s="1" t="s">
        <v>1100</v>
      </c>
      <c r="I227" s="4" t="b">
        <f>IFERROR(__xludf.DUMMYFUNCTION("IF(H227="""",,REGEXMATCH(H227,""[א-ת]""))"),FALSE)</f>
        <v>0</v>
      </c>
      <c r="J227" s="4"/>
      <c r="K227" s="4"/>
      <c r="L227" s="1">
        <v>0.8225</v>
      </c>
      <c r="M227" s="1">
        <v>14.37</v>
      </c>
      <c r="N227" s="1">
        <v>73.21</v>
      </c>
      <c r="O227" s="1">
        <v>1.307321429</v>
      </c>
      <c r="P227" s="4"/>
      <c r="Q227" s="4"/>
      <c r="R227" s="1" t="s">
        <v>89</v>
      </c>
      <c r="S227" s="1" t="s">
        <v>1099</v>
      </c>
      <c r="T227" s="1" t="s">
        <v>83</v>
      </c>
      <c r="U227" s="1">
        <v>13.0</v>
      </c>
      <c r="V227" s="5" t="s">
        <v>1098</v>
      </c>
      <c r="W227" s="1" t="s">
        <v>1099</v>
      </c>
      <c r="X227" s="1" t="s">
        <v>1101</v>
      </c>
      <c r="Y227" s="4"/>
      <c r="Z227" s="4"/>
      <c r="AA227" s="4" t="b">
        <f>IFERROR(__xludf.DUMMYFUNCTION("IF(X227="""",,REGEXMATCH(X227,""[א-ת]""))"),TRUE)</f>
        <v>1</v>
      </c>
      <c r="AB227" s="1">
        <v>23.79</v>
      </c>
      <c r="AC227" s="1">
        <v>62.5</v>
      </c>
      <c r="AD227" s="1">
        <v>0.720868694835661</v>
      </c>
      <c r="AE227" s="1">
        <v>-0.431</v>
      </c>
      <c r="AF227" s="1">
        <v>0.2677</v>
      </c>
      <c r="AG227" s="1">
        <v>6.337</v>
      </c>
      <c r="AH227" s="1">
        <v>6.781</v>
      </c>
      <c r="AI227" s="1" t="b">
        <v>0</v>
      </c>
      <c r="AJ227" s="1" t="b">
        <v>0</v>
      </c>
      <c r="AK227" s="1">
        <v>94.182</v>
      </c>
      <c r="AL227" s="1">
        <v>96.508</v>
      </c>
      <c r="AM227" s="1" t="b">
        <v>0</v>
      </c>
      <c r="AN227" s="1" t="b">
        <v>0</v>
      </c>
      <c r="AO227" s="1">
        <v>8.05</v>
      </c>
      <c r="AP227" s="1">
        <v>8.53399999999999</v>
      </c>
      <c r="AQ227" s="1" t="b">
        <v>0</v>
      </c>
      <c r="AR227" s="1" t="b">
        <v>0</v>
      </c>
      <c r="AS227" s="1">
        <v>86.9179999999999</v>
      </c>
      <c r="AT227" s="1">
        <v>87.152</v>
      </c>
      <c r="AU227" s="1" t="b">
        <v>0</v>
      </c>
      <c r="AV227" s="1" t="b">
        <v>0</v>
      </c>
      <c r="AW227" s="1">
        <v>9.61399999999999</v>
      </c>
      <c r="AX227" s="1">
        <v>11.026</v>
      </c>
      <c r="AY227" s="1" t="b">
        <v>0</v>
      </c>
      <c r="AZ227" s="1" t="b">
        <v>0</v>
      </c>
      <c r="BA227" s="1">
        <v>81.25</v>
      </c>
      <c r="BB227" s="1">
        <v>77.78</v>
      </c>
      <c r="BC227" s="1" t="b">
        <v>0</v>
      </c>
      <c r="BD227" s="1" t="b">
        <v>0</v>
      </c>
      <c r="BE227" s="1">
        <v>11.34</v>
      </c>
      <c r="BF227" s="1">
        <v>13.285</v>
      </c>
      <c r="BG227" s="1" t="b">
        <v>0</v>
      </c>
      <c r="BH227" s="1" t="b">
        <v>0</v>
      </c>
      <c r="BI227" s="1">
        <v>77.78</v>
      </c>
      <c r="BJ227" s="1">
        <v>75.0</v>
      </c>
      <c r="BK227" s="1" t="b">
        <v>0</v>
      </c>
      <c r="BL227" s="1" t="b">
        <v>0</v>
      </c>
      <c r="BM227" s="1">
        <v>13.121</v>
      </c>
      <c r="BN227" s="1">
        <v>14.568</v>
      </c>
      <c r="BO227" s="1" t="b">
        <v>0</v>
      </c>
      <c r="BP227" s="1" t="b">
        <v>0</v>
      </c>
      <c r="BQ227" s="1">
        <v>75.0</v>
      </c>
      <c r="BR227" s="1">
        <v>72.027</v>
      </c>
      <c r="BS227" s="1" t="b">
        <v>0</v>
      </c>
      <c r="BT227" s="1" t="b">
        <v>0</v>
      </c>
      <c r="BU227" s="1" t="s">
        <v>105</v>
      </c>
      <c r="BV227" s="1" t="s">
        <v>105</v>
      </c>
      <c r="BW227" s="1" t="s">
        <v>105</v>
      </c>
      <c r="BX227" s="1" t="s">
        <v>105</v>
      </c>
      <c r="BY227" s="1" t="s">
        <v>105</v>
      </c>
      <c r="BZ227" s="1" t="s">
        <v>105</v>
      </c>
      <c r="CA227" s="1" t="s">
        <v>105</v>
      </c>
      <c r="CB227" s="1" t="s">
        <v>105</v>
      </c>
      <c r="CC227" s="1" t="s">
        <v>105</v>
      </c>
      <c r="CD227" s="1" t="s">
        <v>105</v>
      </c>
      <c r="CE227" s="4"/>
      <c r="CF227" s="4"/>
    </row>
    <row r="228" hidden="1">
      <c r="A228" s="1" t="s">
        <v>82</v>
      </c>
      <c r="B228" s="1" t="s">
        <v>123</v>
      </c>
      <c r="C228" s="1">
        <v>33.0</v>
      </c>
      <c r="D228" s="5" t="s">
        <v>1102</v>
      </c>
      <c r="E228" s="1" t="s">
        <v>1103</v>
      </c>
      <c r="F228" s="1">
        <v>27.0</v>
      </c>
      <c r="G228" s="1">
        <v>0.0</v>
      </c>
      <c r="H228" s="1" t="s">
        <v>1104</v>
      </c>
      <c r="I228" s="4" t="b">
        <f>IFERROR(__xludf.DUMMYFUNCTION("IF(H228="""",,REGEXMATCH(H228,""[א-ת]""))"),FALSE)</f>
        <v>0</v>
      </c>
      <c r="J228" s="4"/>
      <c r="K228" s="4"/>
      <c r="L228" s="1">
        <v>-0.5093</v>
      </c>
      <c r="M228" s="1">
        <v>14.39</v>
      </c>
      <c r="N228" s="1">
        <v>88.89</v>
      </c>
      <c r="O228" s="1">
        <v>3.292222222</v>
      </c>
      <c r="P228" s="4"/>
      <c r="Q228" s="4"/>
      <c r="R228" s="1" t="s">
        <v>127</v>
      </c>
      <c r="S228" s="1" t="s">
        <v>1103</v>
      </c>
      <c r="T228" s="1" t="s">
        <v>123</v>
      </c>
      <c r="U228" s="1">
        <v>34.0</v>
      </c>
      <c r="V228" s="5" t="s">
        <v>1102</v>
      </c>
      <c r="W228" s="1" t="s">
        <v>1103</v>
      </c>
      <c r="X228" s="1" t="s">
        <v>1105</v>
      </c>
      <c r="Y228" s="4"/>
      <c r="Z228" s="4"/>
      <c r="AA228" s="4" t="b">
        <f>IFERROR(__xludf.DUMMYFUNCTION("IF(X228="""",,REGEXMATCH(X228,""[א-ת]""))"),FALSE)</f>
        <v>0</v>
      </c>
      <c r="AB228" s="1">
        <v>16.14</v>
      </c>
      <c r="AC228" s="1">
        <v>85.19</v>
      </c>
      <c r="AD228" s="1">
        <v>0.35803935653553</v>
      </c>
      <c r="AE228" s="1">
        <v>-0.3164</v>
      </c>
      <c r="AF228" s="1">
        <v>0.0</v>
      </c>
      <c r="AG228" s="1">
        <v>6.337</v>
      </c>
      <c r="AH228" s="1">
        <v>6.781</v>
      </c>
      <c r="AI228" s="1" t="b">
        <v>0</v>
      </c>
      <c r="AJ228" s="1" t="b">
        <v>0</v>
      </c>
      <c r="AK228" s="1">
        <v>94.182</v>
      </c>
      <c r="AL228" s="1">
        <v>96.508</v>
      </c>
      <c r="AM228" s="1" t="b">
        <v>0</v>
      </c>
      <c r="AN228" s="1" t="b">
        <v>0</v>
      </c>
      <c r="AO228" s="1">
        <v>8.05</v>
      </c>
      <c r="AP228" s="1">
        <v>8.53399999999999</v>
      </c>
      <c r="AQ228" s="1" t="b">
        <v>0</v>
      </c>
      <c r="AR228" s="1" t="b">
        <v>0</v>
      </c>
      <c r="AS228" s="1">
        <v>86.9179999999999</v>
      </c>
      <c r="AT228" s="1">
        <v>87.152</v>
      </c>
      <c r="AU228" s="1" t="b">
        <v>1</v>
      </c>
      <c r="AV228" s="1" t="b">
        <v>0</v>
      </c>
      <c r="AW228" s="1">
        <v>9.61399999999999</v>
      </c>
      <c r="AX228" s="1">
        <v>11.026</v>
      </c>
      <c r="AY228" s="1" t="b">
        <v>0</v>
      </c>
      <c r="AZ228" s="1" t="b">
        <v>0</v>
      </c>
      <c r="BA228" s="1">
        <v>81.25</v>
      </c>
      <c r="BB228" s="1">
        <v>77.78</v>
      </c>
      <c r="BC228" s="1" t="b">
        <v>1</v>
      </c>
      <c r="BD228" s="1" t="b">
        <v>1</v>
      </c>
      <c r="BE228" s="1">
        <v>11.34</v>
      </c>
      <c r="BF228" s="1">
        <v>13.285</v>
      </c>
      <c r="BG228" s="1" t="b">
        <v>0</v>
      </c>
      <c r="BH228" s="1" t="b">
        <v>0</v>
      </c>
      <c r="BI228" s="1">
        <v>77.78</v>
      </c>
      <c r="BJ228" s="1">
        <v>75.0</v>
      </c>
      <c r="BK228" s="1" t="b">
        <v>1</v>
      </c>
      <c r="BL228" s="1" t="b">
        <v>1</v>
      </c>
      <c r="BM228" s="1">
        <v>13.121</v>
      </c>
      <c r="BN228" s="1">
        <v>14.568</v>
      </c>
      <c r="BO228" s="1" t="b">
        <v>0</v>
      </c>
      <c r="BP228" s="1" t="b">
        <v>0</v>
      </c>
      <c r="BQ228" s="1">
        <v>75.0</v>
      </c>
      <c r="BR228" s="1">
        <v>72.027</v>
      </c>
      <c r="BS228" s="1" t="b">
        <v>1</v>
      </c>
      <c r="BT228" s="1" t="b">
        <v>1</v>
      </c>
      <c r="BU228" s="1" t="s">
        <v>105</v>
      </c>
      <c r="BV228" s="1" t="s">
        <v>105</v>
      </c>
      <c r="BW228" s="1" t="s">
        <v>105</v>
      </c>
      <c r="BX228" s="1" t="s">
        <v>91</v>
      </c>
      <c r="BY228" s="1" t="s">
        <v>105</v>
      </c>
      <c r="BZ228" s="1" t="s">
        <v>104</v>
      </c>
      <c r="CA228" s="1" t="s">
        <v>105</v>
      </c>
      <c r="CB228" s="1" t="s">
        <v>104</v>
      </c>
      <c r="CC228" s="1" t="s">
        <v>105</v>
      </c>
      <c r="CD228" s="1" t="s">
        <v>104</v>
      </c>
      <c r="CE228" s="4"/>
      <c r="CF228" s="4"/>
    </row>
    <row r="229" hidden="1">
      <c r="A229" s="1" t="s">
        <v>82</v>
      </c>
      <c r="B229" s="1" t="s">
        <v>152</v>
      </c>
      <c r="C229" s="1">
        <v>24.0</v>
      </c>
      <c r="D229" s="5" t="s">
        <v>1106</v>
      </c>
      <c r="E229" s="1" t="s">
        <v>1107</v>
      </c>
      <c r="F229" s="1">
        <v>48.0</v>
      </c>
      <c r="G229" s="1">
        <v>0.0</v>
      </c>
      <c r="H229" s="1" t="s">
        <v>1108</v>
      </c>
      <c r="I229" s="4" t="b">
        <f>IFERROR(__xludf.DUMMYFUNCTION("IF(H229="""",,REGEXMATCH(H229,""[א-ת]""))"),FALSE)</f>
        <v>0</v>
      </c>
      <c r="J229" s="4"/>
      <c r="K229" s="4"/>
      <c r="L229" s="1">
        <v>0.0</v>
      </c>
      <c r="M229" s="1">
        <v>14.4</v>
      </c>
      <c r="N229" s="1">
        <v>70.83</v>
      </c>
      <c r="O229" s="1">
        <v>1.475625</v>
      </c>
      <c r="P229" s="4"/>
      <c r="Q229" s="4"/>
      <c r="R229" s="1" t="s">
        <v>89</v>
      </c>
      <c r="S229" s="1" t="s">
        <v>1107</v>
      </c>
      <c r="T229" s="1" t="s">
        <v>152</v>
      </c>
      <c r="U229" s="1">
        <v>25.0</v>
      </c>
      <c r="V229" s="5" t="s">
        <v>1106</v>
      </c>
      <c r="W229" s="1" t="s">
        <v>1107</v>
      </c>
      <c r="X229" s="1" t="s">
        <v>1109</v>
      </c>
      <c r="Y229" s="4"/>
      <c r="Z229" s="4"/>
      <c r="AA229" s="4" t="b">
        <f>IFERROR(__xludf.DUMMYFUNCTION("IF(X229="""",,REGEXMATCH(X229,""[א-ת]""))"),FALSE)</f>
        <v>0</v>
      </c>
      <c r="AB229" s="1">
        <v>22.48</v>
      </c>
      <c r="AC229" s="1">
        <v>64.58</v>
      </c>
      <c r="AD229" s="1">
        <v>0.706138765144506</v>
      </c>
      <c r="AE229" s="1">
        <v>-0.296</v>
      </c>
      <c r="AF229" s="1">
        <v>0.0</v>
      </c>
      <c r="AG229" s="1">
        <v>6.337</v>
      </c>
      <c r="AH229" s="1">
        <v>6.781</v>
      </c>
      <c r="AI229" s="1" t="b">
        <v>0</v>
      </c>
      <c r="AJ229" s="1" t="b">
        <v>0</v>
      </c>
      <c r="AK229" s="1">
        <v>94.182</v>
      </c>
      <c r="AL229" s="1">
        <v>96.508</v>
      </c>
      <c r="AM229" s="1" t="b">
        <v>0</v>
      </c>
      <c r="AN229" s="1" t="b">
        <v>0</v>
      </c>
      <c r="AO229" s="1">
        <v>8.05</v>
      </c>
      <c r="AP229" s="1">
        <v>8.53399999999999</v>
      </c>
      <c r="AQ229" s="1" t="b">
        <v>0</v>
      </c>
      <c r="AR229" s="1" t="b">
        <v>0</v>
      </c>
      <c r="AS229" s="1">
        <v>86.9179999999999</v>
      </c>
      <c r="AT229" s="1">
        <v>87.152</v>
      </c>
      <c r="AU229" s="1" t="b">
        <v>0</v>
      </c>
      <c r="AV229" s="1" t="b">
        <v>0</v>
      </c>
      <c r="AW229" s="1">
        <v>9.61399999999999</v>
      </c>
      <c r="AX229" s="1">
        <v>11.026</v>
      </c>
      <c r="AY229" s="1" t="b">
        <v>0</v>
      </c>
      <c r="AZ229" s="1" t="b">
        <v>0</v>
      </c>
      <c r="BA229" s="1">
        <v>81.25</v>
      </c>
      <c r="BB229" s="1">
        <v>77.78</v>
      </c>
      <c r="BC229" s="1" t="b">
        <v>0</v>
      </c>
      <c r="BD229" s="1" t="b">
        <v>0</v>
      </c>
      <c r="BE229" s="1">
        <v>11.34</v>
      </c>
      <c r="BF229" s="1">
        <v>13.285</v>
      </c>
      <c r="BG229" s="1" t="b">
        <v>0</v>
      </c>
      <c r="BH229" s="1" t="b">
        <v>0</v>
      </c>
      <c r="BI229" s="1">
        <v>77.78</v>
      </c>
      <c r="BJ229" s="1">
        <v>75.0</v>
      </c>
      <c r="BK229" s="1" t="b">
        <v>0</v>
      </c>
      <c r="BL229" s="1" t="b">
        <v>0</v>
      </c>
      <c r="BM229" s="1">
        <v>13.121</v>
      </c>
      <c r="BN229" s="1">
        <v>14.568</v>
      </c>
      <c r="BO229" s="1" t="b">
        <v>0</v>
      </c>
      <c r="BP229" s="1" t="b">
        <v>0</v>
      </c>
      <c r="BQ229" s="1">
        <v>75.0</v>
      </c>
      <c r="BR229" s="1">
        <v>72.027</v>
      </c>
      <c r="BS229" s="1" t="b">
        <v>0</v>
      </c>
      <c r="BT229" s="1" t="b">
        <v>0</v>
      </c>
      <c r="BU229" s="1" t="s">
        <v>105</v>
      </c>
      <c r="BV229" s="1" t="s">
        <v>105</v>
      </c>
      <c r="BW229" s="1" t="s">
        <v>105</v>
      </c>
      <c r="BX229" s="1" t="s">
        <v>105</v>
      </c>
      <c r="BY229" s="1" t="s">
        <v>105</v>
      </c>
      <c r="BZ229" s="1" t="s">
        <v>105</v>
      </c>
      <c r="CA229" s="1" t="s">
        <v>105</v>
      </c>
      <c r="CB229" s="1" t="s">
        <v>105</v>
      </c>
      <c r="CC229" s="1" t="s">
        <v>105</v>
      </c>
      <c r="CD229" s="1" t="s">
        <v>105</v>
      </c>
      <c r="CE229" s="4"/>
      <c r="CF229" s="4"/>
    </row>
    <row r="230" hidden="1">
      <c r="A230" s="1" t="s">
        <v>82</v>
      </c>
      <c r="B230" s="1" t="s">
        <v>123</v>
      </c>
      <c r="C230" s="1">
        <v>14.0</v>
      </c>
      <c r="D230" s="5" t="s">
        <v>1110</v>
      </c>
      <c r="E230" s="1" t="s">
        <v>1111</v>
      </c>
      <c r="F230" s="1">
        <v>23.0</v>
      </c>
      <c r="G230" s="1">
        <v>-0.4215</v>
      </c>
      <c r="H230" s="1" t="s">
        <v>1112</v>
      </c>
      <c r="I230" s="4" t="b">
        <f>IFERROR(__xludf.DUMMYFUNCTION("IF(H230="""",,REGEXMATCH(H230,""[א-ת]""))"),FALSE)</f>
        <v>0</v>
      </c>
      <c r="J230" s="4"/>
      <c r="K230" s="4"/>
      <c r="L230" s="1">
        <v>0.0</v>
      </c>
      <c r="M230" s="1">
        <v>14.52</v>
      </c>
      <c r="N230" s="1">
        <v>60.87</v>
      </c>
      <c r="O230" s="1">
        <v>2.646521739</v>
      </c>
      <c r="P230" s="4"/>
      <c r="Q230" s="4"/>
      <c r="R230" s="1" t="s">
        <v>127</v>
      </c>
      <c r="S230" s="1" t="s">
        <v>1111</v>
      </c>
      <c r="T230" s="1" t="s">
        <v>123</v>
      </c>
      <c r="U230" s="1">
        <v>15.0</v>
      </c>
      <c r="V230" s="5" t="s">
        <v>1110</v>
      </c>
      <c r="W230" s="1" t="s">
        <v>1111</v>
      </c>
      <c r="X230" s="1" t="s">
        <v>1113</v>
      </c>
      <c r="Y230" s="4"/>
      <c r="Z230" s="4"/>
      <c r="AA230" s="4" t="b">
        <f>IFERROR(__xludf.DUMMYFUNCTION("IF(X230="""",,REGEXMATCH(X230,""[א-ת]""))"),FALSE)</f>
        <v>0</v>
      </c>
      <c r="AB230" s="1">
        <v>21.27</v>
      </c>
      <c r="AC230" s="1">
        <v>52.17</v>
      </c>
      <c r="AD230" s="1">
        <v>0.645018906930477</v>
      </c>
      <c r="AE230" s="1">
        <v>-0.4215</v>
      </c>
      <c r="AF230" s="1">
        <v>-0.4215</v>
      </c>
      <c r="AG230" s="1">
        <v>6.337</v>
      </c>
      <c r="AH230" s="1">
        <v>6.781</v>
      </c>
      <c r="AI230" s="1" t="b">
        <v>0</v>
      </c>
      <c r="AJ230" s="1" t="b">
        <v>0</v>
      </c>
      <c r="AK230" s="1">
        <v>94.182</v>
      </c>
      <c r="AL230" s="1">
        <v>96.508</v>
      </c>
      <c r="AM230" s="1" t="b">
        <v>0</v>
      </c>
      <c r="AN230" s="1" t="b">
        <v>0</v>
      </c>
      <c r="AO230" s="1">
        <v>8.05</v>
      </c>
      <c r="AP230" s="1">
        <v>8.53399999999999</v>
      </c>
      <c r="AQ230" s="1" t="b">
        <v>0</v>
      </c>
      <c r="AR230" s="1" t="b">
        <v>0</v>
      </c>
      <c r="AS230" s="1">
        <v>86.9179999999999</v>
      </c>
      <c r="AT230" s="1">
        <v>87.152</v>
      </c>
      <c r="AU230" s="1" t="b">
        <v>0</v>
      </c>
      <c r="AV230" s="1" t="b">
        <v>0</v>
      </c>
      <c r="AW230" s="1">
        <v>9.61399999999999</v>
      </c>
      <c r="AX230" s="1">
        <v>11.026</v>
      </c>
      <c r="AY230" s="1" t="b">
        <v>0</v>
      </c>
      <c r="AZ230" s="1" t="b">
        <v>0</v>
      </c>
      <c r="BA230" s="1">
        <v>81.25</v>
      </c>
      <c r="BB230" s="1">
        <v>77.78</v>
      </c>
      <c r="BC230" s="1" t="b">
        <v>0</v>
      </c>
      <c r="BD230" s="1" t="b">
        <v>0</v>
      </c>
      <c r="BE230" s="1">
        <v>11.34</v>
      </c>
      <c r="BF230" s="1">
        <v>13.285</v>
      </c>
      <c r="BG230" s="1" t="b">
        <v>0</v>
      </c>
      <c r="BH230" s="1" t="b">
        <v>0</v>
      </c>
      <c r="BI230" s="1">
        <v>77.78</v>
      </c>
      <c r="BJ230" s="1">
        <v>75.0</v>
      </c>
      <c r="BK230" s="1" t="b">
        <v>0</v>
      </c>
      <c r="BL230" s="1" t="b">
        <v>0</v>
      </c>
      <c r="BM230" s="1">
        <v>13.121</v>
      </c>
      <c r="BN230" s="1">
        <v>14.568</v>
      </c>
      <c r="BO230" s="1" t="b">
        <v>0</v>
      </c>
      <c r="BP230" s="1" t="b">
        <v>0</v>
      </c>
      <c r="BQ230" s="1">
        <v>75.0</v>
      </c>
      <c r="BR230" s="1">
        <v>72.027</v>
      </c>
      <c r="BS230" s="1" t="b">
        <v>0</v>
      </c>
      <c r="BT230" s="1" t="b">
        <v>0</v>
      </c>
      <c r="BU230" s="1" t="s">
        <v>105</v>
      </c>
      <c r="BV230" s="1" t="s">
        <v>105</v>
      </c>
      <c r="BW230" s="1" t="s">
        <v>105</v>
      </c>
      <c r="BX230" s="1" t="s">
        <v>105</v>
      </c>
      <c r="BY230" s="1" t="s">
        <v>105</v>
      </c>
      <c r="BZ230" s="1" t="s">
        <v>105</v>
      </c>
      <c r="CA230" s="1" t="s">
        <v>105</v>
      </c>
      <c r="CB230" s="1" t="s">
        <v>105</v>
      </c>
      <c r="CC230" s="1" t="s">
        <v>105</v>
      </c>
      <c r="CD230" s="1" t="s">
        <v>105</v>
      </c>
      <c r="CE230" s="4"/>
      <c r="CF230" s="4"/>
    </row>
    <row r="231" hidden="1">
      <c r="A231" s="1" t="s">
        <v>82</v>
      </c>
      <c r="B231" s="1" t="s">
        <v>631</v>
      </c>
      <c r="C231" s="1">
        <v>13.0</v>
      </c>
      <c r="D231" s="5" t="s">
        <v>1114</v>
      </c>
      <c r="E231" s="1" t="s">
        <v>1115</v>
      </c>
      <c r="F231" s="1">
        <v>34.0</v>
      </c>
      <c r="G231" s="1">
        <v>-0.3506</v>
      </c>
      <c r="H231" s="1" t="s">
        <v>1116</v>
      </c>
      <c r="I231" s="4" t="b">
        <f>IFERROR(__xludf.DUMMYFUNCTION("IF(H231="""",,REGEXMATCH(H231,""[א-ת]""))"),FALSE)</f>
        <v>0</v>
      </c>
      <c r="J231" s="4"/>
      <c r="K231" s="4"/>
      <c r="L231" s="1">
        <v>0.0</v>
      </c>
      <c r="M231" s="1">
        <v>14.54</v>
      </c>
      <c r="N231" s="1">
        <v>50.0</v>
      </c>
      <c r="O231" s="1">
        <v>1.470588235</v>
      </c>
      <c r="P231" s="4"/>
      <c r="Q231" s="4"/>
      <c r="R231" s="1" t="s">
        <v>89</v>
      </c>
      <c r="S231" s="1" t="s">
        <v>1115</v>
      </c>
      <c r="T231" s="1" t="s">
        <v>631</v>
      </c>
      <c r="U231" s="1">
        <v>14.0</v>
      </c>
      <c r="V231" s="5" t="s">
        <v>1114</v>
      </c>
      <c r="W231" s="1" t="s">
        <v>1115</v>
      </c>
      <c r="X231" s="1" t="s">
        <v>1117</v>
      </c>
      <c r="Y231" s="4"/>
      <c r="Z231" s="4"/>
      <c r="AA231" s="4" t="b">
        <f>IFERROR(__xludf.DUMMYFUNCTION("IF(X231="""",,REGEXMATCH(X231,""[א-ת]""))"),FALSE)</f>
        <v>0</v>
      </c>
      <c r="AB231" s="1">
        <v>13.54</v>
      </c>
      <c r="AC231" s="1">
        <v>50.0</v>
      </c>
      <c r="AD231" s="1">
        <v>0.394804693193482</v>
      </c>
      <c r="AE231" s="1">
        <v>0.0</v>
      </c>
      <c r="AF231" s="1">
        <v>-0.3506</v>
      </c>
      <c r="AG231" s="1">
        <v>6.337</v>
      </c>
      <c r="AH231" s="1">
        <v>6.781</v>
      </c>
      <c r="AI231" s="1" t="b">
        <v>0</v>
      </c>
      <c r="AJ231" s="1" t="b">
        <v>0</v>
      </c>
      <c r="AK231" s="1">
        <v>94.182</v>
      </c>
      <c r="AL231" s="1">
        <v>96.508</v>
      </c>
      <c r="AM231" s="1" t="b">
        <v>0</v>
      </c>
      <c r="AN231" s="1" t="b">
        <v>0</v>
      </c>
      <c r="AO231" s="1">
        <v>8.05</v>
      </c>
      <c r="AP231" s="1">
        <v>8.53399999999999</v>
      </c>
      <c r="AQ231" s="1" t="b">
        <v>0</v>
      </c>
      <c r="AR231" s="1" t="b">
        <v>0</v>
      </c>
      <c r="AS231" s="1">
        <v>86.9179999999999</v>
      </c>
      <c r="AT231" s="1">
        <v>87.152</v>
      </c>
      <c r="AU231" s="1" t="b">
        <v>0</v>
      </c>
      <c r="AV231" s="1" t="b">
        <v>0</v>
      </c>
      <c r="AW231" s="1">
        <v>9.61399999999999</v>
      </c>
      <c r="AX231" s="1">
        <v>11.026</v>
      </c>
      <c r="AY231" s="1" t="b">
        <v>0</v>
      </c>
      <c r="AZ231" s="1" t="b">
        <v>0</v>
      </c>
      <c r="BA231" s="1">
        <v>81.25</v>
      </c>
      <c r="BB231" s="1">
        <v>77.78</v>
      </c>
      <c r="BC231" s="1" t="b">
        <v>0</v>
      </c>
      <c r="BD231" s="1" t="b">
        <v>0</v>
      </c>
      <c r="BE231" s="1">
        <v>11.34</v>
      </c>
      <c r="BF231" s="1">
        <v>13.285</v>
      </c>
      <c r="BG231" s="1" t="b">
        <v>0</v>
      </c>
      <c r="BH231" s="1" t="b">
        <v>0</v>
      </c>
      <c r="BI231" s="1">
        <v>77.78</v>
      </c>
      <c r="BJ231" s="1">
        <v>75.0</v>
      </c>
      <c r="BK231" s="1" t="b">
        <v>0</v>
      </c>
      <c r="BL231" s="1" t="b">
        <v>0</v>
      </c>
      <c r="BM231" s="1">
        <v>13.121</v>
      </c>
      <c r="BN231" s="1">
        <v>14.568</v>
      </c>
      <c r="BO231" s="1" t="b">
        <v>0</v>
      </c>
      <c r="BP231" s="1" t="b">
        <v>1</v>
      </c>
      <c r="BQ231" s="1">
        <v>75.0</v>
      </c>
      <c r="BR231" s="1">
        <v>72.027</v>
      </c>
      <c r="BS231" s="1" t="b">
        <v>0</v>
      </c>
      <c r="BT231" s="1" t="b">
        <v>0</v>
      </c>
      <c r="BU231" s="1" t="s">
        <v>105</v>
      </c>
      <c r="BV231" s="1" t="s">
        <v>105</v>
      </c>
      <c r="BW231" s="1" t="s">
        <v>105</v>
      </c>
      <c r="BX231" s="1" t="s">
        <v>105</v>
      </c>
      <c r="BY231" s="1" t="s">
        <v>105</v>
      </c>
      <c r="BZ231" s="1" t="s">
        <v>105</v>
      </c>
      <c r="CA231" s="1" t="s">
        <v>105</v>
      </c>
      <c r="CB231" s="1" t="s">
        <v>105</v>
      </c>
      <c r="CC231" s="1" t="s">
        <v>157</v>
      </c>
      <c r="CD231" s="1" t="s">
        <v>105</v>
      </c>
      <c r="CE231" s="4"/>
      <c r="CF231" s="4"/>
    </row>
    <row r="232" hidden="1">
      <c r="A232" s="1" t="s">
        <v>82</v>
      </c>
      <c r="B232" s="1" t="s">
        <v>251</v>
      </c>
      <c r="C232" s="1">
        <v>12.0</v>
      </c>
      <c r="D232" s="5" t="s">
        <v>1118</v>
      </c>
      <c r="E232" s="1" t="s">
        <v>1119</v>
      </c>
      <c r="F232" s="1">
        <v>28.0</v>
      </c>
      <c r="G232" s="1">
        <v>0.0</v>
      </c>
      <c r="H232" s="1" t="s">
        <v>1120</v>
      </c>
      <c r="I232" s="4" t="b">
        <f>IFERROR(__xludf.DUMMYFUNCTION("IF(H232="""",,REGEXMATCH(H232,""[א-ת]""))"),FALSE)</f>
        <v>0</v>
      </c>
      <c r="J232" s="4"/>
      <c r="K232" s="4"/>
      <c r="L232" s="1">
        <v>0.0</v>
      </c>
      <c r="M232" s="1">
        <v>14.6</v>
      </c>
      <c r="N232" s="1">
        <v>57.14</v>
      </c>
      <c r="O232" s="1">
        <v>2.040714286</v>
      </c>
      <c r="P232" s="4"/>
      <c r="Q232" s="4"/>
      <c r="R232" s="1" t="s">
        <v>89</v>
      </c>
      <c r="S232" s="1" t="s">
        <v>1119</v>
      </c>
      <c r="T232" s="1" t="s">
        <v>251</v>
      </c>
      <c r="U232" s="1">
        <v>13.0</v>
      </c>
      <c r="V232" s="5" t="s">
        <v>1118</v>
      </c>
      <c r="W232" s="1" t="s">
        <v>1119</v>
      </c>
      <c r="X232" s="1" t="s">
        <v>1121</v>
      </c>
      <c r="Y232" s="4"/>
      <c r="Z232" s="4"/>
      <c r="AA232" s="4" t="b">
        <f>IFERROR(__xludf.DUMMYFUNCTION("IF(X232="""",,REGEXMATCH(X232,""[א-ת]""))"),FALSE)</f>
        <v>0</v>
      </c>
      <c r="AB232" s="1">
        <v>10.04</v>
      </c>
      <c r="AC232" s="1">
        <v>60.71</v>
      </c>
      <c r="AD232" s="1">
        <v>0.421050472928598</v>
      </c>
      <c r="AE232" s="1">
        <v>0.0</v>
      </c>
      <c r="AF232" s="1">
        <v>0.0</v>
      </c>
      <c r="AG232" s="1">
        <v>6.337</v>
      </c>
      <c r="AH232" s="1">
        <v>6.781</v>
      </c>
      <c r="AI232" s="1" t="b">
        <v>0</v>
      </c>
      <c r="AJ232" s="1" t="b">
        <v>0</v>
      </c>
      <c r="AK232" s="1">
        <v>94.182</v>
      </c>
      <c r="AL232" s="1">
        <v>96.508</v>
      </c>
      <c r="AM232" s="1" t="b">
        <v>0</v>
      </c>
      <c r="AN232" s="1" t="b">
        <v>0</v>
      </c>
      <c r="AO232" s="1">
        <v>8.05</v>
      </c>
      <c r="AP232" s="1">
        <v>8.53399999999999</v>
      </c>
      <c r="AQ232" s="1" t="b">
        <v>0</v>
      </c>
      <c r="AR232" s="1" t="b">
        <v>0</v>
      </c>
      <c r="AS232" s="1">
        <v>86.9179999999999</v>
      </c>
      <c r="AT232" s="1">
        <v>87.152</v>
      </c>
      <c r="AU232" s="1" t="b">
        <v>0</v>
      </c>
      <c r="AV232" s="1" t="b">
        <v>0</v>
      </c>
      <c r="AW232" s="1">
        <v>9.61399999999999</v>
      </c>
      <c r="AX232" s="1">
        <v>11.026</v>
      </c>
      <c r="AY232" s="1" t="b">
        <v>0</v>
      </c>
      <c r="AZ232" s="1" t="b">
        <v>1</v>
      </c>
      <c r="BA232" s="1">
        <v>81.25</v>
      </c>
      <c r="BB232" s="1">
        <v>77.78</v>
      </c>
      <c r="BC232" s="1" t="b">
        <v>0</v>
      </c>
      <c r="BD232" s="1" t="b">
        <v>0</v>
      </c>
      <c r="BE232" s="1">
        <v>11.34</v>
      </c>
      <c r="BF232" s="1">
        <v>13.285</v>
      </c>
      <c r="BG232" s="1" t="b">
        <v>0</v>
      </c>
      <c r="BH232" s="1" t="b">
        <v>1</v>
      </c>
      <c r="BI232" s="1">
        <v>77.78</v>
      </c>
      <c r="BJ232" s="1">
        <v>75.0</v>
      </c>
      <c r="BK232" s="1" t="b">
        <v>0</v>
      </c>
      <c r="BL232" s="1" t="b">
        <v>0</v>
      </c>
      <c r="BM232" s="1">
        <v>13.121</v>
      </c>
      <c r="BN232" s="1">
        <v>14.568</v>
      </c>
      <c r="BO232" s="1" t="b">
        <v>0</v>
      </c>
      <c r="BP232" s="1" t="b">
        <v>1</v>
      </c>
      <c r="BQ232" s="1">
        <v>75.0</v>
      </c>
      <c r="BR232" s="1">
        <v>72.027</v>
      </c>
      <c r="BS232" s="1" t="b">
        <v>0</v>
      </c>
      <c r="BT232" s="1" t="b">
        <v>0</v>
      </c>
      <c r="BU232" s="1" t="s">
        <v>105</v>
      </c>
      <c r="BV232" s="1" t="s">
        <v>105</v>
      </c>
      <c r="BW232" s="1" t="s">
        <v>105</v>
      </c>
      <c r="BX232" s="1" t="s">
        <v>105</v>
      </c>
      <c r="BY232" s="1" t="s">
        <v>157</v>
      </c>
      <c r="BZ232" s="1" t="s">
        <v>105</v>
      </c>
      <c r="CA232" s="1" t="s">
        <v>157</v>
      </c>
      <c r="CB232" s="1" t="s">
        <v>105</v>
      </c>
      <c r="CC232" s="1" t="s">
        <v>157</v>
      </c>
      <c r="CD232" s="1" t="s">
        <v>105</v>
      </c>
      <c r="CE232" s="4"/>
      <c r="CF232" s="4"/>
    </row>
    <row r="233" hidden="1">
      <c r="A233" s="1" t="s">
        <v>82</v>
      </c>
      <c r="B233" s="1" t="s">
        <v>92</v>
      </c>
      <c r="C233" s="1">
        <v>36.0</v>
      </c>
      <c r="D233" s="5" t="s">
        <v>1122</v>
      </c>
      <c r="E233" s="1" t="s">
        <v>1123</v>
      </c>
      <c r="F233" s="1">
        <v>29.0</v>
      </c>
      <c r="G233" s="1">
        <v>-0.1531</v>
      </c>
      <c r="H233" s="1" t="s">
        <v>1124</v>
      </c>
      <c r="I233" s="4" t="b">
        <f>IFERROR(__xludf.DUMMYFUNCTION("IF(H233="""",,REGEXMATCH(H233,""[א-ת]""))"),FALSE)</f>
        <v>0</v>
      </c>
      <c r="J233" s="4"/>
      <c r="K233" s="4"/>
      <c r="L233" s="1">
        <v>0.6249</v>
      </c>
      <c r="M233" s="1">
        <v>14.63</v>
      </c>
      <c r="N233" s="1">
        <v>62.07</v>
      </c>
      <c r="O233" s="1">
        <v>2.140344828</v>
      </c>
      <c r="P233" s="4"/>
      <c r="Q233" s="4"/>
      <c r="R233" s="1" t="s">
        <v>96</v>
      </c>
      <c r="S233" s="1" t="s">
        <v>1123</v>
      </c>
      <c r="T233" s="1" t="s">
        <v>92</v>
      </c>
      <c r="U233" s="1">
        <v>37.0</v>
      </c>
      <c r="V233" s="5" t="s">
        <v>1122</v>
      </c>
      <c r="W233" s="1" t="s">
        <v>1123</v>
      </c>
      <c r="X233" s="1" t="s">
        <v>1125</v>
      </c>
      <c r="Y233" s="4"/>
      <c r="Z233" s="4"/>
      <c r="AA233" s="4" t="b">
        <f>IFERROR(__xludf.DUMMYFUNCTION("IF(X233="""",,REGEXMATCH(X233,""[א-ת]""))"),FALSE)</f>
        <v>0</v>
      </c>
      <c r="AB233" s="1">
        <v>38.65</v>
      </c>
      <c r="AC233" s="1">
        <v>41.38</v>
      </c>
      <c r="AD233" s="1">
        <v>0.830971302986613</v>
      </c>
      <c r="AE233" s="1">
        <v>-0.1531</v>
      </c>
      <c r="AF233" s="1">
        <v>-0.1531</v>
      </c>
      <c r="AG233" s="1">
        <v>6.337</v>
      </c>
      <c r="AH233" s="1">
        <v>6.781</v>
      </c>
      <c r="AI233" s="1" t="b">
        <v>0</v>
      </c>
      <c r="AJ233" s="1" t="b">
        <v>0</v>
      </c>
      <c r="AK233" s="1">
        <v>94.182</v>
      </c>
      <c r="AL233" s="1">
        <v>96.508</v>
      </c>
      <c r="AM233" s="1" t="b">
        <v>0</v>
      </c>
      <c r="AN233" s="1" t="b">
        <v>0</v>
      </c>
      <c r="AO233" s="1">
        <v>8.05</v>
      </c>
      <c r="AP233" s="1">
        <v>8.53399999999999</v>
      </c>
      <c r="AQ233" s="1" t="b">
        <v>0</v>
      </c>
      <c r="AR233" s="1" t="b">
        <v>0</v>
      </c>
      <c r="AS233" s="1">
        <v>86.9179999999999</v>
      </c>
      <c r="AT233" s="1">
        <v>87.152</v>
      </c>
      <c r="AU233" s="1" t="b">
        <v>0</v>
      </c>
      <c r="AV233" s="1" t="b">
        <v>0</v>
      </c>
      <c r="AW233" s="1">
        <v>9.61399999999999</v>
      </c>
      <c r="AX233" s="1">
        <v>11.026</v>
      </c>
      <c r="AY233" s="1" t="b">
        <v>0</v>
      </c>
      <c r="AZ233" s="1" t="b">
        <v>0</v>
      </c>
      <c r="BA233" s="1">
        <v>81.25</v>
      </c>
      <c r="BB233" s="1">
        <v>77.78</v>
      </c>
      <c r="BC233" s="1" t="b">
        <v>0</v>
      </c>
      <c r="BD233" s="1" t="b">
        <v>0</v>
      </c>
      <c r="BE233" s="1">
        <v>11.34</v>
      </c>
      <c r="BF233" s="1">
        <v>13.285</v>
      </c>
      <c r="BG233" s="1" t="b">
        <v>0</v>
      </c>
      <c r="BH233" s="1" t="b">
        <v>0</v>
      </c>
      <c r="BI233" s="1">
        <v>77.78</v>
      </c>
      <c r="BJ233" s="1">
        <v>75.0</v>
      </c>
      <c r="BK233" s="1" t="b">
        <v>0</v>
      </c>
      <c r="BL233" s="1" t="b">
        <v>0</v>
      </c>
      <c r="BM233" s="1">
        <v>13.121</v>
      </c>
      <c r="BN233" s="1">
        <v>14.568</v>
      </c>
      <c r="BO233" s="1" t="b">
        <v>0</v>
      </c>
      <c r="BP233" s="1" t="b">
        <v>0</v>
      </c>
      <c r="BQ233" s="1">
        <v>75.0</v>
      </c>
      <c r="BR233" s="1">
        <v>72.027</v>
      </c>
      <c r="BS233" s="1" t="b">
        <v>0</v>
      </c>
      <c r="BT233" s="1" t="b">
        <v>0</v>
      </c>
      <c r="BU233" s="1" t="s">
        <v>105</v>
      </c>
      <c r="BV233" s="1" t="s">
        <v>105</v>
      </c>
      <c r="BW233" s="1" t="s">
        <v>105</v>
      </c>
      <c r="BX233" s="1" t="s">
        <v>105</v>
      </c>
      <c r="BY233" s="1" t="s">
        <v>105</v>
      </c>
      <c r="BZ233" s="1" t="s">
        <v>105</v>
      </c>
      <c r="CA233" s="1" t="s">
        <v>105</v>
      </c>
      <c r="CB233" s="1" t="s">
        <v>105</v>
      </c>
      <c r="CC233" s="1" t="s">
        <v>105</v>
      </c>
      <c r="CD233" s="1" t="s">
        <v>105</v>
      </c>
      <c r="CE233" s="4"/>
      <c r="CF233" s="4"/>
    </row>
    <row r="234" hidden="1">
      <c r="A234" s="1" t="s">
        <v>82</v>
      </c>
      <c r="B234" s="1" t="s">
        <v>139</v>
      </c>
      <c r="C234" s="1">
        <v>7.0</v>
      </c>
      <c r="D234" s="5" t="s">
        <v>1126</v>
      </c>
      <c r="E234" s="1" t="s">
        <v>1127</v>
      </c>
      <c r="F234" s="1">
        <v>31.0</v>
      </c>
      <c r="G234" s="1">
        <v>0.0</v>
      </c>
      <c r="H234" s="1" t="s">
        <v>1128</v>
      </c>
      <c r="I234" s="4" t="b">
        <f>IFERROR(__xludf.DUMMYFUNCTION("IF(H234="""",,REGEXMATCH(H234,""[א-ת]""))"),FALSE)</f>
        <v>0</v>
      </c>
      <c r="J234" s="4"/>
      <c r="K234" s="4"/>
      <c r="L234" s="1">
        <v>-0.4215</v>
      </c>
      <c r="M234" s="1">
        <v>14.65</v>
      </c>
      <c r="N234" s="1">
        <v>70.97</v>
      </c>
      <c r="O234" s="1">
        <v>2.289354839</v>
      </c>
      <c r="P234" s="4"/>
      <c r="Q234" s="4"/>
      <c r="R234" s="1" t="s">
        <v>96</v>
      </c>
      <c r="S234" s="1" t="s">
        <v>1127</v>
      </c>
      <c r="T234" s="1" t="s">
        <v>139</v>
      </c>
      <c r="U234" s="1">
        <v>8.0</v>
      </c>
      <c r="V234" s="5" t="s">
        <v>1126</v>
      </c>
      <c r="W234" s="1" t="s">
        <v>1127</v>
      </c>
      <c r="X234" s="1" t="s">
        <v>1129</v>
      </c>
      <c r="Y234" s="4"/>
      <c r="Z234" s="4"/>
      <c r="AA234" s="4" t="b">
        <f>IFERROR(__xludf.DUMMYFUNCTION("IF(X234="""",,REGEXMATCH(X234,""[א-ת]""))"),FALSE)</f>
        <v>0</v>
      </c>
      <c r="AB234" s="1">
        <v>23.72</v>
      </c>
      <c r="AC234" s="1">
        <v>41.94</v>
      </c>
      <c r="AD234" s="1">
        <v>0.39941268158787</v>
      </c>
      <c r="AE234" s="1">
        <v>-0.4215</v>
      </c>
      <c r="AF234" s="1">
        <v>0.0</v>
      </c>
      <c r="AG234" s="1">
        <v>6.337</v>
      </c>
      <c r="AH234" s="1">
        <v>6.781</v>
      </c>
      <c r="AI234" s="1" t="b">
        <v>0</v>
      </c>
      <c r="AJ234" s="1" t="b">
        <v>0</v>
      </c>
      <c r="AK234" s="1">
        <v>94.182</v>
      </c>
      <c r="AL234" s="1">
        <v>96.508</v>
      </c>
      <c r="AM234" s="1" t="b">
        <v>0</v>
      </c>
      <c r="AN234" s="1" t="b">
        <v>0</v>
      </c>
      <c r="AO234" s="1">
        <v>8.05</v>
      </c>
      <c r="AP234" s="1">
        <v>8.53399999999999</v>
      </c>
      <c r="AQ234" s="1" t="b">
        <v>0</v>
      </c>
      <c r="AR234" s="1" t="b">
        <v>0</v>
      </c>
      <c r="AS234" s="1">
        <v>86.9179999999999</v>
      </c>
      <c r="AT234" s="1">
        <v>87.152</v>
      </c>
      <c r="AU234" s="1" t="b">
        <v>0</v>
      </c>
      <c r="AV234" s="1" t="b">
        <v>0</v>
      </c>
      <c r="AW234" s="1">
        <v>9.61399999999999</v>
      </c>
      <c r="AX234" s="1">
        <v>11.026</v>
      </c>
      <c r="AY234" s="1" t="b">
        <v>0</v>
      </c>
      <c r="AZ234" s="1" t="b">
        <v>0</v>
      </c>
      <c r="BA234" s="1">
        <v>81.25</v>
      </c>
      <c r="BB234" s="1">
        <v>77.78</v>
      </c>
      <c r="BC234" s="1" t="b">
        <v>0</v>
      </c>
      <c r="BD234" s="1" t="b">
        <v>0</v>
      </c>
      <c r="BE234" s="1">
        <v>11.34</v>
      </c>
      <c r="BF234" s="1">
        <v>13.285</v>
      </c>
      <c r="BG234" s="1" t="b">
        <v>0</v>
      </c>
      <c r="BH234" s="1" t="b">
        <v>0</v>
      </c>
      <c r="BI234" s="1">
        <v>77.78</v>
      </c>
      <c r="BJ234" s="1">
        <v>75.0</v>
      </c>
      <c r="BK234" s="1" t="b">
        <v>0</v>
      </c>
      <c r="BL234" s="1" t="b">
        <v>0</v>
      </c>
      <c r="BM234" s="1">
        <v>13.121</v>
      </c>
      <c r="BN234" s="1">
        <v>14.568</v>
      </c>
      <c r="BO234" s="1" t="b">
        <v>0</v>
      </c>
      <c r="BP234" s="1" t="b">
        <v>0</v>
      </c>
      <c r="BQ234" s="1">
        <v>75.0</v>
      </c>
      <c r="BR234" s="1">
        <v>72.027</v>
      </c>
      <c r="BS234" s="1" t="b">
        <v>0</v>
      </c>
      <c r="BT234" s="1" t="b">
        <v>0</v>
      </c>
      <c r="BU234" s="1" t="s">
        <v>105</v>
      </c>
      <c r="BV234" s="1" t="s">
        <v>105</v>
      </c>
      <c r="BW234" s="1" t="s">
        <v>105</v>
      </c>
      <c r="BX234" s="1" t="s">
        <v>105</v>
      </c>
      <c r="BY234" s="1" t="s">
        <v>105</v>
      </c>
      <c r="BZ234" s="1" t="s">
        <v>105</v>
      </c>
      <c r="CA234" s="1" t="s">
        <v>105</v>
      </c>
      <c r="CB234" s="1" t="s">
        <v>105</v>
      </c>
      <c r="CC234" s="1" t="s">
        <v>105</v>
      </c>
      <c r="CD234" s="1" t="s">
        <v>105</v>
      </c>
      <c r="CE234" s="4"/>
      <c r="CF234" s="4"/>
    </row>
    <row r="235" hidden="1">
      <c r="A235" s="1" t="s">
        <v>82</v>
      </c>
      <c r="B235" s="1" t="s">
        <v>98</v>
      </c>
      <c r="C235" s="1">
        <v>8.0</v>
      </c>
      <c r="D235" s="5" t="s">
        <v>1130</v>
      </c>
      <c r="E235" s="1" t="s">
        <v>1131</v>
      </c>
      <c r="F235" s="1">
        <v>30.0</v>
      </c>
      <c r="G235" s="1">
        <v>0.0</v>
      </c>
      <c r="H235" s="1" t="s">
        <v>1132</v>
      </c>
      <c r="I235" s="4" t="b">
        <f>IFERROR(__xludf.DUMMYFUNCTION("IF(H235="""",,REGEXMATCH(H235,""[א-ת]""))"),FALSE)</f>
        <v>0</v>
      </c>
      <c r="J235" s="4"/>
      <c r="K235" s="4"/>
      <c r="L235" s="1">
        <v>0.0</v>
      </c>
      <c r="M235" s="1">
        <v>14.79</v>
      </c>
      <c r="N235" s="1">
        <v>60.0</v>
      </c>
      <c r="O235" s="1">
        <v>2.0</v>
      </c>
      <c r="P235" s="4"/>
      <c r="Q235" s="4"/>
      <c r="R235" s="1" t="s">
        <v>89</v>
      </c>
      <c r="S235" s="1" t="s">
        <v>1131</v>
      </c>
      <c r="T235" s="1" t="s">
        <v>98</v>
      </c>
      <c r="U235" s="1">
        <v>9.0</v>
      </c>
      <c r="V235" s="5" t="s">
        <v>1130</v>
      </c>
      <c r="W235" s="1" t="s">
        <v>1131</v>
      </c>
      <c r="X235" s="1" t="s">
        <v>1133</v>
      </c>
      <c r="Y235" s="4"/>
      <c r="Z235" s="4"/>
      <c r="AA235" s="4" t="b">
        <f>IFERROR(__xludf.DUMMYFUNCTION("IF(X235="""",,REGEXMATCH(X235,""[א-ת]""))"),FALSE)</f>
        <v>0</v>
      </c>
      <c r="AB235" s="1">
        <v>14.53</v>
      </c>
      <c r="AC235" s="1">
        <v>76.67</v>
      </c>
      <c r="AD235" s="1">
        <v>0.43458566370743</v>
      </c>
      <c r="AE235" s="1">
        <v>-0.4404</v>
      </c>
      <c r="AF235" s="1">
        <v>0.0</v>
      </c>
      <c r="AG235" s="1">
        <v>6.337</v>
      </c>
      <c r="AH235" s="1">
        <v>6.781</v>
      </c>
      <c r="AI235" s="1" t="b">
        <v>0</v>
      </c>
      <c r="AJ235" s="1" t="b">
        <v>0</v>
      </c>
      <c r="AK235" s="1">
        <v>94.182</v>
      </c>
      <c r="AL235" s="1">
        <v>96.508</v>
      </c>
      <c r="AM235" s="1" t="b">
        <v>0</v>
      </c>
      <c r="AN235" s="1" t="b">
        <v>0</v>
      </c>
      <c r="AO235" s="1">
        <v>8.05</v>
      </c>
      <c r="AP235" s="1">
        <v>8.53399999999999</v>
      </c>
      <c r="AQ235" s="1" t="b">
        <v>0</v>
      </c>
      <c r="AR235" s="1" t="b">
        <v>0</v>
      </c>
      <c r="AS235" s="1">
        <v>86.9179999999999</v>
      </c>
      <c r="AT235" s="1">
        <v>87.152</v>
      </c>
      <c r="AU235" s="1" t="b">
        <v>0</v>
      </c>
      <c r="AV235" s="1" t="b">
        <v>0</v>
      </c>
      <c r="AW235" s="1">
        <v>9.61399999999999</v>
      </c>
      <c r="AX235" s="1">
        <v>11.026</v>
      </c>
      <c r="AY235" s="1" t="b">
        <v>0</v>
      </c>
      <c r="AZ235" s="1" t="b">
        <v>0</v>
      </c>
      <c r="BA235" s="1">
        <v>81.25</v>
      </c>
      <c r="BB235" s="1">
        <v>77.78</v>
      </c>
      <c r="BC235" s="1" t="b">
        <v>0</v>
      </c>
      <c r="BD235" s="1" t="b">
        <v>0</v>
      </c>
      <c r="BE235" s="1">
        <v>11.34</v>
      </c>
      <c r="BF235" s="1">
        <v>13.285</v>
      </c>
      <c r="BG235" s="1" t="b">
        <v>0</v>
      </c>
      <c r="BH235" s="1" t="b">
        <v>0</v>
      </c>
      <c r="BI235" s="1">
        <v>77.78</v>
      </c>
      <c r="BJ235" s="1">
        <v>75.0</v>
      </c>
      <c r="BK235" s="1" t="b">
        <v>0</v>
      </c>
      <c r="BL235" s="1" t="b">
        <v>1</v>
      </c>
      <c r="BM235" s="1">
        <v>13.121</v>
      </c>
      <c r="BN235" s="1">
        <v>14.568</v>
      </c>
      <c r="BO235" s="1" t="b">
        <v>0</v>
      </c>
      <c r="BP235" s="1" t="b">
        <v>1</v>
      </c>
      <c r="BQ235" s="1">
        <v>75.0</v>
      </c>
      <c r="BR235" s="1">
        <v>72.027</v>
      </c>
      <c r="BS235" s="1" t="b">
        <v>0</v>
      </c>
      <c r="BT235" s="1" t="b">
        <v>1</v>
      </c>
      <c r="BU235" s="1" t="s">
        <v>105</v>
      </c>
      <c r="BV235" s="1" t="s">
        <v>105</v>
      </c>
      <c r="BW235" s="1" t="s">
        <v>105</v>
      </c>
      <c r="BX235" s="1" t="s">
        <v>105</v>
      </c>
      <c r="BY235" s="1" t="s">
        <v>105</v>
      </c>
      <c r="BZ235" s="1" t="s">
        <v>105</v>
      </c>
      <c r="CA235" s="1" t="s">
        <v>105</v>
      </c>
      <c r="CB235" s="1" t="s">
        <v>157</v>
      </c>
      <c r="CC235" s="1" t="s">
        <v>157</v>
      </c>
      <c r="CD235" s="1" t="s">
        <v>157</v>
      </c>
      <c r="CE235" s="4"/>
      <c r="CF235" s="4"/>
    </row>
    <row r="236">
      <c r="A236" s="1" t="s">
        <v>82</v>
      </c>
      <c r="B236" s="1" t="s">
        <v>111</v>
      </c>
      <c r="C236" s="1">
        <v>38.0</v>
      </c>
      <c r="D236" s="5" t="s">
        <v>1134</v>
      </c>
      <c r="E236" s="1" t="s">
        <v>1135</v>
      </c>
      <c r="F236" s="1">
        <v>9.0</v>
      </c>
      <c r="G236" s="1">
        <v>0.0</v>
      </c>
      <c r="H236" s="1" t="s">
        <v>1136</v>
      </c>
      <c r="I236" s="4" t="b">
        <f>IFERROR(__xludf.DUMMYFUNCTION("IF(H236="""",,REGEXMATCH(H236,""[א-ת]""))"),FALSE)</f>
        <v>0</v>
      </c>
      <c r="J236" s="4"/>
      <c r="K236" s="4"/>
      <c r="L236" s="1">
        <v>0.0</v>
      </c>
      <c r="M236" s="1">
        <v>14.87</v>
      </c>
      <c r="N236" s="1">
        <v>55.56</v>
      </c>
      <c r="O236" s="1">
        <v>6.173333333</v>
      </c>
      <c r="P236" s="4"/>
      <c r="Q236" s="4"/>
      <c r="R236" s="1" t="s">
        <v>89</v>
      </c>
      <c r="S236" s="1" t="s">
        <v>1135</v>
      </c>
      <c r="T236" s="1" t="s">
        <v>111</v>
      </c>
      <c r="U236" s="1">
        <v>39.0</v>
      </c>
      <c r="V236" s="5" t="s">
        <v>1134</v>
      </c>
      <c r="W236" s="1" t="s">
        <v>1135</v>
      </c>
      <c r="X236" s="1" t="s">
        <v>1137</v>
      </c>
      <c r="Y236" s="1" t="s">
        <v>488</v>
      </c>
      <c r="Z236" s="1" t="s">
        <v>1138</v>
      </c>
      <c r="AA236" s="4" t="b">
        <f>IFERROR(__xludf.DUMMYFUNCTION("IF(X236="""",,REGEXMATCH(X236,""[א-ת]""))"),FALSE)</f>
        <v>0</v>
      </c>
      <c r="AB236" s="1">
        <v>6.61</v>
      </c>
      <c r="AC236" s="1">
        <v>88.89</v>
      </c>
      <c r="AD236" s="1">
        <v>0.278593258012492</v>
      </c>
      <c r="AE236" s="1">
        <v>0.0</v>
      </c>
      <c r="AF236" s="1">
        <v>0.0</v>
      </c>
      <c r="AG236" s="1">
        <v>6.337</v>
      </c>
      <c r="AH236" s="1">
        <v>6.781</v>
      </c>
      <c r="AI236" s="1" t="b">
        <v>0</v>
      </c>
      <c r="AJ236" s="1" t="b">
        <v>1</v>
      </c>
      <c r="AK236" s="1">
        <v>94.182</v>
      </c>
      <c r="AL236" s="1">
        <v>96.508</v>
      </c>
      <c r="AM236" s="1" t="b">
        <v>0</v>
      </c>
      <c r="AN236" s="1" t="b">
        <v>0</v>
      </c>
      <c r="AO236" s="1">
        <v>8.05</v>
      </c>
      <c r="AP236" s="1">
        <v>8.53399999999999</v>
      </c>
      <c r="AQ236" s="1" t="b">
        <v>0</v>
      </c>
      <c r="AR236" s="1" t="b">
        <v>1</v>
      </c>
      <c r="AS236" s="1">
        <v>86.9179999999999</v>
      </c>
      <c r="AT236" s="1">
        <v>87.152</v>
      </c>
      <c r="AU236" s="1" t="b">
        <v>0</v>
      </c>
      <c r="AV236" s="1" t="b">
        <v>1</v>
      </c>
      <c r="AW236" s="1">
        <v>9.61399999999999</v>
      </c>
      <c r="AX236" s="1">
        <v>11.026</v>
      </c>
      <c r="AY236" s="1" t="b">
        <v>0</v>
      </c>
      <c r="AZ236" s="1" t="b">
        <v>1</v>
      </c>
      <c r="BA236" s="1">
        <v>81.25</v>
      </c>
      <c r="BB236" s="1">
        <v>77.78</v>
      </c>
      <c r="BC236" s="1" t="b">
        <v>0</v>
      </c>
      <c r="BD236" s="1" t="b">
        <v>1</v>
      </c>
      <c r="BE236" s="1">
        <v>11.34</v>
      </c>
      <c r="BF236" s="1">
        <v>13.285</v>
      </c>
      <c r="BG236" s="1" t="b">
        <v>0</v>
      </c>
      <c r="BH236" s="1" t="b">
        <v>1</v>
      </c>
      <c r="BI236" s="1">
        <v>77.78</v>
      </c>
      <c r="BJ236" s="1">
        <v>75.0</v>
      </c>
      <c r="BK236" s="1" t="b">
        <v>0</v>
      </c>
      <c r="BL236" s="1" t="b">
        <v>1</v>
      </c>
      <c r="BM236" s="1">
        <v>13.121</v>
      </c>
      <c r="BN236" s="1">
        <v>14.568</v>
      </c>
      <c r="BO236" s="1" t="b">
        <v>0</v>
      </c>
      <c r="BP236" s="1" t="b">
        <v>1</v>
      </c>
      <c r="BQ236" s="1">
        <v>75.0</v>
      </c>
      <c r="BR236" s="1">
        <v>72.027</v>
      </c>
      <c r="BS236" s="1" t="b">
        <v>0</v>
      </c>
      <c r="BT236" s="1" t="b">
        <v>1</v>
      </c>
      <c r="BU236" s="1" t="s">
        <v>157</v>
      </c>
      <c r="BV236" s="1" t="s">
        <v>105</v>
      </c>
      <c r="BW236" s="1" t="s">
        <v>157</v>
      </c>
      <c r="BX236" s="1" t="s">
        <v>157</v>
      </c>
      <c r="BY236" s="1" t="s">
        <v>157</v>
      </c>
      <c r="BZ236" s="1" t="s">
        <v>157</v>
      </c>
      <c r="CA236" s="1" t="s">
        <v>157</v>
      </c>
      <c r="CB236" s="1" t="s">
        <v>157</v>
      </c>
      <c r="CC236" s="1" t="s">
        <v>157</v>
      </c>
      <c r="CD236" s="1" t="s">
        <v>157</v>
      </c>
      <c r="CE236" s="4"/>
      <c r="CF236" s="4"/>
    </row>
    <row r="237">
      <c r="A237" s="1" t="s">
        <v>82</v>
      </c>
      <c r="B237" s="1" t="s">
        <v>333</v>
      </c>
      <c r="C237" s="1">
        <v>20.0</v>
      </c>
      <c r="D237" s="5" t="s">
        <v>1139</v>
      </c>
      <c r="E237" s="1" t="s">
        <v>1140</v>
      </c>
      <c r="F237" s="1">
        <v>21.0</v>
      </c>
      <c r="G237" s="1">
        <v>0.0</v>
      </c>
      <c r="H237" s="1" t="s">
        <v>1141</v>
      </c>
      <c r="I237" s="4" t="b">
        <f>IFERROR(__xludf.DUMMYFUNCTION("IF(H237="""",,REGEXMATCH(H237,""[א-ת]""))"),FALSE)</f>
        <v>0</v>
      </c>
      <c r="J237" s="4"/>
      <c r="K237" s="4"/>
      <c r="L237" s="1">
        <v>0.0</v>
      </c>
      <c r="M237" s="1">
        <v>14.96</v>
      </c>
      <c r="N237" s="1">
        <v>85.71</v>
      </c>
      <c r="O237" s="1">
        <v>4.081428571</v>
      </c>
      <c r="P237" s="4"/>
      <c r="Q237" s="4"/>
      <c r="R237" s="1" t="s">
        <v>89</v>
      </c>
      <c r="S237" s="1" t="s">
        <v>1140</v>
      </c>
      <c r="T237" s="1" t="s">
        <v>333</v>
      </c>
      <c r="U237" s="1">
        <v>21.0</v>
      </c>
      <c r="V237" s="5" t="s">
        <v>1139</v>
      </c>
      <c r="W237" s="1" t="s">
        <v>1140</v>
      </c>
      <c r="X237" s="1" t="s">
        <v>1142</v>
      </c>
      <c r="Y237" s="1" t="s">
        <v>1143</v>
      </c>
      <c r="Z237" s="1" t="s">
        <v>1144</v>
      </c>
      <c r="AA237" s="4" t="b">
        <f>IFERROR(__xludf.DUMMYFUNCTION("IF(X237="""",,REGEXMATCH(X237,""[א-ת]""))"),FALSE)</f>
        <v>0</v>
      </c>
      <c r="AB237" s="1">
        <v>5.9</v>
      </c>
      <c r="AC237" s="1">
        <v>123.81</v>
      </c>
      <c r="AD237" s="1">
        <v>0.369904454296486</v>
      </c>
      <c r="AE237" s="1">
        <v>0.0</v>
      </c>
      <c r="AF237" s="1">
        <v>0.0</v>
      </c>
      <c r="AG237" s="1">
        <v>6.337</v>
      </c>
      <c r="AH237" s="1">
        <v>6.781</v>
      </c>
      <c r="AI237" s="1" t="b">
        <v>0</v>
      </c>
      <c r="AJ237" s="1" t="b">
        <v>1</v>
      </c>
      <c r="AK237" s="1">
        <v>94.182</v>
      </c>
      <c r="AL237" s="1">
        <v>96.508</v>
      </c>
      <c r="AM237" s="1" t="b">
        <v>0</v>
      </c>
      <c r="AN237" s="1" t="b">
        <v>1</v>
      </c>
      <c r="AO237" s="1">
        <v>8.05</v>
      </c>
      <c r="AP237" s="1">
        <v>8.53399999999999</v>
      </c>
      <c r="AQ237" s="1" t="b">
        <v>0</v>
      </c>
      <c r="AR237" s="1" t="b">
        <v>1</v>
      </c>
      <c r="AS237" s="1">
        <v>86.9179999999999</v>
      </c>
      <c r="AT237" s="1">
        <v>87.152</v>
      </c>
      <c r="AU237" s="1" t="b">
        <v>0</v>
      </c>
      <c r="AV237" s="1" t="b">
        <v>1</v>
      </c>
      <c r="AW237" s="1">
        <v>9.61399999999999</v>
      </c>
      <c r="AX237" s="1">
        <v>11.026</v>
      </c>
      <c r="AY237" s="1" t="b">
        <v>0</v>
      </c>
      <c r="AZ237" s="1" t="b">
        <v>1</v>
      </c>
      <c r="BA237" s="1">
        <v>81.25</v>
      </c>
      <c r="BB237" s="1">
        <v>77.78</v>
      </c>
      <c r="BC237" s="1" t="b">
        <v>1</v>
      </c>
      <c r="BD237" s="1" t="b">
        <v>1</v>
      </c>
      <c r="BE237" s="1">
        <v>11.34</v>
      </c>
      <c r="BF237" s="1">
        <v>13.285</v>
      </c>
      <c r="BG237" s="1" t="b">
        <v>0</v>
      </c>
      <c r="BH237" s="1" t="b">
        <v>1</v>
      </c>
      <c r="BI237" s="1">
        <v>77.78</v>
      </c>
      <c r="BJ237" s="1">
        <v>75.0</v>
      </c>
      <c r="BK237" s="1" t="b">
        <v>1</v>
      </c>
      <c r="BL237" s="1" t="b">
        <v>1</v>
      </c>
      <c r="BM237" s="1">
        <v>13.121</v>
      </c>
      <c r="BN237" s="1">
        <v>14.568</v>
      </c>
      <c r="BO237" s="1" t="b">
        <v>0</v>
      </c>
      <c r="BP237" s="1" t="b">
        <v>1</v>
      </c>
      <c r="BQ237" s="1">
        <v>75.0</v>
      </c>
      <c r="BR237" s="1">
        <v>72.027</v>
      </c>
      <c r="BS237" s="1" t="b">
        <v>1</v>
      </c>
      <c r="BT237" s="1" t="b">
        <v>1</v>
      </c>
      <c r="BU237" s="1" t="s">
        <v>157</v>
      </c>
      <c r="BV237" s="1" t="s">
        <v>157</v>
      </c>
      <c r="BW237" s="1" t="s">
        <v>157</v>
      </c>
      <c r="BX237" s="1" t="s">
        <v>157</v>
      </c>
      <c r="BY237" s="1" t="s">
        <v>157</v>
      </c>
      <c r="BZ237" s="1" t="s">
        <v>104</v>
      </c>
      <c r="CA237" s="1" t="s">
        <v>157</v>
      </c>
      <c r="CB237" s="1" t="s">
        <v>104</v>
      </c>
      <c r="CC237" s="1" t="s">
        <v>157</v>
      </c>
      <c r="CD237" s="1" t="s">
        <v>104</v>
      </c>
      <c r="CE237" s="4"/>
      <c r="CF237" s="4"/>
    </row>
    <row r="238" hidden="1">
      <c r="A238" s="1" t="s">
        <v>82</v>
      </c>
      <c r="B238" s="1" t="s">
        <v>123</v>
      </c>
      <c r="C238" s="1">
        <v>32.0</v>
      </c>
      <c r="D238" s="5" t="s">
        <v>1145</v>
      </c>
      <c r="E238" s="1" t="s">
        <v>1146</v>
      </c>
      <c r="F238" s="1">
        <v>31.0</v>
      </c>
      <c r="G238" s="1">
        <v>-0.8338</v>
      </c>
      <c r="H238" s="1" t="s">
        <v>1147</v>
      </c>
      <c r="I238" s="4" t="b">
        <f>IFERROR(__xludf.DUMMYFUNCTION("IF(H238="""",,REGEXMATCH(H238,""[א-ת]""))"),FALSE)</f>
        <v>0</v>
      </c>
      <c r="J238" s="4"/>
      <c r="K238" s="4"/>
      <c r="L238" s="1">
        <v>-0.4588</v>
      </c>
      <c r="M238" s="1">
        <v>14.98</v>
      </c>
      <c r="N238" s="1">
        <v>74.19</v>
      </c>
      <c r="O238" s="1">
        <v>2.393225806</v>
      </c>
      <c r="P238" s="4"/>
      <c r="Q238" s="4"/>
      <c r="R238" s="1" t="s">
        <v>127</v>
      </c>
      <c r="S238" s="1" t="s">
        <v>1146</v>
      </c>
      <c r="T238" s="1" t="s">
        <v>123</v>
      </c>
      <c r="U238" s="1">
        <v>33.0</v>
      </c>
      <c r="V238" s="5" t="s">
        <v>1145</v>
      </c>
      <c r="W238" s="1" t="s">
        <v>1146</v>
      </c>
      <c r="X238" s="1" t="s">
        <v>1148</v>
      </c>
      <c r="Y238" s="4"/>
      <c r="Z238" s="4"/>
      <c r="AA238" s="4" t="b">
        <f>IFERROR(__xludf.DUMMYFUNCTION("IF(X238="""",,REGEXMATCH(X238,""[א-ת]""))"),FALSE)</f>
        <v>0</v>
      </c>
      <c r="AB238" s="1">
        <v>20.92</v>
      </c>
      <c r="AC238" s="1">
        <v>64.52</v>
      </c>
      <c r="AD238" s="1">
        <v>0.33777320426418</v>
      </c>
      <c r="AE238" s="1">
        <v>-0.4588</v>
      </c>
      <c r="AF238" s="1">
        <v>-0.8338</v>
      </c>
      <c r="AG238" s="1">
        <v>6.337</v>
      </c>
      <c r="AH238" s="1">
        <v>6.781</v>
      </c>
      <c r="AI238" s="1" t="b">
        <v>0</v>
      </c>
      <c r="AJ238" s="1" t="b">
        <v>0</v>
      </c>
      <c r="AK238" s="1">
        <v>94.182</v>
      </c>
      <c r="AL238" s="1">
        <v>96.508</v>
      </c>
      <c r="AM238" s="1" t="b">
        <v>0</v>
      </c>
      <c r="AN238" s="1" t="b">
        <v>0</v>
      </c>
      <c r="AO238" s="1">
        <v>8.05</v>
      </c>
      <c r="AP238" s="1">
        <v>8.53399999999999</v>
      </c>
      <c r="AQ238" s="1" t="b">
        <v>0</v>
      </c>
      <c r="AR238" s="1" t="b">
        <v>0</v>
      </c>
      <c r="AS238" s="1">
        <v>86.9179999999999</v>
      </c>
      <c r="AT238" s="1">
        <v>87.152</v>
      </c>
      <c r="AU238" s="1" t="b">
        <v>0</v>
      </c>
      <c r="AV238" s="1" t="b">
        <v>0</v>
      </c>
      <c r="AW238" s="1">
        <v>9.61399999999999</v>
      </c>
      <c r="AX238" s="1">
        <v>11.026</v>
      </c>
      <c r="AY238" s="1" t="b">
        <v>0</v>
      </c>
      <c r="AZ238" s="1" t="b">
        <v>0</v>
      </c>
      <c r="BA238" s="1">
        <v>81.25</v>
      </c>
      <c r="BB238" s="1">
        <v>77.78</v>
      </c>
      <c r="BC238" s="1" t="b">
        <v>0</v>
      </c>
      <c r="BD238" s="1" t="b">
        <v>0</v>
      </c>
      <c r="BE238" s="1">
        <v>11.34</v>
      </c>
      <c r="BF238" s="1">
        <v>13.285</v>
      </c>
      <c r="BG238" s="1" t="b">
        <v>0</v>
      </c>
      <c r="BH238" s="1" t="b">
        <v>0</v>
      </c>
      <c r="BI238" s="1">
        <v>77.78</v>
      </c>
      <c r="BJ238" s="1">
        <v>75.0</v>
      </c>
      <c r="BK238" s="1" t="b">
        <v>0</v>
      </c>
      <c r="BL238" s="1" t="b">
        <v>0</v>
      </c>
      <c r="BM238" s="1">
        <v>13.121</v>
      </c>
      <c r="BN238" s="1">
        <v>14.568</v>
      </c>
      <c r="BO238" s="1" t="b">
        <v>0</v>
      </c>
      <c r="BP238" s="1" t="b">
        <v>0</v>
      </c>
      <c r="BQ238" s="1">
        <v>75.0</v>
      </c>
      <c r="BR238" s="1">
        <v>72.027</v>
      </c>
      <c r="BS238" s="1" t="b">
        <v>0</v>
      </c>
      <c r="BT238" s="1" t="b">
        <v>0</v>
      </c>
      <c r="BU238" s="1" t="s">
        <v>105</v>
      </c>
      <c r="BV238" s="1" t="s">
        <v>105</v>
      </c>
      <c r="BW238" s="1" t="s">
        <v>105</v>
      </c>
      <c r="BX238" s="1" t="s">
        <v>105</v>
      </c>
      <c r="BY238" s="1" t="s">
        <v>105</v>
      </c>
      <c r="BZ238" s="1" t="s">
        <v>105</v>
      </c>
      <c r="CA238" s="1" t="s">
        <v>105</v>
      </c>
      <c r="CB238" s="1" t="s">
        <v>105</v>
      </c>
      <c r="CC238" s="1" t="s">
        <v>105</v>
      </c>
      <c r="CD238" s="1" t="s">
        <v>105</v>
      </c>
      <c r="CE238" s="4"/>
      <c r="CF238" s="4"/>
    </row>
    <row r="239" hidden="1">
      <c r="A239" s="1" t="s">
        <v>82</v>
      </c>
      <c r="B239" s="1" t="s">
        <v>111</v>
      </c>
      <c r="C239" s="1">
        <v>23.0</v>
      </c>
      <c r="D239" s="5" t="s">
        <v>1149</v>
      </c>
      <c r="E239" s="1" t="s">
        <v>1150</v>
      </c>
      <c r="F239" s="1">
        <v>11.0</v>
      </c>
      <c r="G239" s="1">
        <v>0.0</v>
      </c>
      <c r="H239" s="1" t="s">
        <v>1151</v>
      </c>
      <c r="I239" s="4" t="b">
        <f>IFERROR(__xludf.DUMMYFUNCTION("IF(H239="""",,REGEXMATCH(H239,""[א-ת]""))"),FALSE)</f>
        <v>0</v>
      </c>
      <c r="J239" s="4"/>
      <c r="K239" s="4"/>
      <c r="L239" s="1">
        <v>0.0</v>
      </c>
      <c r="M239" s="1">
        <v>14.99</v>
      </c>
      <c r="N239" s="1">
        <v>63.64</v>
      </c>
      <c r="O239" s="1">
        <v>5.785454545</v>
      </c>
      <c r="P239" s="4"/>
      <c r="Q239" s="4"/>
      <c r="R239" s="1" t="s">
        <v>89</v>
      </c>
      <c r="S239" s="1" t="s">
        <v>1150</v>
      </c>
      <c r="T239" s="1" t="s">
        <v>111</v>
      </c>
      <c r="U239" s="1">
        <v>24.0</v>
      </c>
      <c r="V239" s="5" t="s">
        <v>1149</v>
      </c>
      <c r="W239" s="1" t="s">
        <v>1150</v>
      </c>
      <c r="X239" s="1" t="s">
        <v>1152</v>
      </c>
      <c r="Y239" s="4"/>
      <c r="Z239" s="4"/>
      <c r="AA239" s="4" t="b">
        <f>IFERROR(__xludf.DUMMYFUNCTION("IF(X239="""",,REGEXMATCH(X239,""[א-ת]""))"),FALSE)</f>
        <v>0</v>
      </c>
      <c r="AB239" s="1">
        <v>22.72</v>
      </c>
      <c r="AC239" s="1">
        <v>63.64</v>
      </c>
      <c r="AD239" s="1">
        <v>0.552383470795743</v>
      </c>
      <c r="AE239" s="1">
        <v>0.0</v>
      </c>
      <c r="AF239" s="1">
        <v>0.0</v>
      </c>
      <c r="AG239" s="1">
        <v>6.337</v>
      </c>
      <c r="AH239" s="1">
        <v>6.781</v>
      </c>
      <c r="AI239" s="1" t="b">
        <v>0</v>
      </c>
      <c r="AJ239" s="1" t="b">
        <v>0</v>
      </c>
      <c r="AK239" s="1">
        <v>94.182</v>
      </c>
      <c r="AL239" s="1">
        <v>96.508</v>
      </c>
      <c r="AM239" s="1" t="b">
        <v>0</v>
      </c>
      <c r="AN239" s="1" t="b">
        <v>0</v>
      </c>
      <c r="AO239" s="1">
        <v>8.05</v>
      </c>
      <c r="AP239" s="1">
        <v>8.53399999999999</v>
      </c>
      <c r="AQ239" s="1" t="b">
        <v>0</v>
      </c>
      <c r="AR239" s="1" t="b">
        <v>0</v>
      </c>
      <c r="AS239" s="1">
        <v>86.9179999999999</v>
      </c>
      <c r="AT239" s="1">
        <v>87.152</v>
      </c>
      <c r="AU239" s="1" t="b">
        <v>0</v>
      </c>
      <c r="AV239" s="1" t="b">
        <v>0</v>
      </c>
      <c r="AW239" s="1">
        <v>9.61399999999999</v>
      </c>
      <c r="AX239" s="1">
        <v>11.026</v>
      </c>
      <c r="AY239" s="1" t="b">
        <v>0</v>
      </c>
      <c r="AZ239" s="1" t="b">
        <v>0</v>
      </c>
      <c r="BA239" s="1">
        <v>81.25</v>
      </c>
      <c r="BB239" s="1">
        <v>77.78</v>
      </c>
      <c r="BC239" s="1" t="b">
        <v>0</v>
      </c>
      <c r="BD239" s="1" t="b">
        <v>0</v>
      </c>
      <c r="BE239" s="1">
        <v>11.34</v>
      </c>
      <c r="BF239" s="1">
        <v>13.285</v>
      </c>
      <c r="BG239" s="1" t="b">
        <v>0</v>
      </c>
      <c r="BH239" s="1" t="b">
        <v>0</v>
      </c>
      <c r="BI239" s="1">
        <v>77.78</v>
      </c>
      <c r="BJ239" s="1">
        <v>75.0</v>
      </c>
      <c r="BK239" s="1" t="b">
        <v>0</v>
      </c>
      <c r="BL239" s="1" t="b">
        <v>0</v>
      </c>
      <c r="BM239" s="1">
        <v>13.121</v>
      </c>
      <c r="BN239" s="1">
        <v>14.568</v>
      </c>
      <c r="BO239" s="1" t="b">
        <v>0</v>
      </c>
      <c r="BP239" s="1" t="b">
        <v>0</v>
      </c>
      <c r="BQ239" s="1">
        <v>75.0</v>
      </c>
      <c r="BR239" s="1">
        <v>72.027</v>
      </c>
      <c r="BS239" s="1" t="b">
        <v>0</v>
      </c>
      <c r="BT239" s="1" t="b">
        <v>0</v>
      </c>
      <c r="BU239" s="1" t="s">
        <v>105</v>
      </c>
      <c r="BV239" s="1" t="s">
        <v>105</v>
      </c>
      <c r="BW239" s="1" t="s">
        <v>105</v>
      </c>
      <c r="BX239" s="1" t="s">
        <v>105</v>
      </c>
      <c r="BY239" s="1" t="s">
        <v>105</v>
      </c>
      <c r="BZ239" s="1" t="s">
        <v>105</v>
      </c>
      <c r="CA239" s="1" t="s">
        <v>105</v>
      </c>
      <c r="CB239" s="1" t="s">
        <v>105</v>
      </c>
      <c r="CC239" s="1" t="s">
        <v>105</v>
      </c>
      <c r="CD239" s="1" t="s">
        <v>105</v>
      </c>
      <c r="CE239" s="4"/>
      <c r="CF239" s="4"/>
    </row>
    <row r="240" hidden="1">
      <c r="A240" s="1" t="s">
        <v>82</v>
      </c>
      <c r="B240" s="1" t="s">
        <v>304</v>
      </c>
      <c r="C240" s="1">
        <v>4.0</v>
      </c>
      <c r="D240" s="5" t="s">
        <v>1153</v>
      </c>
      <c r="E240" s="1" t="s">
        <v>1154</v>
      </c>
      <c r="F240" s="1">
        <v>16.0</v>
      </c>
      <c r="G240" s="1">
        <v>-0.296</v>
      </c>
      <c r="H240" s="1" t="s">
        <v>1155</v>
      </c>
      <c r="I240" s="4" t="b">
        <f>IFERROR(__xludf.DUMMYFUNCTION("IF(H240="""",,REGEXMATCH(H240,""[א-ת]""))"),FALSE)</f>
        <v>0</v>
      </c>
      <c r="J240" s="4"/>
      <c r="K240" s="4"/>
      <c r="L240" s="1">
        <v>0.0</v>
      </c>
      <c r="M240" s="1">
        <v>15.14</v>
      </c>
      <c r="N240" s="1">
        <v>68.75</v>
      </c>
      <c r="O240" s="1">
        <v>4.296875</v>
      </c>
      <c r="P240" s="4"/>
      <c r="Q240" s="4"/>
      <c r="R240" s="1" t="s">
        <v>89</v>
      </c>
      <c r="S240" s="1" t="s">
        <v>1154</v>
      </c>
      <c r="T240" s="1" t="s">
        <v>304</v>
      </c>
      <c r="U240" s="1">
        <v>5.0</v>
      </c>
      <c r="V240" s="5" t="s">
        <v>1153</v>
      </c>
      <c r="W240" s="1" t="s">
        <v>1154</v>
      </c>
      <c r="X240" s="1" t="s">
        <v>1156</v>
      </c>
      <c r="Y240" s="4"/>
      <c r="Z240" s="4"/>
      <c r="AA240" s="4" t="b">
        <f>IFERROR(__xludf.DUMMYFUNCTION("IF(X240="""",,REGEXMATCH(X240,""[א-ת]""))"),FALSE)</f>
        <v>0</v>
      </c>
      <c r="AB240" s="1">
        <v>20.61</v>
      </c>
      <c r="AC240" s="1">
        <v>62.5</v>
      </c>
      <c r="AD240" s="1">
        <v>0.697043402690405</v>
      </c>
      <c r="AE240" s="1">
        <v>-0.296</v>
      </c>
      <c r="AF240" s="1">
        <v>-0.296</v>
      </c>
      <c r="AG240" s="1">
        <v>6.337</v>
      </c>
      <c r="AH240" s="1">
        <v>6.781</v>
      </c>
      <c r="AI240" s="1" t="b">
        <v>0</v>
      </c>
      <c r="AJ240" s="1" t="b">
        <v>0</v>
      </c>
      <c r="AK240" s="1">
        <v>94.182</v>
      </c>
      <c r="AL240" s="1">
        <v>96.508</v>
      </c>
      <c r="AM240" s="1" t="b">
        <v>0</v>
      </c>
      <c r="AN240" s="1" t="b">
        <v>0</v>
      </c>
      <c r="AO240" s="1">
        <v>8.05</v>
      </c>
      <c r="AP240" s="1">
        <v>8.53399999999999</v>
      </c>
      <c r="AQ240" s="1" t="b">
        <v>0</v>
      </c>
      <c r="AR240" s="1" t="b">
        <v>0</v>
      </c>
      <c r="AS240" s="1">
        <v>86.9179999999999</v>
      </c>
      <c r="AT240" s="1">
        <v>87.152</v>
      </c>
      <c r="AU240" s="1" t="b">
        <v>0</v>
      </c>
      <c r="AV240" s="1" t="b">
        <v>0</v>
      </c>
      <c r="AW240" s="1">
        <v>9.61399999999999</v>
      </c>
      <c r="AX240" s="1">
        <v>11.026</v>
      </c>
      <c r="AY240" s="1" t="b">
        <v>0</v>
      </c>
      <c r="AZ240" s="1" t="b">
        <v>0</v>
      </c>
      <c r="BA240" s="1">
        <v>81.25</v>
      </c>
      <c r="BB240" s="1">
        <v>77.78</v>
      </c>
      <c r="BC240" s="1" t="b">
        <v>0</v>
      </c>
      <c r="BD240" s="1" t="b">
        <v>0</v>
      </c>
      <c r="BE240" s="1">
        <v>11.34</v>
      </c>
      <c r="BF240" s="1">
        <v>13.285</v>
      </c>
      <c r="BG240" s="1" t="b">
        <v>0</v>
      </c>
      <c r="BH240" s="1" t="b">
        <v>0</v>
      </c>
      <c r="BI240" s="1">
        <v>77.78</v>
      </c>
      <c r="BJ240" s="1">
        <v>75.0</v>
      </c>
      <c r="BK240" s="1" t="b">
        <v>0</v>
      </c>
      <c r="BL240" s="1" t="b">
        <v>0</v>
      </c>
      <c r="BM240" s="1">
        <v>13.121</v>
      </c>
      <c r="BN240" s="1">
        <v>14.568</v>
      </c>
      <c r="BO240" s="1" t="b">
        <v>0</v>
      </c>
      <c r="BP240" s="1" t="b">
        <v>0</v>
      </c>
      <c r="BQ240" s="1">
        <v>75.0</v>
      </c>
      <c r="BR240" s="1">
        <v>72.027</v>
      </c>
      <c r="BS240" s="1" t="b">
        <v>0</v>
      </c>
      <c r="BT240" s="1" t="b">
        <v>0</v>
      </c>
      <c r="BU240" s="1" t="s">
        <v>105</v>
      </c>
      <c r="BV240" s="1" t="s">
        <v>105</v>
      </c>
      <c r="BW240" s="1" t="s">
        <v>105</v>
      </c>
      <c r="BX240" s="1" t="s">
        <v>105</v>
      </c>
      <c r="BY240" s="1" t="s">
        <v>105</v>
      </c>
      <c r="BZ240" s="1" t="s">
        <v>105</v>
      </c>
      <c r="CA240" s="1" t="s">
        <v>105</v>
      </c>
      <c r="CB240" s="1" t="s">
        <v>105</v>
      </c>
      <c r="CC240" s="1" t="s">
        <v>105</v>
      </c>
      <c r="CD240" s="1" t="s">
        <v>105</v>
      </c>
      <c r="CE240" s="4"/>
      <c r="CF240" s="4"/>
    </row>
    <row r="241" hidden="1">
      <c r="A241" s="1" t="s">
        <v>82</v>
      </c>
      <c r="B241" s="1" t="s">
        <v>304</v>
      </c>
      <c r="C241" s="1">
        <v>17.0</v>
      </c>
      <c r="D241" s="5" t="s">
        <v>1157</v>
      </c>
      <c r="E241" s="1" t="s">
        <v>1158</v>
      </c>
      <c r="F241" s="1">
        <v>41.0</v>
      </c>
      <c r="G241" s="1">
        <v>0.4203</v>
      </c>
      <c r="H241" s="1" t="s">
        <v>1159</v>
      </c>
      <c r="I241" s="4" t="b">
        <f>IFERROR(__xludf.DUMMYFUNCTION("IF(H241="""",,REGEXMATCH(H241,""[א-ת]""))"),FALSE)</f>
        <v>0</v>
      </c>
      <c r="J241" s="4"/>
      <c r="K241" s="4"/>
      <c r="L241" s="1">
        <v>0.6249</v>
      </c>
      <c r="M241" s="1">
        <v>15.14</v>
      </c>
      <c r="N241" s="1">
        <v>58.54</v>
      </c>
      <c r="O241" s="1">
        <v>1.427804878</v>
      </c>
      <c r="P241" s="4"/>
      <c r="Q241" s="4"/>
      <c r="R241" s="1" t="s">
        <v>89</v>
      </c>
      <c r="S241" s="1" t="s">
        <v>1158</v>
      </c>
      <c r="T241" s="1" t="s">
        <v>304</v>
      </c>
      <c r="U241" s="1">
        <v>18.0</v>
      </c>
      <c r="V241" s="5" t="s">
        <v>1157</v>
      </c>
      <c r="W241" s="1" t="s">
        <v>1158</v>
      </c>
      <c r="X241" s="1" t="s">
        <v>1160</v>
      </c>
      <c r="Y241" s="4"/>
      <c r="Z241" s="4"/>
      <c r="AA241" s="4" t="b">
        <f>IFERROR(__xludf.DUMMYFUNCTION("IF(X241="""",,REGEXMATCH(X241,""[א-ת]""))"),FALSE)</f>
        <v>0</v>
      </c>
      <c r="AB241" s="1">
        <v>14.86</v>
      </c>
      <c r="AC241" s="1">
        <v>53.66</v>
      </c>
      <c r="AD241" s="1">
        <v>0.557359778643305</v>
      </c>
      <c r="AE241" s="1">
        <v>0.457</v>
      </c>
      <c r="AF241" s="1">
        <v>0.4203</v>
      </c>
      <c r="AG241" s="1">
        <v>6.337</v>
      </c>
      <c r="AH241" s="1">
        <v>6.781</v>
      </c>
      <c r="AI241" s="1" t="b">
        <v>0</v>
      </c>
      <c r="AJ241" s="1" t="b">
        <v>0</v>
      </c>
      <c r="AK241" s="1">
        <v>94.182</v>
      </c>
      <c r="AL241" s="1">
        <v>96.508</v>
      </c>
      <c r="AM241" s="1" t="b">
        <v>0</v>
      </c>
      <c r="AN241" s="1" t="b">
        <v>0</v>
      </c>
      <c r="AO241" s="1">
        <v>8.05</v>
      </c>
      <c r="AP241" s="1">
        <v>8.53399999999999</v>
      </c>
      <c r="AQ241" s="1" t="b">
        <v>0</v>
      </c>
      <c r="AR241" s="1" t="b">
        <v>0</v>
      </c>
      <c r="AS241" s="1">
        <v>86.9179999999999</v>
      </c>
      <c r="AT241" s="1">
        <v>87.152</v>
      </c>
      <c r="AU241" s="1" t="b">
        <v>0</v>
      </c>
      <c r="AV241" s="1" t="b">
        <v>0</v>
      </c>
      <c r="AW241" s="1">
        <v>9.61399999999999</v>
      </c>
      <c r="AX241" s="1">
        <v>11.026</v>
      </c>
      <c r="AY241" s="1" t="b">
        <v>0</v>
      </c>
      <c r="AZ241" s="1" t="b">
        <v>0</v>
      </c>
      <c r="BA241" s="1">
        <v>81.25</v>
      </c>
      <c r="BB241" s="1">
        <v>77.78</v>
      </c>
      <c r="BC241" s="1" t="b">
        <v>0</v>
      </c>
      <c r="BD241" s="1" t="b">
        <v>0</v>
      </c>
      <c r="BE241" s="1">
        <v>11.34</v>
      </c>
      <c r="BF241" s="1">
        <v>13.285</v>
      </c>
      <c r="BG241" s="1" t="b">
        <v>0</v>
      </c>
      <c r="BH241" s="1" t="b">
        <v>0</v>
      </c>
      <c r="BI241" s="1">
        <v>77.78</v>
      </c>
      <c r="BJ241" s="1">
        <v>75.0</v>
      </c>
      <c r="BK241" s="1" t="b">
        <v>0</v>
      </c>
      <c r="BL241" s="1" t="b">
        <v>0</v>
      </c>
      <c r="BM241" s="1">
        <v>13.121</v>
      </c>
      <c r="BN241" s="1">
        <v>14.568</v>
      </c>
      <c r="BO241" s="1" t="b">
        <v>0</v>
      </c>
      <c r="BP241" s="1" t="b">
        <v>0</v>
      </c>
      <c r="BQ241" s="1">
        <v>75.0</v>
      </c>
      <c r="BR241" s="1">
        <v>72.027</v>
      </c>
      <c r="BS241" s="1" t="b">
        <v>0</v>
      </c>
      <c r="BT241" s="1" t="b">
        <v>0</v>
      </c>
      <c r="BU241" s="1" t="s">
        <v>105</v>
      </c>
      <c r="BV241" s="1" t="s">
        <v>105</v>
      </c>
      <c r="BW241" s="1" t="s">
        <v>105</v>
      </c>
      <c r="BX241" s="1" t="s">
        <v>105</v>
      </c>
      <c r="BY241" s="1" t="s">
        <v>105</v>
      </c>
      <c r="BZ241" s="1" t="s">
        <v>105</v>
      </c>
      <c r="CA241" s="1" t="s">
        <v>105</v>
      </c>
      <c r="CB241" s="1" t="s">
        <v>105</v>
      </c>
      <c r="CC241" s="1" t="s">
        <v>105</v>
      </c>
      <c r="CD241" s="1" t="s">
        <v>105</v>
      </c>
      <c r="CE241" s="4"/>
      <c r="CF241" s="4"/>
    </row>
    <row r="242" hidden="1">
      <c r="A242" s="1" t="s">
        <v>82</v>
      </c>
      <c r="B242" s="1" t="s">
        <v>262</v>
      </c>
      <c r="C242" s="1">
        <v>11.0</v>
      </c>
      <c r="D242" s="5" t="s">
        <v>1161</v>
      </c>
      <c r="E242" s="1" t="s">
        <v>1162</v>
      </c>
      <c r="F242" s="1">
        <v>65.0</v>
      </c>
      <c r="G242" s="1">
        <v>0.1531</v>
      </c>
      <c r="H242" s="1" t="s">
        <v>1163</v>
      </c>
      <c r="I242" s="4" t="b">
        <f>IFERROR(__xludf.DUMMYFUNCTION("IF(H242="""",,REGEXMATCH(H242,""[א-ת]""))"),FALSE)</f>
        <v>0</v>
      </c>
      <c r="J242" s="4"/>
      <c r="K242" s="4"/>
      <c r="L242" s="1">
        <v>0.0</v>
      </c>
      <c r="M242" s="1">
        <v>15.17</v>
      </c>
      <c r="N242" s="1">
        <v>123.08</v>
      </c>
      <c r="O242" s="1">
        <v>1.893538462</v>
      </c>
      <c r="P242" s="4"/>
      <c r="Q242" s="4"/>
      <c r="R242" s="1" t="s">
        <v>96</v>
      </c>
      <c r="S242" s="1" t="s">
        <v>1162</v>
      </c>
      <c r="T242" s="1" t="s">
        <v>262</v>
      </c>
      <c r="U242" s="1">
        <v>12.0</v>
      </c>
      <c r="V242" s="5" t="s">
        <v>1161</v>
      </c>
      <c r="W242" s="1" t="s">
        <v>1162</v>
      </c>
      <c r="X242" s="1" t="s">
        <v>1164</v>
      </c>
      <c r="Y242" s="4"/>
      <c r="Z242" s="4"/>
      <c r="AA242" s="4" t="b">
        <f>IFERROR(__xludf.DUMMYFUNCTION("IF(X242="""",,REGEXMATCH(X242,""[א-ת]""))"),FALSE)</f>
        <v>0</v>
      </c>
      <c r="AB242" s="1">
        <v>31.59</v>
      </c>
      <c r="AC242" s="1">
        <v>47.69</v>
      </c>
      <c r="AD242" s="1">
        <v>0.567681254307959</v>
      </c>
      <c r="AE242" s="1">
        <v>0.0</v>
      </c>
      <c r="AF242" s="1">
        <v>0.1531</v>
      </c>
      <c r="AG242" s="1">
        <v>6.337</v>
      </c>
      <c r="AH242" s="1">
        <v>6.781</v>
      </c>
      <c r="AI242" s="1" t="b">
        <v>0</v>
      </c>
      <c r="AJ242" s="1" t="b">
        <v>0</v>
      </c>
      <c r="AK242" s="1">
        <v>94.182</v>
      </c>
      <c r="AL242" s="1">
        <v>96.508</v>
      </c>
      <c r="AM242" s="1" t="b">
        <v>1</v>
      </c>
      <c r="AN242" s="1" t="b">
        <v>0</v>
      </c>
      <c r="AO242" s="1">
        <v>8.05</v>
      </c>
      <c r="AP242" s="1">
        <v>8.53399999999999</v>
      </c>
      <c r="AQ242" s="1" t="b">
        <v>0</v>
      </c>
      <c r="AR242" s="1" t="b">
        <v>0</v>
      </c>
      <c r="AS242" s="1">
        <v>86.9179999999999</v>
      </c>
      <c r="AT242" s="1">
        <v>87.152</v>
      </c>
      <c r="AU242" s="1" t="b">
        <v>1</v>
      </c>
      <c r="AV242" s="1" t="b">
        <v>0</v>
      </c>
      <c r="AW242" s="1">
        <v>9.61399999999999</v>
      </c>
      <c r="AX242" s="1">
        <v>11.026</v>
      </c>
      <c r="AY242" s="1" t="b">
        <v>0</v>
      </c>
      <c r="AZ242" s="1" t="b">
        <v>0</v>
      </c>
      <c r="BA242" s="1">
        <v>81.25</v>
      </c>
      <c r="BB242" s="1">
        <v>77.78</v>
      </c>
      <c r="BC242" s="1" t="b">
        <v>1</v>
      </c>
      <c r="BD242" s="1" t="b">
        <v>0</v>
      </c>
      <c r="BE242" s="1">
        <v>11.34</v>
      </c>
      <c r="BF242" s="1">
        <v>13.285</v>
      </c>
      <c r="BG242" s="1" t="b">
        <v>0</v>
      </c>
      <c r="BH242" s="1" t="b">
        <v>0</v>
      </c>
      <c r="BI242" s="1">
        <v>77.78</v>
      </c>
      <c r="BJ242" s="1">
        <v>75.0</v>
      </c>
      <c r="BK242" s="1" t="b">
        <v>1</v>
      </c>
      <c r="BL242" s="1" t="b">
        <v>0</v>
      </c>
      <c r="BM242" s="1">
        <v>13.121</v>
      </c>
      <c r="BN242" s="1">
        <v>14.568</v>
      </c>
      <c r="BO242" s="1" t="b">
        <v>0</v>
      </c>
      <c r="BP242" s="1" t="b">
        <v>0</v>
      </c>
      <c r="BQ242" s="1">
        <v>75.0</v>
      </c>
      <c r="BR242" s="1">
        <v>72.027</v>
      </c>
      <c r="BS242" s="1" t="b">
        <v>1</v>
      </c>
      <c r="BT242" s="1" t="b">
        <v>0</v>
      </c>
      <c r="BU242" s="1" t="s">
        <v>105</v>
      </c>
      <c r="BV242" s="1" t="s">
        <v>91</v>
      </c>
      <c r="BW242" s="1" t="s">
        <v>105</v>
      </c>
      <c r="BX242" s="1" t="s">
        <v>91</v>
      </c>
      <c r="BY242" s="1" t="s">
        <v>105</v>
      </c>
      <c r="BZ242" s="1" t="s">
        <v>91</v>
      </c>
      <c r="CA242" s="1" t="s">
        <v>105</v>
      </c>
      <c r="CB242" s="1" t="s">
        <v>91</v>
      </c>
      <c r="CC242" s="1" t="s">
        <v>105</v>
      </c>
      <c r="CD242" s="1" t="s">
        <v>91</v>
      </c>
      <c r="CE242" s="4"/>
      <c r="CF242" s="4"/>
    </row>
    <row r="243" hidden="1">
      <c r="A243" s="1" t="s">
        <v>82</v>
      </c>
      <c r="B243" s="1" t="s">
        <v>123</v>
      </c>
      <c r="C243" s="1">
        <v>10.0</v>
      </c>
      <c r="D243" s="5" t="s">
        <v>1165</v>
      </c>
      <c r="E243" s="1" t="s">
        <v>1166</v>
      </c>
      <c r="F243" s="1">
        <v>18.0</v>
      </c>
      <c r="G243" s="1">
        <v>0.0</v>
      </c>
      <c r="H243" s="1" t="s">
        <v>1167</v>
      </c>
      <c r="I243" s="4" t="b">
        <f>IFERROR(__xludf.DUMMYFUNCTION("IF(H243="""",,REGEXMATCH(H243,""[א-ת]""))"),FALSE)</f>
        <v>0</v>
      </c>
      <c r="J243" s="4"/>
      <c r="K243" s="4"/>
      <c r="L243" s="1">
        <v>0.0</v>
      </c>
      <c r="M243" s="1">
        <v>15.31</v>
      </c>
      <c r="N243" s="1">
        <v>66.67</v>
      </c>
      <c r="O243" s="1">
        <v>3.703888889</v>
      </c>
      <c r="P243" s="4"/>
      <c r="Q243" s="4"/>
      <c r="R243" s="1" t="s">
        <v>127</v>
      </c>
      <c r="S243" s="1" t="s">
        <v>1166</v>
      </c>
      <c r="T243" s="1" t="s">
        <v>123</v>
      </c>
      <c r="U243" s="1">
        <v>11.0</v>
      </c>
      <c r="V243" s="5" t="s">
        <v>1165</v>
      </c>
      <c r="W243" s="1" t="s">
        <v>1166</v>
      </c>
      <c r="X243" s="1" t="s">
        <v>1168</v>
      </c>
      <c r="Y243" s="4"/>
      <c r="Z243" s="4"/>
      <c r="AA243" s="4" t="b">
        <f>IFERROR(__xludf.DUMMYFUNCTION("IF(X243="""",,REGEXMATCH(X243,""[א-ת]""))"),FALSE)</f>
        <v>0</v>
      </c>
      <c r="AB243" s="1">
        <v>31.14</v>
      </c>
      <c r="AC243" s="1">
        <v>50.0</v>
      </c>
      <c r="AD243" s="1">
        <v>0.831790470027067</v>
      </c>
      <c r="AE243" s="1">
        <v>0.0</v>
      </c>
      <c r="AF243" s="1">
        <v>0.0</v>
      </c>
      <c r="AG243" s="1">
        <v>6.337</v>
      </c>
      <c r="AH243" s="1">
        <v>6.781</v>
      </c>
      <c r="AI243" s="1" t="b">
        <v>0</v>
      </c>
      <c r="AJ243" s="1" t="b">
        <v>0</v>
      </c>
      <c r="AK243" s="1">
        <v>94.182</v>
      </c>
      <c r="AL243" s="1">
        <v>96.508</v>
      </c>
      <c r="AM243" s="1" t="b">
        <v>0</v>
      </c>
      <c r="AN243" s="1" t="b">
        <v>0</v>
      </c>
      <c r="AO243" s="1">
        <v>8.05</v>
      </c>
      <c r="AP243" s="1">
        <v>8.53399999999999</v>
      </c>
      <c r="AQ243" s="1" t="b">
        <v>0</v>
      </c>
      <c r="AR243" s="1" t="b">
        <v>0</v>
      </c>
      <c r="AS243" s="1">
        <v>86.9179999999999</v>
      </c>
      <c r="AT243" s="1">
        <v>87.152</v>
      </c>
      <c r="AU243" s="1" t="b">
        <v>0</v>
      </c>
      <c r="AV243" s="1" t="b">
        <v>0</v>
      </c>
      <c r="AW243" s="1">
        <v>9.61399999999999</v>
      </c>
      <c r="AX243" s="1">
        <v>11.026</v>
      </c>
      <c r="AY243" s="1" t="b">
        <v>0</v>
      </c>
      <c r="AZ243" s="1" t="b">
        <v>0</v>
      </c>
      <c r="BA243" s="1">
        <v>81.25</v>
      </c>
      <c r="BB243" s="1">
        <v>77.78</v>
      </c>
      <c r="BC243" s="1" t="b">
        <v>0</v>
      </c>
      <c r="BD243" s="1" t="b">
        <v>0</v>
      </c>
      <c r="BE243" s="1">
        <v>11.34</v>
      </c>
      <c r="BF243" s="1">
        <v>13.285</v>
      </c>
      <c r="BG243" s="1" t="b">
        <v>0</v>
      </c>
      <c r="BH243" s="1" t="b">
        <v>0</v>
      </c>
      <c r="BI243" s="1">
        <v>77.78</v>
      </c>
      <c r="BJ243" s="1">
        <v>75.0</v>
      </c>
      <c r="BK243" s="1" t="b">
        <v>0</v>
      </c>
      <c r="BL243" s="1" t="b">
        <v>0</v>
      </c>
      <c r="BM243" s="1">
        <v>13.121</v>
      </c>
      <c r="BN243" s="1">
        <v>14.568</v>
      </c>
      <c r="BO243" s="1" t="b">
        <v>0</v>
      </c>
      <c r="BP243" s="1" t="b">
        <v>0</v>
      </c>
      <c r="BQ243" s="1">
        <v>75.0</v>
      </c>
      <c r="BR243" s="1">
        <v>72.027</v>
      </c>
      <c r="BS243" s="1" t="b">
        <v>0</v>
      </c>
      <c r="BT243" s="1" t="b">
        <v>0</v>
      </c>
      <c r="BU243" s="1" t="s">
        <v>105</v>
      </c>
      <c r="BV243" s="1" t="s">
        <v>105</v>
      </c>
      <c r="BW243" s="1" t="s">
        <v>105</v>
      </c>
      <c r="BX243" s="1" t="s">
        <v>105</v>
      </c>
      <c r="BY243" s="1" t="s">
        <v>105</v>
      </c>
      <c r="BZ243" s="1" t="s">
        <v>105</v>
      </c>
      <c r="CA243" s="1" t="s">
        <v>105</v>
      </c>
      <c r="CB243" s="1" t="s">
        <v>105</v>
      </c>
      <c r="CC243" s="1" t="s">
        <v>105</v>
      </c>
      <c r="CD243" s="1" t="s">
        <v>105</v>
      </c>
      <c r="CE243" s="4"/>
      <c r="CF243" s="4"/>
    </row>
    <row r="244" hidden="1">
      <c r="A244" s="1" t="s">
        <v>82</v>
      </c>
      <c r="B244" s="1" t="s">
        <v>111</v>
      </c>
      <c r="C244" s="1">
        <v>24.0</v>
      </c>
      <c r="D244" s="5" t="s">
        <v>1169</v>
      </c>
      <c r="E244" s="1" t="s">
        <v>1170</v>
      </c>
      <c r="F244" s="1">
        <v>84.0</v>
      </c>
      <c r="G244" s="1">
        <v>-0.8402</v>
      </c>
      <c r="H244" s="1" t="s">
        <v>1171</v>
      </c>
      <c r="I244" s="4" t="b">
        <f>IFERROR(__xludf.DUMMYFUNCTION("IF(H244="""",,REGEXMATCH(H244,""[א-ת]""))"),FALSE)</f>
        <v>0</v>
      </c>
      <c r="J244" s="4"/>
      <c r="K244" s="4"/>
      <c r="L244" s="1">
        <v>0.2914</v>
      </c>
      <c r="M244" s="1">
        <v>15.32</v>
      </c>
      <c r="N244" s="1">
        <v>66.67</v>
      </c>
      <c r="O244" s="1">
        <v>0.7936904762</v>
      </c>
      <c r="P244" s="4"/>
      <c r="Q244" s="4"/>
      <c r="R244" s="1" t="s">
        <v>89</v>
      </c>
      <c r="S244" s="1" t="s">
        <v>1170</v>
      </c>
      <c r="T244" s="1" t="s">
        <v>111</v>
      </c>
      <c r="U244" s="1">
        <v>25.0</v>
      </c>
      <c r="V244" s="5" t="s">
        <v>1169</v>
      </c>
      <c r="W244" s="1" t="s">
        <v>1170</v>
      </c>
      <c r="X244" s="1" t="s">
        <v>1172</v>
      </c>
      <c r="Y244" s="4"/>
      <c r="Z244" s="4"/>
      <c r="AA244" s="4" t="b">
        <f>IFERROR(__xludf.DUMMYFUNCTION("IF(X244="""",,REGEXMATCH(X244,""[א-ת]""))"),FALSE)</f>
        <v>0</v>
      </c>
      <c r="AB244" s="1">
        <v>26.96</v>
      </c>
      <c r="AC244" s="1">
        <v>76.19</v>
      </c>
      <c r="AD244" s="1">
        <v>0.523720952259118</v>
      </c>
      <c r="AE244" s="1">
        <v>0.0</v>
      </c>
      <c r="AF244" s="1">
        <v>-0.8402</v>
      </c>
      <c r="AG244" s="1">
        <v>6.337</v>
      </c>
      <c r="AH244" s="1">
        <v>6.781</v>
      </c>
      <c r="AI244" s="1" t="b">
        <v>0</v>
      </c>
      <c r="AJ244" s="1" t="b">
        <v>0</v>
      </c>
      <c r="AK244" s="1">
        <v>94.182</v>
      </c>
      <c r="AL244" s="1">
        <v>96.508</v>
      </c>
      <c r="AM244" s="1" t="b">
        <v>0</v>
      </c>
      <c r="AN244" s="1" t="b">
        <v>0</v>
      </c>
      <c r="AO244" s="1">
        <v>8.05</v>
      </c>
      <c r="AP244" s="1">
        <v>8.53399999999999</v>
      </c>
      <c r="AQ244" s="1" t="b">
        <v>0</v>
      </c>
      <c r="AR244" s="1" t="b">
        <v>0</v>
      </c>
      <c r="AS244" s="1">
        <v>86.9179999999999</v>
      </c>
      <c r="AT244" s="1">
        <v>87.152</v>
      </c>
      <c r="AU244" s="1" t="b">
        <v>0</v>
      </c>
      <c r="AV244" s="1" t="b">
        <v>0</v>
      </c>
      <c r="AW244" s="1">
        <v>9.61399999999999</v>
      </c>
      <c r="AX244" s="1">
        <v>11.026</v>
      </c>
      <c r="AY244" s="1" t="b">
        <v>0</v>
      </c>
      <c r="AZ244" s="1" t="b">
        <v>0</v>
      </c>
      <c r="BA244" s="1">
        <v>81.25</v>
      </c>
      <c r="BB244" s="1">
        <v>77.78</v>
      </c>
      <c r="BC244" s="1" t="b">
        <v>0</v>
      </c>
      <c r="BD244" s="1" t="b">
        <v>0</v>
      </c>
      <c r="BE244" s="1">
        <v>11.34</v>
      </c>
      <c r="BF244" s="1">
        <v>13.285</v>
      </c>
      <c r="BG244" s="1" t="b">
        <v>0</v>
      </c>
      <c r="BH244" s="1" t="b">
        <v>0</v>
      </c>
      <c r="BI244" s="1">
        <v>77.78</v>
      </c>
      <c r="BJ244" s="1">
        <v>75.0</v>
      </c>
      <c r="BK244" s="1" t="b">
        <v>0</v>
      </c>
      <c r="BL244" s="1" t="b">
        <v>1</v>
      </c>
      <c r="BM244" s="1">
        <v>13.121</v>
      </c>
      <c r="BN244" s="1">
        <v>14.568</v>
      </c>
      <c r="BO244" s="1" t="b">
        <v>0</v>
      </c>
      <c r="BP244" s="1" t="b">
        <v>0</v>
      </c>
      <c r="BQ244" s="1">
        <v>75.0</v>
      </c>
      <c r="BR244" s="1">
        <v>72.027</v>
      </c>
      <c r="BS244" s="1" t="b">
        <v>0</v>
      </c>
      <c r="BT244" s="1" t="b">
        <v>1</v>
      </c>
      <c r="BU244" s="1" t="s">
        <v>105</v>
      </c>
      <c r="BV244" s="1" t="s">
        <v>105</v>
      </c>
      <c r="BW244" s="1" t="s">
        <v>105</v>
      </c>
      <c r="BX244" s="1" t="s">
        <v>105</v>
      </c>
      <c r="BY244" s="1" t="s">
        <v>105</v>
      </c>
      <c r="BZ244" s="1" t="s">
        <v>105</v>
      </c>
      <c r="CA244" s="1" t="s">
        <v>105</v>
      </c>
      <c r="CB244" s="1" t="s">
        <v>157</v>
      </c>
      <c r="CC244" s="1" t="s">
        <v>105</v>
      </c>
      <c r="CD244" s="1" t="s">
        <v>157</v>
      </c>
      <c r="CE244" s="4"/>
      <c r="CF244" s="4"/>
    </row>
    <row r="245" hidden="1">
      <c r="A245" s="1" t="s">
        <v>82</v>
      </c>
      <c r="B245" s="1" t="s">
        <v>251</v>
      </c>
      <c r="C245" s="1">
        <v>25.0</v>
      </c>
      <c r="D245" s="5" t="s">
        <v>1173</v>
      </c>
      <c r="E245" s="1" t="s">
        <v>1174</v>
      </c>
      <c r="F245" s="1">
        <v>19.0</v>
      </c>
      <c r="G245" s="1">
        <v>0.0</v>
      </c>
      <c r="H245" s="1" t="s">
        <v>1175</v>
      </c>
      <c r="I245" s="4" t="b">
        <f>IFERROR(__xludf.DUMMYFUNCTION("IF(H245="""",,REGEXMATCH(H245,""[א-ת]""))"),FALSE)</f>
        <v>0</v>
      </c>
      <c r="J245" s="4"/>
      <c r="K245" s="4"/>
      <c r="L245" s="1">
        <v>0.0</v>
      </c>
      <c r="M245" s="1">
        <v>15.33</v>
      </c>
      <c r="N245" s="1">
        <v>57.89</v>
      </c>
      <c r="O245" s="1">
        <v>3.046842105</v>
      </c>
      <c r="P245" s="4"/>
      <c r="Q245" s="4"/>
      <c r="R245" s="1" t="s">
        <v>89</v>
      </c>
      <c r="S245" s="1" t="s">
        <v>1174</v>
      </c>
      <c r="T245" s="1" t="s">
        <v>251</v>
      </c>
      <c r="U245" s="1">
        <v>26.0</v>
      </c>
      <c r="V245" s="5" t="s">
        <v>1173</v>
      </c>
      <c r="W245" s="1" t="s">
        <v>1174</v>
      </c>
      <c r="X245" s="1" t="s">
        <v>1176</v>
      </c>
      <c r="Y245" s="4"/>
      <c r="Z245" s="4"/>
      <c r="AA245" s="4" t="b">
        <f>IFERROR(__xludf.DUMMYFUNCTION("IF(X245="""",,REGEXMATCH(X245,""[א-ת]""))"),FALSE)</f>
        <v>0</v>
      </c>
      <c r="AB245" s="1">
        <v>30.41</v>
      </c>
      <c r="AC245" s="1">
        <v>57.89</v>
      </c>
      <c r="AD245" s="1">
        <v>0.432131039858176</v>
      </c>
      <c r="AE245" s="1">
        <v>0.0</v>
      </c>
      <c r="AF245" s="1">
        <v>0.0</v>
      </c>
      <c r="AG245" s="1">
        <v>6.337</v>
      </c>
      <c r="AH245" s="1">
        <v>6.781</v>
      </c>
      <c r="AI245" s="1" t="b">
        <v>0</v>
      </c>
      <c r="AJ245" s="1" t="b">
        <v>0</v>
      </c>
      <c r="AK245" s="1">
        <v>94.182</v>
      </c>
      <c r="AL245" s="1">
        <v>96.508</v>
      </c>
      <c r="AM245" s="1" t="b">
        <v>0</v>
      </c>
      <c r="AN245" s="1" t="b">
        <v>0</v>
      </c>
      <c r="AO245" s="1">
        <v>8.05</v>
      </c>
      <c r="AP245" s="1">
        <v>8.53399999999999</v>
      </c>
      <c r="AQ245" s="1" t="b">
        <v>0</v>
      </c>
      <c r="AR245" s="1" t="b">
        <v>0</v>
      </c>
      <c r="AS245" s="1">
        <v>86.9179999999999</v>
      </c>
      <c r="AT245" s="1">
        <v>87.152</v>
      </c>
      <c r="AU245" s="1" t="b">
        <v>0</v>
      </c>
      <c r="AV245" s="1" t="b">
        <v>0</v>
      </c>
      <c r="AW245" s="1">
        <v>9.61399999999999</v>
      </c>
      <c r="AX245" s="1">
        <v>11.026</v>
      </c>
      <c r="AY245" s="1" t="b">
        <v>0</v>
      </c>
      <c r="AZ245" s="1" t="b">
        <v>0</v>
      </c>
      <c r="BA245" s="1">
        <v>81.25</v>
      </c>
      <c r="BB245" s="1">
        <v>77.78</v>
      </c>
      <c r="BC245" s="1" t="b">
        <v>0</v>
      </c>
      <c r="BD245" s="1" t="b">
        <v>0</v>
      </c>
      <c r="BE245" s="1">
        <v>11.34</v>
      </c>
      <c r="BF245" s="1">
        <v>13.285</v>
      </c>
      <c r="BG245" s="1" t="b">
        <v>0</v>
      </c>
      <c r="BH245" s="1" t="b">
        <v>0</v>
      </c>
      <c r="BI245" s="1">
        <v>77.78</v>
      </c>
      <c r="BJ245" s="1">
        <v>75.0</v>
      </c>
      <c r="BK245" s="1" t="b">
        <v>0</v>
      </c>
      <c r="BL245" s="1" t="b">
        <v>0</v>
      </c>
      <c r="BM245" s="1">
        <v>13.121</v>
      </c>
      <c r="BN245" s="1">
        <v>14.568</v>
      </c>
      <c r="BO245" s="1" t="b">
        <v>0</v>
      </c>
      <c r="BP245" s="1" t="b">
        <v>0</v>
      </c>
      <c r="BQ245" s="1">
        <v>75.0</v>
      </c>
      <c r="BR245" s="1">
        <v>72.027</v>
      </c>
      <c r="BS245" s="1" t="b">
        <v>0</v>
      </c>
      <c r="BT245" s="1" t="b">
        <v>0</v>
      </c>
      <c r="BU245" s="1" t="s">
        <v>105</v>
      </c>
      <c r="BV245" s="1" t="s">
        <v>105</v>
      </c>
      <c r="BW245" s="1" t="s">
        <v>105</v>
      </c>
      <c r="BX245" s="1" t="s">
        <v>105</v>
      </c>
      <c r="BY245" s="1" t="s">
        <v>105</v>
      </c>
      <c r="BZ245" s="1" t="s">
        <v>105</v>
      </c>
      <c r="CA245" s="1" t="s">
        <v>105</v>
      </c>
      <c r="CB245" s="1" t="s">
        <v>105</v>
      </c>
      <c r="CC245" s="1" t="s">
        <v>105</v>
      </c>
      <c r="CD245" s="1" t="s">
        <v>105</v>
      </c>
      <c r="CE245" s="4"/>
      <c r="CF245" s="4"/>
    </row>
    <row r="246" hidden="1">
      <c r="A246" s="1" t="s">
        <v>82</v>
      </c>
      <c r="B246" s="1" t="s">
        <v>145</v>
      </c>
      <c r="C246" s="1">
        <v>12.0</v>
      </c>
      <c r="D246" s="5" t="s">
        <v>1177</v>
      </c>
      <c r="E246" s="1" t="s">
        <v>1178</v>
      </c>
      <c r="F246" s="1">
        <v>17.0</v>
      </c>
      <c r="G246" s="1">
        <v>0.0</v>
      </c>
      <c r="H246" s="1" t="s">
        <v>1179</v>
      </c>
      <c r="I246" s="4" t="b">
        <f>IFERROR(__xludf.DUMMYFUNCTION("IF(H246="""",,REGEXMATCH(H246,""[א-ת]""))"),FALSE)</f>
        <v>0</v>
      </c>
      <c r="J246" s="4"/>
      <c r="K246" s="4"/>
      <c r="L246" s="1">
        <v>0.34</v>
      </c>
      <c r="M246" s="1">
        <v>15.37</v>
      </c>
      <c r="N246" s="1">
        <v>76.47</v>
      </c>
      <c r="O246" s="1">
        <v>4.498235294</v>
      </c>
      <c r="P246" s="4"/>
      <c r="Q246" s="4"/>
      <c r="R246" s="1" t="s">
        <v>89</v>
      </c>
      <c r="S246" s="1" t="s">
        <v>1178</v>
      </c>
      <c r="T246" s="1" t="s">
        <v>145</v>
      </c>
      <c r="U246" s="1">
        <v>13.0</v>
      </c>
      <c r="V246" s="5" t="s">
        <v>1177</v>
      </c>
      <c r="W246" s="1" t="s">
        <v>1178</v>
      </c>
      <c r="X246" s="1" t="s">
        <v>1180</v>
      </c>
      <c r="Y246" s="4"/>
      <c r="Z246" s="4"/>
      <c r="AA246" s="4" t="b">
        <f>IFERROR(__xludf.DUMMYFUNCTION("IF(X246="""",,REGEXMATCH(X246,""[א-ת]""))"),FALSE)</f>
        <v>0</v>
      </c>
      <c r="AB246" s="1">
        <v>22.72</v>
      </c>
      <c r="AC246" s="1">
        <v>47.06</v>
      </c>
      <c r="AD246" s="1">
        <v>0.237083179534787</v>
      </c>
      <c r="AE246" s="1">
        <v>0.0</v>
      </c>
      <c r="AF246" s="1">
        <v>0.0</v>
      </c>
      <c r="AG246" s="1">
        <v>6.337</v>
      </c>
      <c r="AH246" s="1">
        <v>6.781</v>
      </c>
      <c r="AI246" s="1" t="b">
        <v>0</v>
      </c>
      <c r="AJ246" s="1" t="b">
        <v>0</v>
      </c>
      <c r="AK246" s="1">
        <v>94.182</v>
      </c>
      <c r="AL246" s="1">
        <v>96.508</v>
      </c>
      <c r="AM246" s="1" t="b">
        <v>0</v>
      </c>
      <c r="AN246" s="1" t="b">
        <v>0</v>
      </c>
      <c r="AO246" s="1">
        <v>8.05</v>
      </c>
      <c r="AP246" s="1">
        <v>8.53399999999999</v>
      </c>
      <c r="AQ246" s="1" t="b">
        <v>0</v>
      </c>
      <c r="AR246" s="1" t="b">
        <v>0</v>
      </c>
      <c r="AS246" s="1">
        <v>86.9179999999999</v>
      </c>
      <c r="AT246" s="1">
        <v>87.152</v>
      </c>
      <c r="AU246" s="1" t="b">
        <v>0</v>
      </c>
      <c r="AV246" s="1" t="b">
        <v>0</v>
      </c>
      <c r="AW246" s="1">
        <v>9.61399999999999</v>
      </c>
      <c r="AX246" s="1">
        <v>11.026</v>
      </c>
      <c r="AY246" s="1" t="b">
        <v>0</v>
      </c>
      <c r="AZ246" s="1" t="b">
        <v>0</v>
      </c>
      <c r="BA246" s="1">
        <v>81.25</v>
      </c>
      <c r="BB246" s="1">
        <v>77.78</v>
      </c>
      <c r="BC246" s="1" t="b">
        <v>0</v>
      </c>
      <c r="BD246" s="1" t="b">
        <v>0</v>
      </c>
      <c r="BE246" s="1">
        <v>11.34</v>
      </c>
      <c r="BF246" s="1">
        <v>13.285</v>
      </c>
      <c r="BG246" s="1" t="b">
        <v>0</v>
      </c>
      <c r="BH246" s="1" t="b">
        <v>0</v>
      </c>
      <c r="BI246" s="1">
        <v>77.78</v>
      </c>
      <c r="BJ246" s="1">
        <v>75.0</v>
      </c>
      <c r="BK246" s="1" t="b">
        <v>0</v>
      </c>
      <c r="BL246" s="1" t="b">
        <v>0</v>
      </c>
      <c r="BM246" s="1">
        <v>13.121</v>
      </c>
      <c r="BN246" s="1">
        <v>14.568</v>
      </c>
      <c r="BO246" s="1" t="b">
        <v>0</v>
      </c>
      <c r="BP246" s="1" t="b">
        <v>0</v>
      </c>
      <c r="BQ246" s="1">
        <v>75.0</v>
      </c>
      <c r="BR246" s="1">
        <v>72.027</v>
      </c>
      <c r="BS246" s="1" t="b">
        <v>1</v>
      </c>
      <c r="BT246" s="1" t="b">
        <v>0</v>
      </c>
      <c r="BU246" s="1" t="s">
        <v>105</v>
      </c>
      <c r="BV246" s="1" t="s">
        <v>105</v>
      </c>
      <c r="BW246" s="1" t="s">
        <v>105</v>
      </c>
      <c r="BX246" s="1" t="s">
        <v>105</v>
      </c>
      <c r="BY246" s="1" t="s">
        <v>105</v>
      </c>
      <c r="BZ246" s="1" t="s">
        <v>105</v>
      </c>
      <c r="CA246" s="1" t="s">
        <v>105</v>
      </c>
      <c r="CB246" s="1" t="s">
        <v>105</v>
      </c>
      <c r="CC246" s="1" t="s">
        <v>105</v>
      </c>
      <c r="CD246" s="1" t="s">
        <v>91</v>
      </c>
      <c r="CE246" s="4"/>
      <c r="CF246" s="4"/>
    </row>
    <row r="247" hidden="1">
      <c r="A247" s="1" t="s">
        <v>82</v>
      </c>
      <c r="B247" s="1" t="s">
        <v>524</v>
      </c>
      <c r="C247" s="1">
        <v>15.0</v>
      </c>
      <c r="D247" s="5" t="s">
        <v>1181</v>
      </c>
      <c r="E247" s="1" t="s">
        <v>1182</v>
      </c>
      <c r="F247" s="1">
        <v>67.0</v>
      </c>
      <c r="G247" s="1">
        <v>0.0</v>
      </c>
      <c r="H247" s="1" t="s">
        <v>1183</v>
      </c>
      <c r="I247" s="4" t="b">
        <f>IFERROR(__xludf.DUMMYFUNCTION("IF(H247="""",,REGEXMATCH(H247,""[א-ת]""))"),FALSE)</f>
        <v>0</v>
      </c>
      <c r="J247" s="4"/>
      <c r="K247" s="4"/>
      <c r="L247" s="1">
        <v>0.0</v>
      </c>
      <c r="M247" s="1">
        <v>15.37</v>
      </c>
      <c r="N247" s="1">
        <v>85.07</v>
      </c>
      <c r="O247" s="1">
        <v>1.269701493</v>
      </c>
      <c r="P247" s="4"/>
      <c r="Q247" s="4"/>
      <c r="R247" s="1" t="s">
        <v>89</v>
      </c>
      <c r="S247" s="1" t="s">
        <v>1182</v>
      </c>
      <c r="T247" s="1" t="s">
        <v>524</v>
      </c>
      <c r="U247" s="1">
        <v>16.0</v>
      </c>
      <c r="V247" s="5" t="s">
        <v>1181</v>
      </c>
      <c r="W247" s="1" t="s">
        <v>1182</v>
      </c>
      <c r="X247" s="1" t="s">
        <v>1184</v>
      </c>
      <c r="Y247" s="4"/>
      <c r="Z247" s="4"/>
      <c r="AA247" s="4" t="b">
        <f>IFERROR(__xludf.DUMMYFUNCTION("IF(X247="""",,REGEXMATCH(X247,""[א-ת]""))"),FALSE)</f>
        <v>0</v>
      </c>
      <c r="AB247" s="1">
        <v>15.33</v>
      </c>
      <c r="AC247" s="1">
        <v>70.15</v>
      </c>
      <c r="AD247" s="1">
        <v>0.382511772072185</v>
      </c>
      <c r="AE247" s="1">
        <v>-0.7502</v>
      </c>
      <c r="AF247" s="1">
        <v>0.0</v>
      </c>
      <c r="AG247" s="1">
        <v>6.337</v>
      </c>
      <c r="AH247" s="1">
        <v>6.781</v>
      </c>
      <c r="AI247" s="1" t="b">
        <v>0</v>
      </c>
      <c r="AJ247" s="1" t="b">
        <v>0</v>
      </c>
      <c r="AK247" s="1">
        <v>94.182</v>
      </c>
      <c r="AL247" s="1">
        <v>96.508</v>
      </c>
      <c r="AM247" s="1" t="b">
        <v>0</v>
      </c>
      <c r="AN247" s="1" t="b">
        <v>0</v>
      </c>
      <c r="AO247" s="1">
        <v>8.05</v>
      </c>
      <c r="AP247" s="1">
        <v>8.53399999999999</v>
      </c>
      <c r="AQ247" s="1" t="b">
        <v>0</v>
      </c>
      <c r="AR247" s="1" t="b">
        <v>0</v>
      </c>
      <c r="AS247" s="1">
        <v>86.9179999999999</v>
      </c>
      <c r="AT247" s="1">
        <v>87.152</v>
      </c>
      <c r="AU247" s="1" t="b">
        <v>0</v>
      </c>
      <c r="AV247" s="1" t="b">
        <v>0</v>
      </c>
      <c r="AW247" s="1">
        <v>9.61399999999999</v>
      </c>
      <c r="AX247" s="1">
        <v>11.026</v>
      </c>
      <c r="AY247" s="1" t="b">
        <v>0</v>
      </c>
      <c r="AZ247" s="1" t="b">
        <v>0</v>
      </c>
      <c r="BA247" s="1">
        <v>81.25</v>
      </c>
      <c r="BB247" s="1">
        <v>77.78</v>
      </c>
      <c r="BC247" s="1" t="b">
        <v>1</v>
      </c>
      <c r="BD247" s="1" t="b">
        <v>0</v>
      </c>
      <c r="BE247" s="1">
        <v>11.34</v>
      </c>
      <c r="BF247" s="1">
        <v>13.285</v>
      </c>
      <c r="BG247" s="1" t="b">
        <v>0</v>
      </c>
      <c r="BH247" s="1" t="b">
        <v>0</v>
      </c>
      <c r="BI247" s="1">
        <v>77.78</v>
      </c>
      <c r="BJ247" s="1">
        <v>75.0</v>
      </c>
      <c r="BK247" s="1" t="b">
        <v>1</v>
      </c>
      <c r="BL247" s="1" t="b">
        <v>0</v>
      </c>
      <c r="BM247" s="1">
        <v>13.121</v>
      </c>
      <c r="BN247" s="1">
        <v>14.568</v>
      </c>
      <c r="BO247" s="1" t="b">
        <v>0</v>
      </c>
      <c r="BP247" s="1" t="b">
        <v>0</v>
      </c>
      <c r="BQ247" s="1">
        <v>75.0</v>
      </c>
      <c r="BR247" s="1">
        <v>72.027</v>
      </c>
      <c r="BS247" s="1" t="b">
        <v>1</v>
      </c>
      <c r="BT247" s="1" t="b">
        <v>0</v>
      </c>
      <c r="BU247" s="1" t="s">
        <v>105</v>
      </c>
      <c r="BV247" s="1" t="s">
        <v>105</v>
      </c>
      <c r="BW247" s="1" t="s">
        <v>105</v>
      </c>
      <c r="BX247" s="1" t="s">
        <v>105</v>
      </c>
      <c r="BY247" s="1" t="s">
        <v>105</v>
      </c>
      <c r="BZ247" s="1" t="s">
        <v>91</v>
      </c>
      <c r="CA247" s="1" t="s">
        <v>105</v>
      </c>
      <c r="CB247" s="1" t="s">
        <v>91</v>
      </c>
      <c r="CC247" s="1" t="s">
        <v>105</v>
      </c>
      <c r="CD247" s="1" t="s">
        <v>91</v>
      </c>
      <c r="CE247" s="4"/>
      <c r="CF247" s="4"/>
    </row>
    <row r="248" hidden="1">
      <c r="A248" s="1" t="s">
        <v>82</v>
      </c>
      <c r="B248" s="1" t="s">
        <v>333</v>
      </c>
      <c r="C248" s="1">
        <v>15.0</v>
      </c>
      <c r="D248" s="5" t="s">
        <v>1185</v>
      </c>
      <c r="E248" s="1" t="s">
        <v>1186</v>
      </c>
      <c r="F248" s="1">
        <v>34.0</v>
      </c>
      <c r="G248" s="1">
        <v>0.4939</v>
      </c>
      <c r="H248" s="1" t="s">
        <v>1187</v>
      </c>
      <c r="I248" s="4" t="b">
        <f>IFERROR(__xludf.DUMMYFUNCTION("IF(H248="""",,REGEXMATCH(H248,""[א-ת]""))"),FALSE)</f>
        <v>0</v>
      </c>
      <c r="J248" s="4"/>
      <c r="K248" s="4"/>
      <c r="L248" s="1">
        <v>0.7783</v>
      </c>
      <c r="M248" s="1">
        <v>15.43</v>
      </c>
      <c r="N248" s="1">
        <v>76.47</v>
      </c>
      <c r="O248" s="1">
        <v>2.249117647</v>
      </c>
      <c r="P248" s="4"/>
      <c r="Q248" s="4"/>
      <c r="R248" s="1" t="s">
        <v>89</v>
      </c>
      <c r="S248" s="1" t="s">
        <v>1186</v>
      </c>
      <c r="T248" s="1" t="s">
        <v>333</v>
      </c>
      <c r="U248" s="1">
        <v>16.0</v>
      </c>
      <c r="V248" s="5" t="s">
        <v>1185</v>
      </c>
      <c r="W248" s="1" t="s">
        <v>1186</v>
      </c>
      <c r="X248" s="1" t="s">
        <v>1188</v>
      </c>
      <c r="Y248" s="4"/>
      <c r="Z248" s="4"/>
      <c r="AA248" s="4" t="b">
        <f>IFERROR(__xludf.DUMMYFUNCTION("IF(X248="""",,REGEXMATCH(X248,""[א-ת]""))"),FALSE)</f>
        <v>0</v>
      </c>
      <c r="AB248" s="1">
        <v>16.21</v>
      </c>
      <c r="AC248" s="1">
        <v>67.65</v>
      </c>
      <c r="AD248" s="1">
        <v>0.641264361021007</v>
      </c>
      <c r="AE248" s="1">
        <v>0.6369</v>
      </c>
      <c r="AF248" s="1">
        <v>0.4939</v>
      </c>
      <c r="AG248" s="1">
        <v>6.337</v>
      </c>
      <c r="AH248" s="1">
        <v>6.781</v>
      </c>
      <c r="AI248" s="1" t="b">
        <v>0</v>
      </c>
      <c r="AJ248" s="1" t="b">
        <v>0</v>
      </c>
      <c r="AK248" s="1">
        <v>94.182</v>
      </c>
      <c r="AL248" s="1">
        <v>96.508</v>
      </c>
      <c r="AM248" s="1" t="b">
        <v>0</v>
      </c>
      <c r="AN248" s="1" t="b">
        <v>0</v>
      </c>
      <c r="AO248" s="1">
        <v>8.05</v>
      </c>
      <c r="AP248" s="1">
        <v>8.53399999999999</v>
      </c>
      <c r="AQ248" s="1" t="b">
        <v>0</v>
      </c>
      <c r="AR248" s="1" t="b">
        <v>0</v>
      </c>
      <c r="AS248" s="1">
        <v>86.9179999999999</v>
      </c>
      <c r="AT248" s="1">
        <v>87.152</v>
      </c>
      <c r="AU248" s="1" t="b">
        <v>0</v>
      </c>
      <c r="AV248" s="1" t="b">
        <v>0</v>
      </c>
      <c r="AW248" s="1">
        <v>9.61399999999999</v>
      </c>
      <c r="AX248" s="1">
        <v>11.026</v>
      </c>
      <c r="AY248" s="1" t="b">
        <v>0</v>
      </c>
      <c r="AZ248" s="1" t="b">
        <v>0</v>
      </c>
      <c r="BA248" s="1">
        <v>81.25</v>
      </c>
      <c r="BB248" s="1">
        <v>77.78</v>
      </c>
      <c r="BC248" s="1" t="b">
        <v>0</v>
      </c>
      <c r="BD248" s="1" t="b">
        <v>0</v>
      </c>
      <c r="BE248" s="1">
        <v>11.34</v>
      </c>
      <c r="BF248" s="1">
        <v>13.285</v>
      </c>
      <c r="BG248" s="1" t="b">
        <v>0</v>
      </c>
      <c r="BH248" s="1" t="b">
        <v>0</v>
      </c>
      <c r="BI248" s="1">
        <v>77.78</v>
      </c>
      <c r="BJ248" s="1">
        <v>75.0</v>
      </c>
      <c r="BK248" s="1" t="b">
        <v>0</v>
      </c>
      <c r="BL248" s="1" t="b">
        <v>0</v>
      </c>
      <c r="BM248" s="1">
        <v>13.121</v>
      </c>
      <c r="BN248" s="1">
        <v>14.568</v>
      </c>
      <c r="BO248" s="1" t="b">
        <v>0</v>
      </c>
      <c r="BP248" s="1" t="b">
        <v>0</v>
      </c>
      <c r="BQ248" s="1">
        <v>75.0</v>
      </c>
      <c r="BR248" s="1">
        <v>72.027</v>
      </c>
      <c r="BS248" s="1" t="b">
        <v>1</v>
      </c>
      <c r="BT248" s="1" t="b">
        <v>0</v>
      </c>
      <c r="BU248" s="1" t="s">
        <v>105</v>
      </c>
      <c r="BV248" s="1" t="s">
        <v>105</v>
      </c>
      <c r="BW248" s="1" t="s">
        <v>105</v>
      </c>
      <c r="BX248" s="1" t="s">
        <v>105</v>
      </c>
      <c r="BY248" s="1" t="s">
        <v>105</v>
      </c>
      <c r="BZ248" s="1" t="s">
        <v>105</v>
      </c>
      <c r="CA248" s="1" t="s">
        <v>105</v>
      </c>
      <c r="CB248" s="1" t="s">
        <v>105</v>
      </c>
      <c r="CC248" s="1" t="s">
        <v>105</v>
      </c>
      <c r="CD248" s="1" t="s">
        <v>91</v>
      </c>
      <c r="CE248" s="4"/>
      <c r="CF248" s="4"/>
    </row>
    <row r="249" hidden="1">
      <c r="A249" s="1" t="s">
        <v>82</v>
      </c>
      <c r="B249" s="1" t="s">
        <v>111</v>
      </c>
      <c r="C249" s="1">
        <v>70.0</v>
      </c>
      <c r="D249" s="5" t="s">
        <v>1189</v>
      </c>
      <c r="E249" s="1" t="s">
        <v>1190</v>
      </c>
      <c r="F249" s="1">
        <v>84.0</v>
      </c>
      <c r="G249" s="1">
        <v>0.8033</v>
      </c>
      <c r="H249" s="1" t="s">
        <v>1191</v>
      </c>
      <c r="I249" s="4" t="b">
        <f>IFERROR(__xludf.DUMMYFUNCTION("IF(H249="""",,REGEXMATCH(H249,""[א-ת]""))"),FALSE)</f>
        <v>0</v>
      </c>
      <c r="J249" s="4"/>
      <c r="K249" s="4"/>
      <c r="L249" s="1">
        <v>-0.7512</v>
      </c>
      <c r="M249" s="1">
        <v>15.47</v>
      </c>
      <c r="N249" s="1">
        <v>66.67</v>
      </c>
      <c r="O249" s="1">
        <v>0.7936904762</v>
      </c>
      <c r="P249" s="4"/>
      <c r="Q249" s="4"/>
      <c r="R249" s="1" t="s">
        <v>89</v>
      </c>
      <c r="S249" s="1" t="s">
        <v>1190</v>
      </c>
      <c r="T249" s="1" t="s">
        <v>111</v>
      </c>
      <c r="U249" s="1">
        <v>71.0</v>
      </c>
      <c r="V249" s="5" t="s">
        <v>1189</v>
      </c>
      <c r="W249" s="1" t="s">
        <v>1190</v>
      </c>
      <c r="X249" s="1" t="s">
        <v>1192</v>
      </c>
      <c r="Y249" s="4"/>
      <c r="Z249" s="4"/>
      <c r="AA249" s="4" t="b">
        <f>IFERROR(__xludf.DUMMYFUNCTION("IF(X249="""",,REGEXMATCH(X249,""[א-ת]""))"),FALSE)</f>
        <v>0</v>
      </c>
      <c r="AB249" s="1">
        <v>32.86</v>
      </c>
      <c r="AC249" s="1">
        <v>44.05</v>
      </c>
      <c r="AD249" s="1">
        <v>0.799473378673183</v>
      </c>
      <c r="AE249" s="1">
        <v>0.4671</v>
      </c>
      <c r="AF249" s="1">
        <v>0.8033</v>
      </c>
      <c r="AG249" s="1">
        <v>6.337</v>
      </c>
      <c r="AH249" s="1">
        <v>6.781</v>
      </c>
      <c r="AI249" s="1" t="b">
        <v>0</v>
      </c>
      <c r="AJ249" s="1" t="b">
        <v>0</v>
      </c>
      <c r="AK249" s="1">
        <v>94.182</v>
      </c>
      <c r="AL249" s="1">
        <v>96.508</v>
      </c>
      <c r="AM249" s="1" t="b">
        <v>0</v>
      </c>
      <c r="AN249" s="1" t="b">
        <v>0</v>
      </c>
      <c r="AO249" s="1">
        <v>8.05</v>
      </c>
      <c r="AP249" s="1">
        <v>8.53399999999999</v>
      </c>
      <c r="AQ249" s="1" t="b">
        <v>0</v>
      </c>
      <c r="AR249" s="1" t="b">
        <v>0</v>
      </c>
      <c r="AS249" s="1">
        <v>86.9179999999999</v>
      </c>
      <c r="AT249" s="1">
        <v>87.152</v>
      </c>
      <c r="AU249" s="1" t="b">
        <v>0</v>
      </c>
      <c r="AV249" s="1" t="b">
        <v>0</v>
      </c>
      <c r="AW249" s="1">
        <v>9.61399999999999</v>
      </c>
      <c r="AX249" s="1">
        <v>11.026</v>
      </c>
      <c r="AY249" s="1" t="b">
        <v>0</v>
      </c>
      <c r="AZ249" s="1" t="b">
        <v>0</v>
      </c>
      <c r="BA249" s="1">
        <v>81.25</v>
      </c>
      <c r="BB249" s="1">
        <v>77.78</v>
      </c>
      <c r="BC249" s="1" t="b">
        <v>0</v>
      </c>
      <c r="BD249" s="1" t="b">
        <v>0</v>
      </c>
      <c r="BE249" s="1">
        <v>11.34</v>
      </c>
      <c r="BF249" s="1">
        <v>13.285</v>
      </c>
      <c r="BG249" s="1" t="b">
        <v>0</v>
      </c>
      <c r="BH249" s="1" t="b">
        <v>0</v>
      </c>
      <c r="BI249" s="1">
        <v>77.78</v>
      </c>
      <c r="BJ249" s="1">
        <v>75.0</v>
      </c>
      <c r="BK249" s="1" t="b">
        <v>0</v>
      </c>
      <c r="BL249" s="1" t="b">
        <v>0</v>
      </c>
      <c r="BM249" s="1">
        <v>13.121</v>
      </c>
      <c r="BN249" s="1">
        <v>14.568</v>
      </c>
      <c r="BO249" s="1" t="b">
        <v>0</v>
      </c>
      <c r="BP249" s="1" t="b">
        <v>0</v>
      </c>
      <c r="BQ249" s="1">
        <v>75.0</v>
      </c>
      <c r="BR249" s="1">
        <v>72.027</v>
      </c>
      <c r="BS249" s="1" t="b">
        <v>0</v>
      </c>
      <c r="BT249" s="1" t="b">
        <v>0</v>
      </c>
      <c r="BU249" s="1" t="s">
        <v>105</v>
      </c>
      <c r="BV249" s="1" t="s">
        <v>105</v>
      </c>
      <c r="BW249" s="1" t="s">
        <v>105</v>
      </c>
      <c r="BX249" s="1" t="s">
        <v>105</v>
      </c>
      <c r="BY249" s="1" t="s">
        <v>105</v>
      </c>
      <c r="BZ249" s="1" t="s">
        <v>105</v>
      </c>
      <c r="CA249" s="1" t="s">
        <v>105</v>
      </c>
      <c r="CB249" s="1" t="s">
        <v>105</v>
      </c>
      <c r="CC249" s="1" t="s">
        <v>105</v>
      </c>
      <c r="CD249" s="1" t="s">
        <v>105</v>
      </c>
      <c r="CE249" s="4"/>
      <c r="CF249" s="4"/>
    </row>
    <row r="250" hidden="1">
      <c r="A250" s="1" t="s">
        <v>82</v>
      </c>
      <c r="B250" s="1" t="s">
        <v>251</v>
      </c>
      <c r="C250" s="1">
        <v>6.0</v>
      </c>
      <c r="D250" s="5" t="s">
        <v>1193</v>
      </c>
      <c r="E250" s="1" t="s">
        <v>1194</v>
      </c>
      <c r="F250" s="1">
        <v>66.0</v>
      </c>
      <c r="G250" s="1">
        <v>0.9282</v>
      </c>
      <c r="H250" s="1" t="s">
        <v>1195</v>
      </c>
      <c r="I250" s="4" t="b">
        <f>IFERROR(__xludf.DUMMYFUNCTION("IF(H250="""",,REGEXMATCH(H250,""[א-ת]""))"),FALSE)</f>
        <v>0</v>
      </c>
      <c r="J250" s="4"/>
      <c r="K250" s="4"/>
      <c r="L250" s="1">
        <v>0.9352</v>
      </c>
      <c r="M250" s="1">
        <v>15.49</v>
      </c>
      <c r="N250" s="1">
        <v>57.58</v>
      </c>
      <c r="O250" s="1">
        <v>0.8724242424</v>
      </c>
      <c r="P250" s="4"/>
      <c r="Q250" s="4"/>
      <c r="R250" s="1" t="s">
        <v>89</v>
      </c>
      <c r="S250" s="1" t="s">
        <v>1194</v>
      </c>
      <c r="T250" s="1" t="s">
        <v>251</v>
      </c>
      <c r="U250" s="1">
        <v>7.0</v>
      </c>
      <c r="V250" s="5" t="s">
        <v>1193</v>
      </c>
      <c r="W250" s="1" t="s">
        <v>1194</v>
      </c>
      <c r="X250" s="1" t="s">
        <v>1196</v>
      </c>
      <c r="Y250" s="4"/>
      <c r="Z250" s="4"/>
      <c r="AA250" s="4" t="b">
        <f>IFERROR(__xludf.DUMMYFUNCTION("IF(X250="""",,REGEXMATCH(X250,""[א-ת]""))"),FALSE)</f>
        <v>0</v>
      </c>
      <c r="AB250" s="1">
        <v>24.49</v>
      </c>
      <c r="AC250" s="1">
        <v>57.58</v>
      </c>
      <c r="AD250" s="1">
        <v>0.610609122111652</v>
      </c>
      <c r="AE250" s="1">
        <v>0.8466</v>
      </c>
      <c r="AF250" s="1">
        <v>0.9282</v>
      </c>
      <c r="AG250" s="1">
        <v>6.337</v>
      </c>
      <c r="AH250" s="1">
        <v>6.781</v>
      </c>
      <c r="AI250" s="1" t="b">
        <v>0</v>
      </c>
      <c r="AJ250" s="1" t="b">
        <v>0</v>
      </c>
      <c r="AK250" s="1">
        <v>94.182</v>
      </c>
      <c r="AL250" s="1">
        <v>96.508</v>
      </c>
      <c r="AM250" s="1" t="b">
        <v>0</v>
      </c>
      <c r="AN250" s="1" t="b">
        <v>0</v>
      </c>
      <c r="AO250" s="1">
        <v>8.05</v>
      </c>
      <c r="AP250" s="1">
        <v>8.53399999999999</v>
      </c>
      <c r="AQ250" s="1" t="b">
        <v>0</v>
      </c>
      <c r="AR250" s="1" t="b">
        <v>0</v>
      </c>
      <c r="AS250" s="1">
        <v>86.9179999999999</v>
      </c>
      <c r="AT250" s="1">
        <v>87.152</v>
      </c>
      <c r="AU250" s="1" t="b">
        <v>0</v>
      </c>
      <c r="AV250" s="1" t="b">
        <v>0</v>
      </c>
      <c r="AW250" s="1">
        <v>9.61399999999999</v>
      </c>
      <c r="AX250" s="1">
        <v>11.026</v>
      </c>
      <c r="AY250" s="1" t="b">
        <v>0</v>
      </c>
      <c r="AZ250" s="1" t="b">
        <v>0</v>
      </c>
      <c r="BA250" s="1">
        <v>81.25</v>
      </c>
      <c r="BB250" s="1">
        <v>77.78</v>
      </c>
      <c r="BC250" s="1" t="b">
        <v>0</v>
      </c>
      <c r="BD250" s="1" t="b">
        <v>0</v>
      </c>
      <c r="BE250" s="1">
        <v>11.34</v>
      </c>
      <c r="BF250" s="1">
        <v>13.285</v>
      </c>
      <c r="BG250" s="1" t="b">
        <v>0</v>
      </c>
      <c r="BH250" s="1" t="b">
        <v>0</v>
      </c>
      <c r="BI250" s="1">
        <v>77.78</v>
      </c>
      <c r="BJ250" s="1">
        <v>75.0</v>
      </c>
      <c r="BK250" s="1" t="b">
        <v>0</v>
      </c>
      <c r="BL250" s="1" t="b">
        <v>0</v>
      </c>
      <c r="BM250" s="1">
        <v>13.121</v>
      </c>
      <c r="BN250" s="1">
        <v>14.568</v>
      </c>
      <c r="BO250" s="1" t="b">
        <v>0</v>
      </c>
      <c r="BP250" s="1" t="b">
        <v>0</v>
      </c>
      <c r="BQ250" s="1">
        <v>75.0</v>
      </c>
      <c r="BR250" s="1">
        <v>72.027</v>
      </c>
      <c r="BS250" s="1" t="b">
        <v>0</v>
      </c>
      <c r="BT250" s="1" t="b">
        <v>0</v>
      </c>
      <c r="BU250" s="1" t="s">
        <v>105</v>
      </c>
      <c r="BV250" s="1" t="s">
        <v>105</v>
      </c>
      <c r="BW250" s="1" t="s">
        <v>105</v>
      </c>
      <c r="BX250" s="1" t="s">
        <v>105</v>
      </c>
      <c r="BY250" s="1" t="s">
        <v>105</v>
      </c>
      <c r="BZ250" s="1" t="s">
        <v>105</v>
      </c>
      <c r="CA250" s="1" t="s">
        <v>105</v>
      </c>
      <c r="CB250" s="1" t="s">
        <v>105</v>
      </c>
      <c r="CC250" s="1" t="s">
        <v>105</v>
      </c>
      <c r="CD250" s="1" t="s">
        <v>105</v>
      </c>
      <c r="CE250" s="4"/>
      <c r="CF250" s="4"/>
    </row>
    <row r="251" hidden="1">
      <c r="A251" s="1" t="s">
        <v>82</v>
      </c>
      <c r="B251" s="1" t="s">
        <v>123</v>
      </c>
      <c r="C251" s="1">
        <v>39.0</v>
      </c>
      <c r="D251" s="5" t="s">
        <v>1197</v>
      </c>
      <c r="E251" s="1" t="s">
        <v>1198</v>
      </c>
      <c r="F251" s="1">
        <v>64.0</v>
      </c>
      <c r="G251" s="1">
        <v>-0.6486</v>
      </c>
      <c r="H251" s="1" t="s">
        <v>1199</v>
      </c>
      <c r="I251" s="4" t="b">
        <f>IFERROR(__xludf.DUMMYFUNCTION("IF(H251="""",,REGEXMATCH(H251,""[א-ת]""))"),FALSE)</f>
        <v>0</v>
      </c>
      <c r="J251" s="4"/>
      <c r="K251" s="4"/>
      <c r="L251" s="1">
        <v>0.4284</v>
      </c>
      <c r="M251" s="1">
        <v>15.51</v>
      </c>
      <c r="N251" s="1">
        <v>84.38</v>
      </c>
      <c r="O251" s="1">
        <v>1.3184375</v>
      </c>
      <c r="P251" s="4"/>
      <c r="Q251" s="4"/>
      <c r="R251" s="1" t="s">
        <v>127</v>
      </c>
      <c r="S251" s="1" t="s">
        <v>1198</v>
      </c>
      <c r="T251" s="1" t="s">
        <v>123</v>
      </c>
      <c r="U251" s="1">
        <v>40.0</v>
      </c>
      <c r="V251" s="5" t="s">
        <v>1197</v>
      </c>
      <c r="W251" s="1" t="s">
        <v>1198</v>
      </c>
      <c r="X251" s="1" t="s">
        <v>1200</v>
      </c>
      <c r="Y251" s="4"/>
      <c r="Z251" s="4"/>
      <c r="AA251" s="4" t="b">
        <f>IFERROR(__xludf.DUMMYFUNCTION("IF(X251="""",,REGEXMATCH(X251,""[א-ת]""))"),TRUE)</f>
        <v>1</v>
      </c>
      <c r="AB251" s="1">
        <v>16.09</v>
      </c>
      <c r="AC251" s="1">
        <v>118.75</v>
      </c>
      <c r="AD251" s="1">
        <v>0.360888220579848</v>
      </c>
      <c r="AE251" s="1">
        <v>0.0258</v>
      </c>
      <c r="AF251" s="1">
        <v>-0.6486</v>
      </c>
      <c r="AG251" s="1">
        <v>6.337</v>
      </c>
      <c r="AH251" s="1">
        <v>6.781</v>
      </c>
      <c r="AI251" s="1" t="b">
        <v>0</v>
      </c>
      <c r="AJ251" s="1" t="b">
        <v>0</v>
      </c>
      <c r="AK251" s="1">
        <v>94.182</v>
      </c>
      <c r="AL251" s="1">
        <v>96.508</v>
      </c>
      <c r="AM251" s="1" t="b">
        <v>0</v>
      </c>
      <c r="AN251" s="1" t="b">
        <v>1</v>
      </c>
      <c r="AO251" s="1">
        <v>8.05</v>
      </c>
      <c r="AP251" s="1">
        <v>8.53399999999999</v>
      </c>
      <c r="AQ251" s="1" t="b">
        <v>0</v>
      </c>
      <c r="AR251" s="1" t="b">
        <v>0</v>
      </c>
      <c r="AS251" s="1">
        <v>86.9179999999999</v>
      </c>
      <c r="AT251" s="1">
        <v>87.152</v>
      </c>
      <c r="AU251" s="1" t="b">
        <v>0</v>
      </c>
      <c r="AV251" s="1" t="b">
        <v>1</v>
      </c>
      <c r="AW251" s="1">
        <v>9.61399999999999</v>
      </c>
      <c r="AX251" s="1">
        <v>11.026</v>
      </c>
      <c r="AY251" s="1" t="b">
        <v>0</v>
      </c>
      <c r="AZ251" s="1" t="b">
        <v>0</v>
      </c>
      <c r="BA251" s="1">
        <v>81.25</v>
      </c>
      <c r="BB251" s="1">
        <v>77.78</v>
      </c>
      <c r="BC251" s="1" t="b">
        <v>1</v>
      </c>
      <c r="BD251" s="1" t="b">
        <v>1</v>
      </c>
      <c r="BE251" s="1">
        <v>11.34</v>
      </c>
      <c r="BF251" s="1">
        <v>13.285</v>
      </c>
      <c r="BG251" s="1" t="b">
        <v>0</v>
      </c>
      <c r="BH251" s="1" t="b">
        <v>0</v>
      </c>
      <c r="BI251" s="1">
        <v>77.78</v>
      </c>
      <c r="BJ251" s="1">
        <v>75.0</v>
      </c>
      <c r="BK251" s="1" t="b">
        <v>1</v>
      </c>
      <c r="BL251" s="1" t="b">
        <v>1</v>
      </c>
      <c r="BM251" s="1">
        <v>13.121</v>
      </c>
      <c r="BN251" s="1">
        <v>14.568</v>
      </c>
      <c r="BO251" s="1" t="b">
        <v>0</v>
      </c>
      <c r="BP251" s="1" t="b">
        <v>0</v>
      </c>
      <c r="BQ251" s="1">
        <v>75.0</v>
      </c>
      <c r="BR251" s="1">
        <v>72.027</v>
      </c>
      <c r="BS251" s="1" t="b">
        <v>1</v>
      </c>
      <c r="BT251" s="1" t="b">
        <v>1</v>
      </c>
      <c r="BU251" s="1" t="s">
        <v>105</v>
      </c>
      <c r="BV251" s="1" t="s">
        <v>157</v>
      </c>
      <c r="BW251" s="1" t="s">
        <v>105</v>
      </c>
      <c r="BX251" s="1" t="s">
        <v>157</v>
      </c>
      <c r="BY251" s="1" t="s">
        <v>105</v>
      </c>
      <c r="BZ251" s="1" t="s">
        <v>104</v>
      </c>
      <c r="CA251" s="1" t="s">
        <v>105</v>
      </c>
      <c r="CB251" s="1" t="s">
        <v>104</v>
      </c>
      <c r="CC251" s="1" t="s">
        <v>105</v>
      </c>
      <c r="CD251" s="1" t="s">
        <v>104</v>
      </c>
      <c r="CE251" s="4"/>
      <c r="CF251" s="4"/>
    </row>
    <row r="252" hidden="1">
      <c r="A252" s="1" t="s">
        <v>82</v>
      </c>
      <c r="B252" s="1" t="s">
        <v>197</v>
      </c>
      <c r="C252" s="1">
        <v>9.0</v>
      </c>
      <c r="D252" s="5" t="s">
        <v>1201</v>
      </c>
      <c r="E252" s="1" t="s">
        <v>1202</v>
      </c>
      <c r="F252" s="1">
        <v>25.0</v>
      </c>
      <c r="G252" s="1">
        <v>0.0</v>
      </c>
      <c r="H252" s="1" t="s">
        <v>1203</v>
      </c>
      <c r="I252" s="4" t="b">
        <f>IFERROR(__xludf.DUMMYFUNCTION("IF(H252="""",,REGEXMATCH(H252,""[א-ת]""))"),FALSE)</f>
        <v>0</v>
      </c>
      <c r="J252" s="4"/>
      <c r="K252" s="4"/>
      <c r="L252" s="1">
        <v>-0.8074</v>
      </c>
      <c r="M252" s="1">
        <v>15.51</v>
      </c>
      <c r="N252" s="1">
        <v>88.0</v>
      </c>
      <c r="O252" s="1">
        <v>3.52</v>
      </c>
      <c r="P252" s="4"/>
      <c r="Q252" s="4"/>
      <c r="R252" s="1" t="s">
        <v>89</v>
      </c>
      <c r="S252" s="1" t="s">
        <v>1202</v>
      </c>
      <c r="T252" s="1" t="s">
        <v>197</v>
      </c>
      <c r="U252" s="1">
        <v>10.0</v>
      </c>
      <c r="V252" s="5" t="s">
        <v>1201</v>
      </c>
      <c r="W252" s="1" t="s">
        <v>1202</v>
      </c>
      <c r="X252" s="1" t="s">
        <v>1204</v>
      </c>
      <c r="Y252" s="4"/>
      <c r="Z252" s="4"/>
      <c r="AA252" s="4" t="b">
        <f>IFERROR(__xludf.DUMMYFUNCTION("IF(X252="""",,REGEXMATCH(X252,""[א-ת]""))"),FALSE)</f>
        <v>0</v>
      </c>
      <c r="AB252" s="1">
        <v>33.21</v>
      </c>
      <c r="AC252" s="1">
        <v>60.0</v>
      </c>
      <c r="AD252" s="1">
        <v>0.488400156567939</v>
      </c>
      <c r="AE252" s="1">
        <v>-0.5994</v>
      </c>
      <c r="AF252" s="1">
        <v>0.0</v>
      </c>
      <c r="AG252" s="1">
        <v>6.337</v>
      </c>
      <c r="AH252" s="1">
        <v>6.781</v>
      </c>
      <c r="AI252" s="1" t="b">
        <v>0</v>
      </c>
      <c r="AJ252" s="1" t="b">
        <v>0</v>
      </c>
      <c r="AK252" s="1">
        <v>94.182</v>
      </c>
      <c r="AL252" s="1">
        <v>96.508</v>
      </c>
      <c r="AM252" s="1" t="b">
        <v>0</v>
      </c>
      <c r="AN252" s="1" t="b">
        <v>0</v>
      </c>
      <c r="AO252" s="1">
        <v>8.05</v>
      </c>
      <c r="AP252" s="1">
        <v>8.53399999999999</v>
      </c>
      <c r="AQ252" s="1" t="b">
        <v>0</v>
      </c>
      <c r="AR252" s="1" t="b">
        <v>0</v>
      </c>
      <c r="AS252" s="1">
        <v>86.9179999999999</v>
      </c>
      <c r="AT252" s="1">
        <v>87.152</v>
      </c>
      <c r="AU252" s="1" t="b">
        <v>1</v>
      </c>
      <c r="AV252" s="1" t="b">
        <v>0</v>
      </c>
      <c r="AW252" s="1">
        <v>9.61399999999999</v>
      </c>
      <c r="AX252" s="1">
        <v>11.026</v>
      </c>
      <c r="AY252" s="1" t="b">
        <v>0</v>
      </c>
      <c r="AZ252" s="1" t="b">
        <v>0</v>
      </c>
      <c r="BA252" s="1">
        <v>81.25</v>
      </c>
      <c r="BB252" s="1">
        <v>77.78</v>
      </c>
      <c r="BC252" s="1" t="b">
        <v>1</v>
      </c>
      <c r="BD252" s="1" t="b">
        <v>0</v>
      </c>
      <c r="BE252" s="1">
        <v>11.34</v>
      </c>
      <c r="BF252" s="1">
        <v>13.285</v>
      </c>
      <c r="BG252" s="1" t="b">
        <v>0</v>
      </c>
      <c r="BH252" s="1" t="b">
        <v>0</v>
      </c>
      <c r="BI252" s="1">
        <v>77.78</v>
      </c>
      <c r="BJ252" s="1">
        <v>75.0</v>
      </c>
      <c r="BK252" s="1" t="b">
        <v>1</v>
      </c>
      <c r="BL252" s="1" t="b">
        <v>0</v>
      </c>
      <c r="BM252" s="1">
        <v>13.121</v>
      </c>
      <c r="BN252" s="1">
        <v>14.568</v>
      </c>
      <c r="BO252" s="1" t="b">
        <v>0</v>
      </c>
      <c r="BP252" s="1" t="b">
        <v>0</v>
      </c>
      <c r="BQ252" s="1">
        <v>75.0</v>
      </c>
      <c r="BR252" s="1">
        <v>72.027</v>
      </c>
      <c r="BS252" s="1" t="b">
        <v>1</v>
      </c>
      <c r="BT252" s="1" t="b">
        <v>0</v>
      </c>
      <c r="BU252" s="1" t="s">
        <v>105</v>
      </c>
      <c r="BV252" s="1" t="s">
        <v>105</v>
      </c>
      <c r="BW252" s="1" t="s">
        <v>105</v>
      </c>
      <c r="BX252" s="1" t="s">
        <v>91</v>
      </c>
      <c r="BY252" s="1" t="s">
        <v>105</v>
      </c>
      <c r="BZ252" s="1" t="s">
        <v>91</v>
      </c>
      <c r="CA252" s="1" t="s">
        <v>105</v>
      </c>
      <c r="CB252" s="1" t="s">
        <v>91</v>
      </c>
      <c r="CC252" s="1" t="s">
        <v>105</v>
      </c>
      <c r="CD252" s="1" t="s">
        <v>91</v>
      </c>
      <c r="CE252" s="4"/>
      <c r="CF252" s="4"/>
    </row>
    <row r="253" hidden="1">
      <c r="A253" s="1" t="s">
        <v>82</v>
      </c>
      <c r="B253" s="1" t="s">
        <v>145</v>
      </c>
      <c r="C253" s="1">
        <v>15.0</v>
      </c>
      <c r="D253" s="5" t="s">
        <v>1205</v>
      </c>
      <c r="E253" s="1" t="s">
        <v>1206</v>
      </c>
      <c r="F253" s="1">
        <v>25.0</v>
      </c>
      <c r="G253" s="1">
        <v>-0.296</v>
      </c>
      <c r="H253" s="1" t="s">
        <v>1207</v>
      </c>
      <c r="I253" s="4" t="b">
        <f>IFERROR(__xludf.DUMMYFUNCTION("IF(H253="""",,REGEXMATCH(H253,""[א-ת]""))"),FALSE)</f>
        <v>0</v>
      </c>
      <c r="J253" s="4"/>
      <c r="K253" s="4"/>
      <c r="L253" s="1">
        <v>-0.296</v>
      </c>
      <c r="M253" s="1">
        <v>15.54</v>
      </c>
      <c r="N253" s="1">
        <v>96.0</v>
      </c>
      <c r="O253" s="1">
        <v>3.84</v>
      </c>
      <c r="P253" s="4"/>
      <c r="Q253" s="4"/>
      <c r="R253" s="1" t="s">
        <v>89</v>
      </c>
      <c r="S253" s="1" t="s">
        <v>1206</v>
      </c>
      <c r="T253" s="1" t="s">
        <v>145</v>
      </c>
      <c r="U253" s="1">
        <v>16.0</v>
      </c>
      <c r="V253" s="5" t="s">
        <v>1205</v>
      </c>
      <c r="W253" s="1" t="s">
        <v>1206</v>
      </c>
      <c r="X253" s="1" t="s">
        <v>1208</v>
      </c>
      <c r="Y253" s="4"/>
      <c r="Z253" s="4"/>
      <c r="AA253" s="4" t="b">
        <f>IFERROR(__xludf.DUMMYFUNCTION("IF(X253="""",,REGEXMATCH(X253,""[א-ת]""))"),FALSE)</f>
        <v>0</v>
      </c>
      <c r="AB253" s="1">
        <v>23.51</v>
      </c>
      <c r="AC253" s="1">
        <v>64.0</v>
      </c>
      <c r="AD253" s="1">
        <v>0.610848631864246</v>
      </c>
      <c r="AE253" s="1">
        <v>-0.296</v>
      </c>
      <c r="AF253" s="1">
        <v>-0.296</v>
      </c>
      <c r="AG253" s="1">
        <v>6.337</v>
      </c>
      <c r="AH253" s="1">
        <v>6.781</v>
      </c>
      <c r="AI253" s="1" t="b">
        <v>0</v>
      </c>
      <c r="AJ253" s="1" t="b">
        <v>0</v>
      </c>
      <c r="AK253" s="1">
        <v>94.182</v>
      </c>
      <c r="AL253" s="1">
        <v>96.508</v>
      </c>
      <c r="AM253" s="1" t="b">
        <v>1</v>
      </c>
      <c r="AN253" s="1" t="b">
        <v>0</v>
      </c>
      <c r="AO253" s="1">
        <v>8.05</v>
      </c>
      <c r="AP253" s="1">
        <v>8.53399999999999</v>
      </c>
      <c r="AQ253" s="1" t="b">
        <v>0</v>
      </c>
      <c r="AR253" s="1" t="b">
        <v>0</v>
      </c>
      <c r="AS253" s="1">
        <v>86.9179999999999</v>
      </c>
      <c r="AT253" s="1">
        <v>87.152</v>
      </c>
      <c r="AU253" s="1" t="b">
        <v>1</v>
      </c>
      <c r="AV253" s="1" t="b">
        <v>0</v>
      </c>
      <c r="AW253" s="1">
        <v>9.61399999999999</v>
      </c>
      <c r="AX253" s="1">
        <v>11.026</v>
      </c>
      <c r="AY253" s="1" t="b">
        <v>0</v>
      </c>
      <c r="AZ253" s="1" t="b">
        <v>0</v>
      </c>
      <c r="BA253" s="1">
        <v>81.25</v>
      </c>
      <c r="BB253" s="1">
        <v>77.78</v>
      </c>
      <c r="BC253" s="1" t="b">
        <v>1</v>
      </c>
      <c r="BD253" s="1" t="b">
        <v>0</v>
      </c>
      <c r="BE253" s="1">
        <v>11.34</v>
      </c>
      <c r="BF253" s="1">
        <v>13.285</v>
      </c>
      <c r="BG253" s="1" t="b">
        <v>0</v>
      </c>
      <c r="BH253" s="1" t="b">
        <v>0</v>
      </c>
      <c r="BI253" s="1">
        <v>77.78</v>
      </c>
      <c r="BJ253" s="1">
        <v>75.0</v>
      </c>
      <c r="BK253" s="1" t="b">
        <v>1</v>
      </c>
      <c r="BL253" s="1" t="b">
        <v>0</v>
      </c>
      <c r="BM253" s="1">
        <v>13.121</v>
      </c>
      <c r="BN253" s="1">
        <v>14.568</v>
      </c>
      <c r="BO253" s="1" t="b">
        <v>0</v>
      </c>
      <c r="BP253" s="1" t="b">
        <v>0</v>
      </c>
      <c r="BQ253" s="1">
        <v>75.0</v>
      </c>
      <c r="BR253" s="1">
        <v>72.027</v>
      </c>
      <c r="BS253" s="1" t="b">
        <v>1</v>
      </c>
      <c r="BT253" s="1" t="b">
        <v>0</v>
      </c>
      <c r="BU253" s="1" t="s">
        <v>105</v>
      </c>
      <c r="BV253" s="1" t="s">
        <v>91</v>
      </c>
      <c r="BW253" s="1" t="s">
        <v>105</v>
      </c>
      <c r="BX253" s="1" t="s">
        <v>91</v>
      </c>
      <c r="BY253" s="1" t="s">
        <v>105</v>
      </c>
      <c r="BZ253" s="1" t="s">
        <v>91</v>
      </c>
      <c r="CA253" s="1" t="s">
        <v>105</v>
      </c>
      <c r="CB253" s="1" t="s">
        <v>91</v>
      </c>
      <c r="CC253" s="1" t="s">
        <v>105</v>
      </c>
      <c r="CD253" s="1" t="s">
        <v>91</v>
      </c>
      <c r="CE253" s="4"/>
      <c r="CF253" s="4"/>
    </row>
    <row r="254" hidden="1">
      <c r="A254" s="1" t="s">
        <v>82</v>
      </c>
      <c r="B254" s="1" t="s">
        <v>524</v>
      </c>
      <c r="C254" s="1">
        <v>4.0</v>
      </c>
      <c r="D254" s="5" t="s">
        <v>1209</v>
      </c>
      <c r="E254" s="1" t="s">
        <v>1210</v>
      </c>
      <c r="F254" s="1">
        <v>39.0</v>
      </c>
      <c r="G254" s="1">
        <v>0.0</v>
      </c>
      <c r="H254" s="1" t="s">
        <v>1211</v>
      </c>
      <c r="I254" s="4" t="b">
        <f>IFERROR(__xludf.DUMMYFUNCTION("IF(H254="""",,REGEXMATCH(H254,""[א-ת]""))"),FALSE)</f>
        <v>0</v>
      </c>
      <c r="J254" s="4"/>
      <c r="K254" s="4"/>
      <c r="L254" s="1">
        <v>-0.0258</v>
      </c>
      <c r="M254" s="1">
        <v>15.6</v>
      </c>
      <c r="N254" s="1">
        <v>94.87</v>
      </c>
      <c r="O254" s="1">
        <v>2.432564103</v>
      </c>
      <c r="P254" s="4"/>
      <c r="Q254" s="4"/>
      <c r="R254" s="1" t="s">
        <v>89</v>
      </c>
      <c r="S254" s="1" t="s">
        <v>1210</v>
      </c>
      <c r="T254" s="1" t="s">
        <v>524</v>
      </c>
      <c r="U254" s="1">
        <v>5.0</v>
      </c>
      <c r="V254" s="5" t="s">
        <v>1209</v>
      </c>
      <c r="W254" s="1" t="s">
        <v>1210</v>
      </c>
      <c r="X254" s="1" t="s">
        <v>1212</v>
      </c>
      <c r="Y254" s="4"/>
      <c r="Z254" s="4"/>
      <c r="AA254" s="4" t="b">
        <f>IFERROR(__xludf.DUMMYFUNCTION("IF(X254="""",,REGEXMATCH(X254,""[א-ת]""))"),FALSE)</f>
        <v>0</v>
      </c>
      <c r="AB254" s="1">
        <v>40.27</v>
      </c>
      <c r="AC254" s="1">
        <v>51.28</v>
      </c>
      <c r="AD254" s="1">
        <v>0.370570723431053</v>
      </c>
      <c r="AE254" s="1">
        <v>0.4939</v>
      </c>
      <c r="AF254" s="1">
        <v>0.0</v>
      </c>
      <c r="AG254" s="1">
        <v>6.337</v>
      </c>
      <c r="AH254" s="1">
        <v>6.781</v>
      </c>
      <c r="AI254" s="1" t="b">
        <v>0</v>
      </c>
      <c r="AJ254" s="1" t="b">
        <v>0</v>
      </c>
      <c r="AK254" s="1">
        <v>94.182</v>
      </c>
      <c r="AL254" s="1">
        <v>96.508</v>
      </c>
      <c r="AM254" s="1" t="b">
        <v>1</v>
      </c>
      <c r="AN254" s="1" t="b">
        <v>0</v>
      </c>
      <c r="AO254" s="1">
        <v>8.05</v>
      </c>
      <c r="AP254" s="1">
        <v>8.53399999999999</v>
      </c>
      <c r="AQ254" s="1" t="b">
        <v>0</v>
      </c>
      <c r="AR254" s="1" t="b">
        <v>0</v>
      </c>
      <c r="AS254" s="1">
        <v>86.9179999999999</v>
      </c>
      <c r="AT254" s="1">
        <v>87.152</v>
      </c>
      <c r="AU254" s="1" t="b">
        <v>1</v>
      </c>
      <c r="AV254" s="1" t="b">
        <v>0</v>
      </c>
      <c r="AW254" s="1">
        <v>9.61399999999999</v>
      </c>
      <c r="AX254" s="1">
        <v>11.026</v>
      </c>
      <c r="AY254" s="1" t="b">
        <v>0</v>
      </c>
      <c r="AZ254" s="1" t="b">
        <v>0</v>
      </c>
      <c r="BA254" s="1">
        <v>81.25</v>
      </c>
      <c r="BB254" s="1">
        <v>77.78</v>
      </c>
      <c r="BC254" s="1" t="b">
        <v>1</v>
      </c>
      <c r="BD254" s="1" t="b">
        <v>0</v>
      </c>
      <c r="BE254" s="1">
        <v>11.34</v>
      </c>
      <c r="BF254" s="1">
        <v>13.285</v>
      </c>
      <c r="BG254" s="1" t="b">
        <v>0</v>
      </c>
      <c r="BH254" s="1" t="b">
        <v>0</v>
      </c>
      <c r="BI254" s="1">
        <v>77.78</v>
      </c>
      <c r="BJ254" s="1">
        <v>75.0</v>
      </c>
      <c r="BK254" s="1" t="b">
        <v>1</v>
      </c>
      <c r="BL254" s="1" t="b">
        <v>0</v>
      </c>
      <c r="BM254" s="1">
        <v>13.121</v>
      </c>
      <c r="BN254" s="1">
        <v>14.568</v>
      </c>
      <c r="BO254" s="1" t="b">
        <v>0</v>
      </c>
      <c r="BP254" s="1" t="b">
        <v>0</v>
      </c>
      <c r="BQ254" s="1">
        <v>75.0</v>
      </c>
      <c r="BR254" s="1">
        <v>72.027</v>
      </c>
      <c r="BS254" s="1" t="b">
        <v>1</v>
      </c>
      <c r="BT254" s="1" t="b">
        <v>0</v>
      </c>
      <c r="BU254" s="1" t="s">
        <v>105</v>
      </c>
      <c r="BV254" s="1" t="s">
        <v>91</v>
      </c>
      <c r="BW254" s="1" t="s">
        <v>105</v>
      </c>
      <c r="BX254" s="1" t="s">
        <v>91</v>
      </c>
      <c r="BY254" s="1" t="s">
        <v>105</v>
      </c>
      <c r="BZ254" s="1" t="s">
        <v>91</v>
      </c>
      <c r="CA254" s="1" t="s">
        <v>105</v>
      </c>
      <c r="CB254" s="1" t="s">
        <v>91</v>
      </c>
      <c r="CC254" s="1" t="s">
        <v>105</v>
      </c>
      <c r="CD254" s="1" t="s">
        <v>91</v>
      </c>
      <c r="CE254" s="4"/>
      <c r="CF254" s="4"/>
    </row>
    <row r="255" hidden="1">
      <c r="A255" s="1" t="s">
        <v>82</v>
      </c>
      <c r="B255" s="1" t="s">
        <v>92</v>
      </c>
      <c r="C255" s="1">
        <v>23.0</v>
      </c>
      <c r="D255" s="5" t="s">
        <v>1213</v>
      </c>
      <c r="E255" s="1" t="s">
        <v>1214</v>
      </c>
      <c r="F255" s="1">
        <v>47.0</v>
      </c>
      <c r="G255" s="1">
        <v>-0.0258</v>
      </c>
      <c r="H255" s="1" t="s">
        <v>1215</v>
      </c>
      <c r="I255" s="4" t="b">
        <f>IFERROR(__xludf.DUMMYFUNCTION("IF(H255="""",,REGEXMATCH(H255,""[א-ת]""))"),FALSE)</f>
        <v>0</v>
      </c>
      <c r="J255" s="4"/>
      <c r="K255" s="1" t="s">
        <v>1216</v>
      </c>
      <c r="L255" s="1">
        <v>0.34</v>
      </c>
      <c r="M255" s="1">
        <v>15.64</v>
      </c>
      <c r="N255" s="1">
        <v>61.7</v>
      </c>
      <c r="O255" s="1">
        <v>1.312765957</v>
      </c>
      <c r="P255" s="4"/>
      <c r="Q255" s="4"/>
      <c r="R255" s="1" t="s">
        <v>96</v>
      </c>
      <c r="S255" s="1" t="s">
        <v>1214</v>
      </c>
      <c r="T255" s="1" t="s">
        <v>92</v>
      </c>
      <c r="U255" s="1">
        <v>24.0</v>
      </c>
      <c r="V255" s="5" t="s">
        <v>1213</v>
      </c>
      <c r="W255" s="1" t="s">
        <v>1214</v>
      </c>
      <c r="X255" s="1" t="s">
        <v>1217</v>
      </c>
      <c r="Y255" s="4"/>
      <c r="Z255" s="4"/>
      <c r="AA255" s="4" t="b">
        <f>IFERROR(__xludf.DUMMYFUNCTION("IF(X255="""",,REGEXMATCH(X255,""[א-ת]""))"),FALSE)</f>
        <v>0</v>
      </c>
      <c r="AB255" s="1">
        <v>17.87</v>
      </c>
      <c r="AC255" s="1">
        <v>63.83</v>
      </c>
      <c r="AD255" s="1">
        <v>0.738889424412288</v>
      </c>
      <c r="AE255" s="1">
        <v>-0.0258</v>
      </c>
      <c r="AF255" s="1">
        <v>-0.0258</v>
      </c>
      <c r="AG255" s="1">
        <v>6.337</v>
      </c>
      <c r="AH255" s="1">
        <v>6.781</v>
      </c>
      <c r="AI255" s="1" t="b">
        <v>0</v>
      </c>
      <c r="AJ255" s="1" t="b">
        <v>0</v>
      </c>
      <c r="AK255" s="1">
        <v>94.182</v>
      </c>
      <c r="AL255" s="1">
        <v>96.508</v>
      </c>
      <c r="AM255" s="1" t="b">
        <v>0</v>
      </c>
      <c r="AN255" s="1" t="b">
        <v>0</v>
      </c>
      <c r="AO255" s="1">
        <v>8.05</v>
      </c>
      <c r="AP255" s="1">
        <v>8.53399999999999</v>
      </c>
      <c r="AQ255" s="1" t="b">
        <v>0</v>
      </c>
      <c r="AR255" s="1" t="b">
        <v>0</v>
      </c>
      <c r="AS255" s="1">
        <v>86.9179999999999</v>
      </c>
      <c r="AT255" s="1">
        <v>87.152</v>
      </c>
      <c r="AU255" s="1" t="b">
        <v>0</v>
      </c>
      <c r="AV255" s="1" t="b">
        <v>0</v>
      </c>
      <c r="AW255" s="1">
        <v>9.61399999999999</v>
      </c>
      <c r="AX255" s="1">
        <v>11.026</v>
      </c>
      <c r="AY255" s="1" t="b">
        <v>0</v>
      </c>
      <c r="AZ255" s="1" t="b">
        <v>0</v>
      </c>
      <c r="BA255" s="1">
        <v>81.25</v>
      </c>
      <c r="BB255" s="1">
        <v>77.78</v>
      </c>
      <c r="BC255" s="1" t="b">
        <v>0</v>
      </c>
      <c r="BD255" s="1" t="b">
        <v>0</v>
      </c>
      <c r="BE255" s="1">
        <v>11.34</v>
      </c>
      <c r="BF255" s="1">
        <v>13.285</v>
      </c>
      <c r="BG255" s="1" t="b">
        <v>0</v>
      </c>
      <c r="BH255" s="1" t="b">
        <v>0</v>
      </c>
      <c r="BI255" s="1">
        <v>77.78</v>
      </c>
      <c r="BJ255" s="1">
        <v>75.0</v>
      </c>
      <c r="BK255" s="1" t="b">
        <v>0</v>
      </c>
      <c r="BL255" s="1" t="b">
        <v>0</v>
      </c>
      <c r="BM255" s="1">
        <v>13.121</v>
      </c>
      <c r="BN255" s="1">
        <v>14.568</v>
      </c>
      <c r="BO255" s="1" t="b">
        <v>0</v>
      </c>
      <c r="BP255" s="1" t="b">
        <v>0</v>
      </c>
      <c r="BQ255" s="1">
        <v>75.0</v>
      </c>
      <c r="BR255" s="1">
        <v>72.027</v>
      </c>
      <c r="BS255" s="1" t="b">
        <v>0</v>
      </c>
      <c r="BT255" s="1" t="b">
        <v>0</v>
      </c>
      <c r="BU255" s="1" t="s">
        <v>105</v>
      </c>
      <c r="BV255" s="1" t="s">
        <v>105</v>
      </c>
      <c r="BW255" s="1" t="s">
        <v>105</v>
      </c>
      <c r="BX255" s="1" t="s">
        <v>105</v>
      </c>
      <c r="BY255" s="1" t="s">
        <v>105</v>
      </c>
      <c r="BZ255" s="1" t="s">
        <v>105</v>
      </c>
      <c r="CA255" s="1" t="s">
        <v>105</v>
      </c>
      <c r="CB255" s="1" t="s">
        <v>105</v>
      </c>
      <c r="CC255" s="1" t="s">
        <v>105</v>
      </c>
      <c r="CD255" s="1" t="s">
        <v>105</v>
      </c>
      <c r="CE255" s="4"/>
      <c r="CF255" s="4"/>
    </row>
    <row r="256" hidden="1">
      <c r="A256" s="1" t="s">
        <v>82</v>
      </c>
      <c r="B256" s="1" t="s">
        <v>145</v>
      </c>
      <c r="C256" s="1">
        <v>22.0</v>
      </c>
      <c r="D256" s="5" t="s">
        <v>1218</v>
      </c>
      <c r="E256" s="1" t="s">
        <v>1219</v>
      </c>
      <c r="F256" s="1">
        <v>17.0</v>
      </c>
      <c r="G256" s="1">
        <v>0.0</v>
      </c>
      <c r="H256" s="1" t="s">
        <v>1220</v>
      </c>
      <c r="I256" s="4" t="b">
        <f>IFERROR(__xludf.DUMMYFUNCTION("IF(H256="""",,REGEXMATCH(H256,""[א-ת]""))"),FALSE)</f>
        <v>0</v>
      </c>
      <c r="J256" s="4"/>
      <c r="K256" s="4"/>
      <c r="L256" s="1">
        <v>0.0</v>
      </c>
      <c r="M256" s="1">
        <v>15.66</v>
      </c>
      <c r="N256" s="1">
        <v>52.94</v>
      </c>
      <c r="O256" s="1">
        <v>3.114117647</v>
      </c>
      <c r="P256" s="4"/>
      <c r="Q256" s="4"/>
      <c r="R256" s="1" t="s">
        <v>89</v>
      </c>
      <c r="S256" s="1" t="s">
        <v>1219</v>
      </c>
      <c r="T256" s="1" t="s">
        <v>145</v>
      </c>
      <c r="U256" s="1">
        <v>23.0</v>
      </c>
      <c r="V256" s="5" t="s">
        <v>1218</v>
      </c>
      <c r="W256" s="1" t="s">
        <v>1219</v>
      </c>
      <c r="X256" s="1" t="s">
        <v>1221</v>
      </c>
      <c r="Y256" s="4"/>
      <c r="Z256" s="4"/>
      <c r="AA256" s="4" t="b">
        <f>IFERROR(__xludf.DUMMYFUNCTION("IF(X256="""",,REGEXMATCH(X256,""[א-ת]""))"),FALSE)</f>
        <v>0</v>
      </c>
      <c r="AB256" s="1">
        <v>34.12</v>
      </c>
      <c r="AC256" s="1">
        <v>41.18</v>
      </c>
      <c r="AD256" s="1">
        <v>0.475066186702835</v>
      </c>
      <c r="AE256" s="1">
        <v>0.0</v>
      </c>
      <c r="AF256" s="1">
        <v>0.0</v>
      </c>
      <c r="AG256" s="1">
        <v>6.337</v>
      </c>
      <c r="AH256" s="1">
        <v>6.781</v>
      </c>
      <c r="AI256" s="1" t="b">
        <v>0</v>
      </c>
      <c r="AJ256" s="1" t="b">
        <v>0</v>
      </c>
      <c r="AK256" s="1">
        <v>94.182</v>
      </c>
      <c r="AL256" s="1">
        <v>96.508</v>
      </c>
      <c r="AM256" s="1" t="b">
        <v>0</v>
      </c>
      <c r="AN256" s="1" t="b">
        <v>0</v>
      </c>
      <c r="AO256" s="1">
        <v>8.05</v>
      </c>
      <c r="AP256" s="1">
        <v>8.53399999999999</v>
      </c>
      <c r="AQ256" s="1" t="b">
        <v>0</v>
      </c>
      <c r="AR256" s="1" t="b">
        <v>0</v>
      </c>
      <c r="AS256" s="1">
        <v>86.9179999999999</v>
      </c>
      <c r="AT256" s="1">
        <v>87.152</v>
      </c>
      <c r="AU256" s="1" t="b">
        <v>0</v>
      </c>
      <c r="AV256" s="1" t="b">
        <v>0</v>
      </c>
      <c r="AW256" s="1">
        <v>9.61399999999999</v>
      </c>
      <c r="AX256" s="1">
        <v>11.026</v>
      </c>
      <c r="AY256" s="1" t="b">
        <v>0</v>
      </c>
      <c r="AZ256" s="1" t="b">
        <v>0</v>
      </c>
      <c r="BA256" s="1">
        <v>81.25</v>
      </c>
      <c r="BB256" s="1">
        <v>77.78</v>
      </c>
      <c r="BC256" s="1" t="b">
        <v>0</v>
      </c>
      <c r="BD256" s="1" t="b">
        <v>0</v>
      </c>
      <c r="BE256" s="1">
        <v>11.34</v>
      </c>
      <c r="BF256" s="1">
        <v>13.285</v>
      </c>
      <c r="BG256" s="1" t="b">
        <v>0</v>
      </c>
      <c r="BH256" s="1" t="b">
        <v>0</v>
      </c>
      <c r="BI256" s="1">
        <v>77.78</v>
      </c>
      <c r="BJ256" s="1">
        <v>75.0</v>
      </c>
      <c r="BK256" s="1" t="b">
        <v>0</v>
      </c>
      <c r="BL256" s="1" t="b">
        <v>0</v>
      </c>
      <c r="BM256" s="1">
        <v>13.121</v>
      </c>
      <c r="BN256" s="1">
        <v>14.568</v>
      </c>
      <c r="BO256" s="1" t="b">
        <v>0</v>
      </c>
      <c r="BP256" s="1" t="b">
        <v>0</v>
      </c>
      <c r="BQ256" s="1">
        <v>75.0</v>
      </c>
      <c r="BR256" s="1">
        <v>72.027</v>
      </c>
      <c r="BS256" s="1" t="b">
        <v>0</v>
      </c>
      <c r="BT256" s="1" t="b">
        <v>0</v>
      </c>
      <c r="BU256" s="1" t="s">
        <v>105</v>
      </c>
      <c r="BV256" s="1" t="s">
        <v>105</v>
      </c>
      <c r="BW256" s="1" t="s">
        <v>105</v>
      </c>
      <c r="BX256" s="1" t="s">
        <v>105</v>
      </c>
      <c r="BY256" s="1" t="s">
        <v>105</v>
      </c>
      <c r="BZ256" s="1" t="s">
        <v>105</v>
      </c>
      <c r="CA256" s="1" t="s">
        <v>105</v>
      </c>
      <c r="CB256" s="1" t="s">
        <v>105</v>
      </c>
      <c r="CC256" s="1" t="s">
        <v>105</v>
      </c>
      <c r="CD256" s="1" t="s">
        <v>105</v>
      </c>
      <c r="CE256" s="4"/>
      <c r="CF256" s="4"/>
    </row>
    <row r="257" hidden="1">
      <c r="A257" s="1" t="s">
        <v>82</v>
      </c>
      <c r="B257" s="1" t="s">
        <v>92</v>
      </c>
      <c r="C257" s="1">
        <v>2.0</v>
      </c>
      <c r="D257" s="5" t="s">
        <v>1222</v>
      </c>
      <c r="E257" s="1" t="s">
        <v>1223</v>
      </c>
      <c r="F257" s="1">
        <v>29.0</v>
      </c>
      <c r="G257" s="1">
        <v>0.7003</v>
      </c>
      <c r="H257" s="1" t="s">
        <v>1224</v>
      </c>
      <c r="I257" s="4" t="b">
        <f>IFERROR(__xludf.DUMMYFUNCTION("IF(H257="""",,REGEXMATCH(H257,""[א-ת]""))"),FALSE)</f>
        <v>0</v>
      </c>
      <c r="J257" s="4"/>
      <c r="K257" s="4"/>
      <c r="L257" s="1">
        <v>0.6392</v>
      </c>
      <c r="M257" s="1">
        <v>15.73</v>
      </c>
      <c r="N257" s="1">
        <v>93.1</v>
      </c>
      <c r="O257" s="1">
        <v>3.210344828</v>
      </c>
      <c r="P257" s="4"/>
      <c r="Q257" s="4"/>
      <c r="R257" s="1" t="s">
        <v>96</v>
      </c>
      <c r="S257" s="1" t="s">
        <v>1223</v>
      </c>
      <c r="T257" s="1" t="s">
        <v>92</v>
      </c>
      <c r="U257" s="1">
        <v>3.0</v>
      </c>
      <c r="V257" s="5" t="s">
        <v>1222</v>
      </c>
      <c r="W257" s="1" t="s">
        <v>1223</v>
      </c>
      <c r="X257" s="1" t="s">
        <v>1225</v>
      </c>
      <c r="Y257" s="4"/>
      <c r="Z257" s="4"/>
      <c r="AA257" s="4" t="b">
        <f>IFERROR(__xludf.DUMMYFUNCTION("IF(X257="""",,REGEXMATCH(X257,""[א-ת]""))"),FALSE)</f>
        <v>0</v>
      </c>
      <c r="AB257" s="1">
        <v>26.76</v>
      </c>
      <c r="AC257" s="1">
        <v>58.62</v>
      </c>
      <c r="AD257" s="1">
        <v>0.806794228900713</v>
      </c>
      <c r="AE257" s="1">
        <v>0.7263</v>
      </c>
      <c r="AF257" s="1">
        <v>0.7003</v>
      </c>
      <c r="AG257" s="1">
        <v>6.337</v>
      </c>
      <c r="AH257" s="1">
        <v>6.781</v>
      </c>
      <c r="AI257" s="1" t="b">
        <v>0</v>
      </c>
      <c r="AJ257" s="1" t="b">
        <v>0</v>
      </c>
      <c r="AK257" s="1">
        <v>94.182</v>
      </c>
      <c r="AL257" s="1">
        <v>96.508</v>
      </c>
      <c r="AM257" s="1" t="b">
        <v>0</v>
      </c>
      <c r="AN257" s="1" t="b">
        <v>0</v>
      </c>
      <c r="AO257" s="1">
        <v>8.05</v>
      </c>
      <c r="AP257" s="1">
        <v>8.53399999999999</v>
      </c>
      <c r="AQ257" s="1" t="b">
        <v>0</v>
      </c>
      <c r="AR257" s="1" t="b">
        <v>0</v>
      </c>
      <c r="AS257" s="1">
        <v>86.9179999999999</v>
      </c>
      <c r="AT257" s="1">
        <v>87.152</v>
      </c>
      <c r="AU257" s="1" t="b">
        <v>1</v>
      </c>
      <c r="AV257" s="1" t="b">
        <v>0</v>
      </c>
      <c r="AW257" s="1">
        <v>9.61399999999999</v>
      </c>
      <c r="AX257" s="1">
        <v>11.026</v>
      </c>
      <c r="AY257" s="1" t="b">
        <v>0</v>
      </c>
      <c r="AZ257" s="1" t="b">
        <v>0</v>
      </c>
      <c r="BA257" s="1">
        <v>81.25</v>
      </c>
      <c r="BB257" s="1">
        <v>77.78</v>
      </c>
      <c r="BC257" s="1" t="b">
        <v>1</v>
      </c>
      <c r="BD257" s="1" t="b">
        <v>0</v>
      </c>
      <c r="BE257" s="1">
        <v>11.34</v>
      </c>
      <c r="BF257" s="1">
        <v>13.285</v>
      </c>
      <c r="BG257" s="1" t="b">
        <v>0</v>
      </c>
      <c r="BH257" s="1" t="b">
        <v>0</v>
      </c>
      <c r="BI257" s="1">
        <v>77.78</v>
      </c>
      <c r="BJ257" s="1">
        <v>75.0</v>
      </c>
      <c r="BK257" s="1" t="b">
        <v>1</v>
      </c>
      <c r="BL257" s="1" t="b">
        <v>0</v>
      </c>
      <c r="BM257" s="1">
        <v>13.121</v>
      </c>
      <c r="BN257" s="1">
        <v>14.568</v>
      </c>
      <c r="BO257" s="1" t="b">
        <v>0</v>
      </c>
      <c r="BP257" s="1" t="b">
        <v>0</v>
      </c>
      <c r="BQ257" s="1">
        <v>75.0</v>
      </c>
      <c r="BR257" s="1">
        <v>72.027</v>
      </c>
      <c r="BS257" s="1" t="b">
        <v>1</v>
      </c>
      <c r="BT257" s="1" t="b">
        <v>0</v>
      </c>
      <c r="BU257" s="1" t="s">
        <v>105</v>
      </c>
      <c r="BV257" s="1" t="s">
        <v>105</v>
      </c>
      <c r="BW257" s="1" t="s">
        <v>105</v>
      </c>
      <c r="BX257" s="1" t="s">
        <v>91</v>
      </c>
      <c r="BY257" s="1" t="s">
        <v>105</v>
      </c>
      <c r="BZ257" s="1" t="s">
        <v>91</v>
      </c>
      <c r="CA257" s="1" t="s">
        <v>105</v>
      </c>
      <c r="CB257" s="1" t="s">
        <v>91</v>
      </c>
      <c r="CC257" s="1" t="s">
        <v>105</v>
      </c>
      <c r="CD257" s="1" t="s">
        <v>91</v>
      </c>
      <c r="CE257" s="4"/>
      <c r="CF257" s="4"/>
    </row>
    <row r="258" hidden="1">
      <c r="A258" s="1" t="s">
        <v>82</v>
      </c>
      <c r="B258" s="1" t="s">
        <v>83</v>
      </c>
      <c r="C258" s="1">
        <v>34.0</v>
      </c>
      <c r="D258" s="5" t="s">
        <v>1226</v>
      </c>
      <c r="E258" s="1" t="s">
        <v>1227</v>
      </c>
      <c r="F258" s="1">
        <v>31.0</v>
      </c>
      <c r="G258" s="1">
        <v>0.4939</v>
      </c>
      <c r="H258" s="1" t="s">
        <v>1228</v>
      </c>
      <c r="I258" s="4" t="b">
        <f>IFERROR(__xludf.DUMMYFUNCTION("IF(H258="""",,REGEXMATCH(H258,""[א-ת]""))"),FALSE)</f>
        <v>0</v>
      </c>
      <c r="J258" s="4"/>
      <c r="K258" s="4"/>
      <c r="L258" s="1">
        <v>-0.25</v>
      </c>
      <c r="M258" s="1">
        <v>15.75</v>
      </c>
      <c r="N258" s="1">
        <v>61.29</v>
      </c>
      <c r="O258" s="1">
        <v>1.977096774</v>
      </c>
      <c r="P258" s="4"/>
      <c r="Q258" s="4"/>
      <c r="R258" s="1" t="s">
        <v>89</v>
      </c>
      <c r="S258" s="1" t="s">
        <v>1227</v>
      </c>
      <c r="T258" s="1" t="s">
        <v>83</v>
      </c>
      <c r="U258" s="1">
        <v>35.0</v>
      </c>
      <c r="V258" s="5" t="s">
        <v>1226</v>
      </c>
      <c r="W258" s="1" t="s">
        <v>1227</v>
      </c>
      <c r="X258" s="1" t="s">
        <v>1229</v>
      </c>
      <c r="Y258" s="4"/>
      <c r="Z258" s="4"/>
      <c r="AA258" s="4" t="b">
        <f>IFERROR(__xludf.DUMMYFUNCTION("IF(X258="""",,REGEXMATCH(X258,""[א-ת]""))"),TRUE)</f>
        <v>1</v>
      </c>
      <c r="AB258" s="1">
        <v>13.42</v>
      </c>
      <c r="AC258" s="1">
        <v>70.97</v>
      </c>
      <c r="AD258" s="1">
        <v>0.211640215033682</v>
      </c>
      <c r="AE258" s="1">
        <v>0.0</v>
      </c>
      <c r="AF258" s="1">
        <v>0.4939</v>
      </c>
      <c r="AG258" s="1">
        <v>6.337</v>
      </c>
      <c r="AH258" s="1">
        <v>6.781</v>
      </c>
      <c r="AI258" s="1" t="b">
        <v>0</v>
      </c>
      <c r="AJ258" s="1" t="b">
        <v>0</v>
      </c>
      <c r="AK258" s="1">
        <v>94.182</v>
      </c>
      <c r="AL258" s="1">
        <v>96.508</v>
      </c>
      <c r="AM258" s="1" t="b">
        <v>0</v>
      </c>
      <c r="AN258" s="1" t="b">
        <v>0</v>
      </c>
      <c r="AO258" s="1">
        <v>8.05</v>
      </c>
      <c r="AP258" s="1">
        <v>8.53399999999999</v>
      </c>
      <c r="AQ258" s="1" t="b">
        <v>0</v>
      </c>
      <c r="AR258" s="1" t="b">
        <v>0</v>
      </c>
      <c r="AS258" s="1">
        <v>86.9179999999999</v>
      </c>
      <c r="AT258" s="1">
        <v>87.152</v>
      </c>
      <c r="AU258" s="1" t="b">
        <v>0</v>
      </c>
      <c r="AV258" s="1" t="b">
        <v>0</v>
      </c>
      <c r="AW258" s="1">
        <v>9.61399999999999</v>
      </c>
      <c r="AX258" s="1">
        <v>11.026</v>
      </c>
      <c r="AY258" s="1" t="b">
        <v>0</v>
      </c>
      <c r="AZ258" s="1" t="b">
        <v>0</v>
      </c>
      <c r="BA258" s="1">
        <v>81.25</v>
      </c>
      <c r="BB258" s="1">
        <v>77.78</v>
      </c>
      <c r="BC258" s="1" t="b">
        <v>0</v>
      </c>
      <c r="BD258" s="1" t="b">
        <v>0</v>
      </c>
      <c r="BE258" s="1">
        <v>11.34</v>
      </c>
      <c r="BF258" s="1">
        <v>13.285</v>
      </c>
      <c r="BG258" s="1" t="b">
        <v>0</v>
      </c>
      <c r="BH258" s="1" t="b">
        <v>0</v>
      </c>
      <c r="BI258" s="1">
        <v>77.78</v>
      </c>
      <c r="BJ258" s="1">
        <v>75.0</v>
      </c>
      <c r="BK258" s="1" t="b">
        <v>0</v>
      </c>
      <c r="BL258" s="1" t="b">
        <v>0</v>
      </c>
      <c r="BM258" s="1">
        <v>13.121</v>
      </c>
      <c r="BN258" s="1">
        <v>14.568</v>
      </c>
      <c r="BO258" s="1" t="b">
        <v>0</v>
      </c>
      <c r="BP258" s="1" t="b">
        <v>1</v>
      </c>
      <c r="BQ258" s="1">
        <v>75.0</v>
      </c>
      <c r="BR258" s="1">
        <v>72.027</v>
      </c>
      <c r="BS258" s="1" t="b">
        <v>0</v>
      </c>
      <c r="BT258" s="1" t="b">
        <v>0</v>
      </c>
      <c r="BU258" s="1" t="s">
        <v>105</v>
      </c>
      <c r="BV258" s="1" t="s">
        <v>105</v>
      </c>
      <c r="BW258" s="1" t="s">
        <v>105</v>
      </c>
      <c r="BX258" s="1" t="s">
        <v>105</v>
      </c>
      <c r="BY258" s="1" t="s">
        <v>105</v>
      </c>
      <c r="BZ258" s="1" t="s">
        <v>105</v>
      </c>
      <c r="CA258" s="1" t="s">
        <v>105</v>
      </c>
      <c r="CB258" s="1" t="s">
        <v>105</v>
      </c>
      <c r="CC258" s="1" t="s">
        <v>157</v>
      </c>
      <c r="CD258" s="1" t="s">
        <v>105</v>
      </c>
      <c r="CE258" s="4"/>
      <c r="CF258" s="4"/>
    </row>
    <row r="259" hidden="1">
      <c r="A259" s="1" t="s">
        <v>82</v>
      </c>
      <c r="B259" s="1" t="s">
        <v>333</v>
      </c>
      <c r="C259" s="1">
        <v>9.0</v>
      </c>
      <c r="D259" s="5" t="s">
        <v>1230</v>
      </c>
      <c r="E259" s="1" t="s">
        <v>1231</v>
      </c>
      <c r="F259" s="1">
        <v>47.0</v>
      </c>
      <c r="G259" s="1">
        <v>0.0</v>
      </c>
      <c r="H259" s="1" t="s">
        <v>1232</v>
      </c>
      <c r="I259" s="4" t="b">
        <f>IFERROR(__xludf.DUMMYFUNCTION("IF(H259="""",,REGEXMATCH(H259,""[א-ת]""))"),FALSE)</f>
        <v>0</v>
      </c>
      <c r="J259" s="1" t="s">
        <v>1233</v>
      </c>
      <c r="K259" s="4"/>
      <c r="L259" s="1">
        <v>0.0</v>
      </c>
      <c r="M259" s="1">
        <v>15.83</v>
      </c>
      <c r="N259" s="1">
        <v>68.09</v>
      </c>
      <c r="O259" s="1">
        <v>1.448723404</v>
      </c>
      <c r="P259" s="4"/>
      <c r="Q259" s="4"/>
      <c r="R259" s="1" t="s">
        <v>89</v>
      </c>
      <c r="S259" s="1" t="s">
        <v>1231</v>
      </c>
      <c r="T259" s="1" t="s">
        <v>333</v>
      </c>
      <c r="U259" s="1">
        <v>10.0</v>
      </c>
      <c r="V259" s="5" t="s">
        <v>1230</v>
      </c>
      <c r="W259" s="1" t="s">
        <v>1231</v>
      </c>
      <c r="X259" s="1" t="s">
        <v>1234</v>
      </c>
      <c r="Y259" s="4"/>
      <c r="Z259" s="4"/>
      <c r="AA259" s="4" t="b">
        <f>IFERROR(__xludf.DUMMYFUNCTION("IF(X259="""",,REGEXMATCH(X259,""[א-ת]""))"),FALSE)</f>
        <v>0</v>
      </c>
      <c r="AB259" s="1">
        <v>14.69</v>
      </c>
      <c r="AC259" s="1">
        <v>70.21</v>
      </c>
      <c r="AD259" s="1">
        <v>0.722231210503121</v>
      </c>
      <c r="AE259" s="1">
        <v>0.0</v>
      </c>
      <c r="AF259" s="1">
        <v>0.0</v>
      </c>
      <c r="AG259" s="1">
        <v>6.337</v>
      </c>
      <c r="AH259" s="1">
        <v>6.781</v>
      </c>
      <c r="AI259" s="1" t="b">
        <v>0</v>
      </c>
      <c r="AJ259" s="1" t="b">
        <v>0</v>
      </c>
      <c r="AK259" s="1">
        <v>94.182</v>
      </c>
      <c r="AL259" s="1">
        <v>96.508</v>
      </c>
      <c r="AM259" s="1" t="b">
        <v>0</v>
      </c>
      <c r="AN259" s="1" t="b">
        <v>0</v>
      </c>
      <c r="AO259" s="1">
        <v>8.05</v>
      </c>
      <c r="AP259" s="1">
        <v>8.53399999999999</v>
      </c>
      <c r="AQ259" s="1" t="b">
        <v>0</v>
      </c>
      <c r="AR259" s="1" t="b">
        <v>0</v>
      </c>
      <c r="AS259" s="1">
        <v>86.9179999999999</v>
      </c>
      <c r="AT259" s="1">
        <v>87.152</v>
      </c>
      <c r="AU259" s="1" t="b">
        <v>0</v>
      </c>
      <c r="AV259" s="1" t="b">
        <v>0</v>
      </c>
      <c r="AW259" s="1">
        <v>9.61399999999999</v>
      </c>
      <c r="AX259" s="1">
        <v>11.026</v>
      </c>
      <c r="AY259" s="1" t="b">
        <v>0</v>
      </c>
      <c r="AZ259" s="1" t="b">
        <v>0</v>
      </c>
      <c r="BA259" s="1">
        <v>81.25</v>
      </c>
      <c r="BB259" s="1">
        <v>77.78</v>
      </c>
      <c r="BC259" s="1" t="b">
        <v>0</v>
      </c>
      <c r="BD259" s="1" t="b">
        <v>0</v>
      </c>
      <c r="BE259" s="1">
        <v>11.34</v>
      </c>
      <c r="BF259" s="1">
        <v>13.285</v>
      </c>
      <c r="BG259" s="1" t="b">
        <v>0</v>
      </c>
      <c r="BH259" s="1" t="b">
        <v>0</v>
      </c>
      <c r="BI259" s="1">
        <v>77.78</v>
      </c>
      <c r="BJ259" s="1">
        <v>75.0</v>
      </c>
      <c r="BK259" s="1" t="b">
        <v>0</v>
      </c>
      <c r="BL259" s="1" t="b">
        <v>0</v>
      </c>
      <c r="BM259" s="1">
        <v>13.121</v>
      </c>
      <c r="BN259" s="1">
        <v>14.568</v>
      </c>
      <c r="BO259" s="1" t="b">
        <v>0</v>
      </c>
      <c r="BP259" s="1" t="b">
        <v>0</v>
      </c>
      <c r="BQ259" s="1">
        <v>75.0</v>
      </c>
      <c r="BR259" s="1">
        <v>72.027</v>
      </c>
      <c r="BS259" s="1" t="b">
        <v>0</v>
      </c>
      <c r="BT259" s="1" t="b">
        <v>0</v>
      </c>
      <c r="BU259" s="1" t="s">
        <v>105</v>
      </c>
      <c r="BV259" s="1" t="s">
        <v>105</v>
      </c>
      <c r="BW259" s="1" t="s">
        <v>105</v>
      </c>
      <c r="BX259" s="1" t="s">
        <v>105</v>
      </c>
      <c r="BY259" s="1" t="s">
        <v>105</v>
      </c>
      <c r="BZ259" s="1" t="s">
        <v>105</v>
      </c>
      <c r="CA259" s="1" t="s">
        <v>105</v>
      </c>
      <c r="CB259" s="1" t="s">
        <v>105</v>
      </c>
      <c r="CC259" s="1" t="s">
        <v>105</v>
      </c>
      <c r="CD259" s="1" t="s">
        <v>105</v>
      </c>
      <c r="CE259" s="4"/>
      <c r="CF259" s="4"/>
    </row>
    <row r="260" hidden="1">
      <c r="A260" s="1" t="s">
        <v>82</v>
      </c>
      <c r="B260" s="1" t="s">
        <v>111</v>
      </c>
      <c r="C260" s="1">
        <v>13.0</v>
      </c>
      <c r="D260" s="5" t="s">
        <v>1235</v>
      </c>
      <c r="E260" s="1" t="s">
        <v>1236</v>
      </c>
      <c r="F260" s="1">
        <v>48.0</v>
      </c>
      <c r="G260" s="1">
        <v>-0.3818</v>
      </c>
      <c r="H260" s="1" t="s">
        <v>1237</v>
      </c>
      <c r="I260" s="4" t="b">
        <f>IFERROR(__xludf.DUMMYFUNCTION("IF(H260="""",,REGEXMATCH(H260,""[א-ת]""))"),FALSE)</f>
        <v>0</v>
      </c>
      <c r="J260" s="4"/>
      <c r="K260" s="4"/>
      <c r="L260" s="1">
        <v>-0.3612</v>
      </c>
      <c r="M260" s="1">
        <v>15.83</v>
      </c>
      <c r="N260" s="1">
        <v>75.0</v>
      </c>
      <c r="O260" s="1">
        <v>1.5625</v>
      </c>
      <c r="P260" s="4"/>
      <c r="Q260" s="4"/>
      <c r="R260" s="1" t="s">
        <v>89</v>
      </c>
      <c r="S260" s="1" t="s">
        <v>1236</v>
      </c>
      <c r="T260" s="1" t="s">
        <v>111</v>
      </c>
      <c r="U260" s="1">
        <v>14.0</v>
      </c>
      <c r="V260" s="5" t="s">
        <v>1235</v>
      </c>
      <c r="W260" s="1" t="s">
        <v>1236</v>
      </c>
      <c r="X260" s="1" t="s">
        <v>1238</v>
      </c>
      <c r="Y260" s="4"/>
      <c r="Z260" s="4"/>
      <c r="AA260" s="4" t="b">
        <f>IFERROR(__xludf.DUMMYFUNCTION("IF(X260="""",,REGEXMATCH(X260,""[א-ת]""))"),FALSE)</f>
        <v>0</v>
      </c>
      <c r="AB260" s="1">
        <v>20.98</v>
      </c>
      <c r="AC260" s="1">
        <v>52.08</v>
      </c>
      <c r="AD260" s="1">
        <v>0.528290566752195</v>
      </c>
      <c r="AE260" s="1">
        <v>-0.3818</v>
      </c>
      <c r="AF260" s="1">
        <v>-0.3818</v>
      </c>
      <c r="AG260" s="1">
        <v>6.337</v>
      </c>
      <c r="AH260" s="1">
        <v>6.781</v>
      </c>
      <c r="AI260" s="1" t="b">
        <v>0</v>
      </c>
      <c r="AJ260" s="1" t="b">
        <v>0</v>
      </c>
      <c r="AK260" s="1">
        <v>94.182</v>
      </c>
      <c r="AL260" s="1">
        <v>96.508</v>
      </c>
      <c r="AM260" s="1" t="b">
        <v>0</v>
      </c>
      <c r="AN260" s="1" t="b">
        <v>0</v>
      </c>
      <c r="AO260" s="1">
        <v>8.05</v>
      </c>
      <c r="AP260" s="1">
        <v>8.53399999999999</v>
      </c>
      <c r="AQ260" s="1" t="b">
        <v>0</v>
      </c>
      <c r="AR260" s="1" t="b">
        <v>0</v>
      </c>
      <c r="AS260" s="1">
        <v>86.9179999999999</v>
      </c>
      <c r="AT260" s="1">
        <v>87.152</v>
      </c>
      <c r="AU260" s="1" t="b">
        <v>0</v>
      </c>
      <c r="AV260" s="1" t="b">
        <v>0</v>
      </c>
      <c r="AW260" s="1">
        <v>9.61399999999999</v>
      </c>
      <c r="AX260" s="1">
        <v>11.026</v>
      </c>
      <c r="AY260" s="1" t="b">
        <v>0</v>
      </c>
      <c r="AZ260" s="1" t="b">
        <v>0</v>
      </c>
      <c r="BA260" s="1">
        <v>81.25</v>
      </c>
      <c r="BB260" s="1">
        <v>77.78</v>
      </c>
      <c r="BC260" s="1" t="b">
        <v>0</v>
      </c>
      <c r="BD260" s="1" t="b">
        <v>0</v>
      </c>
      <c r="BE260" s="1">
        <v>11.34</v>
      </c>
      <c r="BF260" s="1">
        <v>13.285</v>
      </c>
      <c r="BG260" s="1" t="b">
        <v>0</v>
      </c>
      <c r="BH260" s="1" t="b">
        <v>0</v>
      </c>
      <c r="BI260" s="1">
        <v>77.78</v>
      </c>
      <c r="BJ260" s="1">
        <v>75.0</v>
      </c>
      <c r="BK260" s="1" t="b">
        <v>0</v>
      </c>
      <c r="BL260" s="1" t="b">
        <v>0</v>
      </c>
      <c r="BM260" s="1">
        <v>13.121</v>
      </c>
      <c r="BN260" s="1">
        <v>14.568</v>
      </c>
      <c r="BO260" s="1" t="b">
        <v>0</v>
      </c>
      <c r="BP260" s="1" t="b">
        <v>0</v>
      </c>
      <c r="BQ260" s="1">
        <v>75.0</v>
      </c>
      <c r="BR260" s="1">
        <v>72.027</v>
      </c>
      <c r="BS260" s="1" t="b">
        <v>1</v>
      </c>
      <c r="BT260" s="1" t="b">
        <v>0</v>
      </c>
      <c r="BU260" s="1" t="s">
        <v>105</v>
      </c>
      <c r="BV260" s="1" t="s">
        <v>105</v>
      </c>
      <c r="BW260" s="1" t="s">
        <v>105</v>
      </c>
      <c r="BX260" s="1" t="s">
        <v>105</v>
      </c>
      <c r="BY260" s="1" t="s">
        <v>105</v>
      </c>
      <c r="BZ260" s="1" t="s">
        <v>105</v>
      </c>
      <c r="CA260" s="1" t="s">
        <v>105</v>
      </c>
      <c r="CB260" s="1" t="s">
        <v>105</v>
      </c>
      <c r="CC260" s="1" t="s">
        <v>105</v>
      </c>
      <c r="CD260" s="1" t="s">
        <v>91</v>
      </c>
      <c r="CE260" s="4"/>
      <c r="CF260" s="4"/>
    </row>
    <row r="261" hidden="1">
      <c r="A261" s="1" t="s">
        <v>82</v>
      </c>
      <c r="B261" s="1" t="s">
        <v>167</v>
      </c>
      <c r="C261" s="1">
        <v>17.0</v>
      </c>
      <c r="D261" s="5" t="s">
        <v>1239</v>
      </c>
      <c r="E261" s="1" t="s">
        <v>1240</v>
      </c>
      <c r="F261" s="1">
        <v>7.0</v>
      </c>
      <c r="G261" s="1">
        <v>-0.34</v>
      </c>
      <c r="H261" s="1" t="s">
        <v>1241</v>
      </c>
      <c r="I261" s="4" t="b">
        <f>IFERROR(__xludf.DUMMYFUNCTION("IF(H261="""",,REGEXMATCH(H261,""[א-ת]""))"),FALSE)</f>
        <v>0</v>
      </c>
      <c r="J261" s="4"/>
      <c r="K261" s="4"/>
      <c r="L261" s="1">
        <v>0.0</v>
      </c>
      <c r="M261" s="1">
        <v>15.85</v>
      </c>
      <c r="N261" s="1">
        <v>85.71</v>
      </c>
      <c r="O261" s="1">
        <v>12.24428571</v>
      </c>
      <c r="P261" s="4"/>
      <c r="Q261" s="4"/>
      <c r="R261" s="1" t="s">
        <v>127</v>
      </c>
      <c r="S261" s="1" t="s">
        <v>1240</v>
      </c>
      <c r="T261" s="1" t="s">
        <v>167</v>
      </c>
      <c r="U261" s="1">
        <v>18.0</v>
      </c>
      <c r="V261" s="5" t="s">
        <v>1239</v>
      </c>
      <c r="W261" s="1" t="s">
        <v>1240</v>
      </c>
      <c r="X261" s="1" t="s">
        <v>1242</v>
      </c>
      <c r="Y261" s="4"/>
      <c r="Z261" s="4"/>
      <c r="AA261" s="4" t="b">
        <f>IFERROR(__xludf.DUMMYFUNCTION("IF(X261="""",,REGEXMATCH(X261,""[א-ת]""))"),FALSE)</f>
        <v>0</v>
      </c>
      <c r="AB261" s="1">
        <v>11.99</v>
      </c>
      <c r="AC261" s="1">
        <v>57.14</v>
      </c>
      <c r="AD261" s="1">
        <v>0.361551628026884</v>
      </c>
      <c r="AE261" s="1">
        <v>0.0</v>
      </c>
      <c r="AF261" s="1">
        <v>-0.34</v>
      </c>
      <c r="AG261" s="1">
        <v>6.337</v>
      </c>
      <c r="AH261" s="1">
        <v>6.781</v>
      </c>
      <c r="AI261" s="1" t="b">
        <v>0</v>
      </c>
      <c r="AJ261" s="1" t="b">
        <v>0</v>
      </c>
      <c r="AK261" s="1">
        <v>94.182</v>
      </c>
      <c r="AL261" s="1">
        <v>96.508</v>
      </c>
      <c r="AM261" s="1" t="b">
        <v>0</v>
      </c>
      <c r="AN261" s="1" t="b">
        <v>0</v>
      </c>
      <c r="AO261" s="1">
        <v>8.05</v>
      </c>
      <c r="AP261" s="1">
        <v>8.53399999999999</v>
      </c>
      <c r="AQ261" s="1" t="b">
        <v>0</v>
      </c>
      <c r="AR261" s="1" t="b">
        <v>0</v>
      </c>
      <c r="AS261" s="1">
        <v>86.9179999999999</v>
      </c>
      <c r="AT261" s="1">
        <v>87.152</v>
      </c>
      <c r="AU261" s="1" t="b">
        <v>0</v>
      </c>
      <c r="AV261" s="1" t="b">
        <v>0</v>
      </c>
      <c r="AW261" s="1">
        <v>9.61399999999999</v>
      </c>
      <c r="AX261" s="1">
        <v>11.026</v>
      </c>
      <c r="AY261" s="1" t="b">
        <v>0</v>
      </c>
      <c r="AZ261" s="1" t="b">
        <v>0</v>
      </c>
      <c r="BA261" s="1">
        <v>81.25</v>
      </c>
      <c r="BB261" s="1">
        <v>77.78</v>
      </c>
      <c r="BC261" s="1" t="b">
        <v>1</v>
      </c>
      <c r="BD261" s="1" t="b">
        <v>0</v>
      </c>
      <c r="BE261" s="1">
        <v>11.34</v>
      </c>
      <c r="BF261" s="1">
        <v>13.285</v>
      </c>
      <c r="BG261" s="1" t="b">
        <v>0</v>
      </c>
      <c r="BH261" s="1" t="b">
        <v>1</v>
      </c>
      <c r="BI261" s="1">
        <v>77.78</v>
      </c>
      <c r="BJ261" s="1">
        <v>75.0</v>
      </c>
      <c r="BK261" s="1" t="b">
        <v>1</v>
      </c>
      <c r="BL261" s="1" t="b">
        <v>0</v>
      </c>
      <c r="BM261" s="1">
        <v>13.121</v>
      </c>
      <c r="BN261" s="1">
        <v>14.568</v>
      </c>
      <c r="BO261" s="1" t="b">
        <v>0</v>
      </c>
      <c r="BP261" s="1" t="b">
        <v>1</v>
      </c>
      <c r="BQ261" s="1">
        <v>75.0</v>
      </c>
      <c r="BR261" s="1">
        <v>72.027</v>
      </c>
      <c r="BS261" s="1" t="b">
        <v>1</v>
      </c>
      <c r="BT261" s="1" t="b">
        <v>0</v>
      </c>
      <c r="BU261" s="1" t="s">
        <v>105</v>
      </c>
      <c r="BV261" s="1" t="s">
        <v>105</v>
      </c>
      <c r="BW261" s="1" t="s">
        <v>105</v>
      </c>
      <c r="BX261" s="1" t="s">
        <v>105</v>
      </c>
      <c r="BY261" s="1" t="s">
        <v>105</v>
      </c>
      <c r="BZ261" s="1" t="s">
        <v>91</v>
      </c>
      <c r="CA261" s="1" t="s">
        <v>157</v>
      </c>
      <c r="CB261" s="1" t="s">
        <v>91</v>
      </c>
      <c r="CC261" s="1" t="s">
        <v>157</v>
      </c>
      <c r="CD261" s="1" t="s">
        <v>91</v>
      </c>
      <c r="CE261" s="4"/>
      <c r="CF261" s="4"/>
    </row>
    <row r="262" hidden="1">
      <c r="A262" s="1" t="s">
        <v>82</v>
      </c>
      <c r="B262" s="1" t="s">
        <v>111</v>
      </c>
      <c r="C262" s="1">
        <v>15.0</v>
      </c>
      <c r="D262" s="5" t="s">
        <v>1243</v>
      </c>
      <c r="E262" s="1" t="s">
        <v>1244</v>
      </c>
      <c r="F262" s="1">
        <v>51.0</v>
      </c>
      <c r="G262" s="1">
        <v>-0.6124</v>
      </c>
      <c r="H262" s="1" t="s">
        <v>1245</v>
      </c>
      <c r="I262" s="4" t="b">
        <f>IFERROR(__xludf.DUMMYFUNCTION("IF(H262="""",,REGEXMATCH(H262,""[א-ת]""))"),FALSE)</f>
        <v>0</v>
      </c>
      <c r="J262" s="4"/>
      <c r="K262" s="4"/>
      <c r="L262" s="1">
        <v>0.0</v>
      </c>
      <c r="M262" s="1">
        <v>15.88</v>
      </c>
      <c r="N262" s="1">
        <v>64.71</v>
      </c>
      <c r="O262" s="1">
        <v>1.268823529</v>
      </c>
      <c r="P262" s="4"/>
      <c r="Q262" s="4"/>
      <c r="R262" s="1" t="s">
        <v>89</v>
      </c>
      <c r="S262" s="1" t="s">
        <v>1244</v>
      </c>
      <c r="T262" s="1" t="s">
        <v>111</v>
      </c>
      <c r="U262" s="1">
        <v>16.0</v>
      </c>
      <c r="V262" s="5" t="s">
        <v>1243</v>
      </c>
      <c r="W262" s="1" t="s">
        <v>1244</v>
      </c>
      <c r="X262" s="1" t="s">
        <v>1246</v>
      </c>
      <c r="Y262" s="4"/>
      <c r="Z262" s="4"/>
      <c r="AA262" s="4" t="b">
        <f>IFERROR(__xludf.DUMMYFUNCTION("IF(X262="""",,REGEXMATCH(X262,""[א-ת]""))"),FALSE)</f>
        <v>0</v>
      </c>
      <c r="AB262" s="1">
        <v>16.97</v>
      </c>
      <c r="AC262" s="1">
        <v>72.55</v>
      </c>
      <c r="AD262" s="1">
        <v>0.58895451127129</v>
      </c>
      <c r="AE262" s="1">
        <v>0.3867</v>
      </c>
      <c r="AF262" s="1">
        <v>-0.6124</v>
      </c>
      <c r="AG262" s="1">
        <v>6.337</v>
      </c>
      <c r="AH262" s="1">
        <v>6.781</v>
      </c>
      <c r="AI262" s="1" t="b">
        <v>0</v>
      </c>
      <c r="AJ262" s="1" t="b">
        <v>0</v>
      </c>
      <c r="AK262" s="1">
        <v>94.182</v>
      </c>
      <c r="AL262" s="1">
        <v>96.508</v>
      </c>
      <c r="AM262" s="1" t="b">
        <v>0</v>
      </c>
      <c r="AN262" s="1" t="b">
        <v>0</v>
      </c>
      <c r="AO262" s="1">
        <v>8.05</v>
      </c>
      <c r="AP262" s="1">
        <v>8.53399999999999</v>
      </c>
      <c r="AQ262" s="1" t="b">
        <v>0</v>
      </c>
      <c r="AR262" s="1" t="b">
        <v>0</v>
      </c>
      <c r="AS262" s="1">
        <v>86.9179999999999</v>
      </c>
      <c r="AT262" s="1">
        <v>87.152</v>
      </c>
      <c r="AU262" s="1" t="b">
        <v>0</v>
      </c>
      <c r="AV262" s="1" t="b">
        <v>0</v>
      </c>
      <c r="AW262" s="1">
        <v>9.61399999999999</v>
      </c>
      <c r="AX262" s="1">
        <v>11.026</v>
      </c>
      <c r="AY262" s="1" t="b">
        <v>0</v>
      </c>
      <c r="AZ262" s="1" t="b">
        <v>0</v>
      </c>
      <c r="BA262" s="1">
        <v>81.25</v>
      </c>
      <c r="BB262" s="1">
        <v>77.78</v>
      </c>
      <c r="BC262" s="1" t="b">
        <v>0</v>
      </c>
      <c r="BD262" s="1" t="b">
        <v>0</v>
      </c>
      <c r="BE262" s="1">
        <v>11.34</v>
      </c>
      <c r="BF262" s="1">
        <v>13.285</v>
      </c>
      <c r="BG262" s="1" t="b">
        <v>0</v>
      </c>
      <c r="BH262" s="1" t="b">
        <v>0</v>
      </c>
      <c r="BI262" s="1">
        <v>77.78</v>
      </c>
      <c r="BJ262" s="1">
        <v>75.0</v>
      </c>
      <c r="BK262" s="1" t="b">
        <v>0</v>
      </c>
      <c r="BL262" s="1" t="b">
        <v>0</v>
      </c>
      <c r="BM262" s="1">
        <v>13.121</v>
      </c>
      <c r="BN262" s="1">
        <v>14.568</v>
      </c>
      <c r="BO262" s="1" t="b">
        <v>0</v>
      </c>
      <c r="BP262" s="1" t="b">
        <v>0</v>
      </c>
      <c r="BQ262" s="1">
        <v>75.0</v>
      </c>
      <c r="BR262" s="1">
        <v>72.027</v>
      </c>
      <c r="BS262" s="1" t="b">
        <v>0</v>
      </c>
      <c r="BT262" s="1" t="b">
        <v>1</v>
      </c>
      <c r="BU262" s="1" t="s">
        <v>105</v>
      </c>
      <c r="BV262" s="1" t="s">
        <v>105</v>
      </c>
      <c r="BW262" s="1" t="s">
        <v>105</v>
      </c>
      <c r="BX262" s="1" t="s">
        <v>105</v>
      </c>
      <c r="BY262" s="1" t="s">
        <v>105</v>
      </c>
      <c r="BZ262" s="1" t="s">
        <v>105</v>
      </c>
      <c r="CA262" s="1" t="s">
        <v>105</v>
      </c>
      <c r="CB262" s="1" t="s">
        <v>105</v>
      </c>
      <c r="CC262" s="1" t="s">
        <v>105</v>
      </c>
      <c r="CD262" s="1" t="s">
        <v>157</v>
      </c>
      <c r="CE262" s="4"/>
      <c r="CF262" s="4"/>
    </row>
    <row r="263" hidden="1">
      <c r="A263" s="1" t="s">
        <v>82</v>
      </c>
      <c r="B263" s="1" t="s">
        <v>176</v>
      </c>
      <c r="C263" s="1">
        <v>12.0</v>
      </c>
      <c r="D263" s="5" t="s">
        <v>1247</v>
      </c>
      <c r="E263" s="1" t="s">
        <v>1248</v>
      </c>
      <c r="F263" s="1">
        <v>41.0</v>
      </c>
      <c r="G263" s="1">
        <v>0.0</v>
      </c>
      <c r="H263" s="1" t="s">
        <v>1249</v>
      </c>
      <c r="I263" s="4" t="b">
        <f>IFERROR(__xludf.DUMMYFUNCTION("IF(H263="""",,REGEXMATCH(H263,""[א-ת]""))"),FALSE)</f>
        <v>0</v>
      </c>
      <c r="J263" s="4"/>
      <c r="K263" s="4"/>
      <c r="L263" s="1">
        <v>0.0</v>
      </c>
      <c r="M263" s="1">
        <v>15.9</v>
      </c>
      <c r="N263" s="1">
        <v>75.61</v>
      </c>
      <c r="O263" s="1">
        <v>1.844146341</v>
      </c>
      <c r="P263" s="4"/>
      <c r="Q263" s="4"/>
      <c r="R263" s="1" t="s">
        <v>89</v>
      </c>
      <c r="S263" s="1" t="s">
        <v>1248</v>
      </c>
      <c r="T263" s="1" t="s">
        <v>176</v>
      </c>
      <c r="U263" s="1">
        <v>13.0</v>
      </c>
      <c r="V263" s="5" t="s">
        <v>1247</v>
      </c>
      <c r="W263" s="1" t="s">
        <v>1248</v>
      </c>
      <c r="X263" s="1" t="s">
        <v>1250</v>
      </c>
      <c r="Y263" s="4"/>
      <c r="Z263" s="4"/>
      <c r="AA263" s="4" t="b">
        <f>IFERROR(__xludf.DUMMYFUNCTION("IF(X263="""",,REGEXMATCH(X263,""[א-ת]""))"),FALSE)</f>
        <v>0</v>
      </c>
      <c r="AB263" s="1">
        <v>7.18</v>
      </c>
      <c r="AC263" s="1">
        <v>60.98</v>
      </c>
      <c r="AD263" s="1">
        <v>0.635945602402587</v>
      </c>
      <c r="AE263" s="1">
        <v>0.0</v>
      </c>
      <c r="AF263" s="1">
        <v>0.0</v>
      </c>
      <c r="AG263" s="1">
        <v>6.337</v>
      </c>
      <c r="AH263" s="1">
        <v>6.781</v>
      </c>
      <c r="AI263" s="1" t="b">
        <v>0</v>
      </c>
      <c r="AJ263" s="1" t="b">
        <v>0</v>
      </c>
      <c r="AK263" s="1">
        <v>94.182</v>
      </c>
      <c r="AL263" s="1">
        <v>96.508</v>
      </c>
      <c r="AM263" s="1" t="b">
        <v>0</v>
      </c>
      <c r="AN263" s="1" t="b">
        <v>0</v>
      </c>
      <c r="AO263" s="1">
        <v>8.05</v>
      </c>
      <c r="AP263" s="1">
        <v>8.53399999999999</v>
      </c>
      <c r="AQ263" s="1" t="b">
        <v>0</v>
      </c>
      <c r="AR263" s="1" t="b">
        <v>1</v>
      </c>
      <c r="AS263" s="1">
        <v>86.9179999999999</v>
      </c>
      <c r="AT263" s="1">
        <v>87.152</v>
      </c>
      <c r="AU263" s="1" t="b">
        <v>0</v>
      </c>
      <c r="AV263" s="1" t="b">
        <v>0</v>
      </c>
      <c r="AW263" s="1">
        <v>9.61399999999999</v>
      </c>
      <c r="AX263" s="1">
        <v>11.026</v>
      </c>
      <c r="AY263" s="1" t="b">
        <v>0</v>
      </c>
      <c r="AZ263" s="1" t="b">
        <v>1</v>
      </c>
      <c r="BA263" s="1">
        <v>81.25</v>
      </c>
      <c r="BB263" s="1">
        <v>77.78</v>
      </c>
      <c r="BC263" s="1" t="b">
        <v>0</v>
      </c>
      <c r="BD263" s="1" t="b">
        <v>0</v>
      </c>
      <c r="BE263" s="1">
        <v>11.34</v>
      </c>
      <c r="BF263" s="1">
        <v>13.285</v>
      </c>
      <c r="BG263" s="1" t="b">
        <v>0</v>
      </c>
      <c r="BH263" s="1" t="b">
        <v>1</v>
      </c>
      <c r="BI263" s="1">
        <v>77.78</v>
      </c>
      <c r="BJ263" s="1">
        <v>75.0</v>
      </c>
      <c r="BK263" s="1" t="b">
        <v>0</v>
      </c>
      <c r="BL263" s="1" t="b">
        <v>0</v>
      </c>
      <c r="BM263" s="1">
        <v>13.121</v>
      </c>
      <c r="BN263" s="1">
        <v>14.568</v>
      </c>
      <c r="BO263" s="1" t="b">
        <v>0</v>
      </c>
      <c r="BP263" s="1" t="b">
        <v>1</v>
      </c>
      <c r="BQ263" s="1">
        <v>75.0</v>
      </c>
      <c r="BR263" s="1">
        <v>72.027</v>
      </c>
      <c r="BS263" s="1" t="b">
        <v>1</v>
      </c>
      <c r="BT263" s="1" t="b">
        <v>0</v>
      </c>
      <c r="BU263" s="1" t="s">
        <v>105</v>
      </c>
      <c r="BV263" s="1" t="s">
        <v>105</v>
      </c>
      <c r="BW263" s="1" t="s">
        <v>157</v>
      </c>
      <c r="BX263" s="1" t="s">
        <v>105</v>
      </c>
      <c r="BY263" s="1" t="s">
        <v>157</v>
      </c>
      <c r="BZ263" s="1" t="s">
        <v>105</v>
      </c>
      <c r="CA263" s="1" t="s">
        <v>157</v>
      </c>
      <c r="CB263" s="1" t="s">
        <v>105</v>
      </c>
      <c r="CC263" s="1" t="s">
        <v>157</v>
      </c>
      <c r="CD263" s="1" t="s">
        <v>91</v>
      </c>
      <c r="CE263" s="4"/>
      <c r="CF263" s="4"/>
    </row>
    <row r="264" hidden="1">
      <c r="A264" s="1" t="s">
        <v>82</v>
      </c>
      <c r="B264" s="1" t="s">
        <v>139</v>
      </c>
      <c r="C264" s="1">
        <v>6.0</v>
      </c>
      <c r="D264" s="5" t="s">
        <v>1251</v>
      </c>
      <c r="E264" s="1" t="s">
        <v>1252</v>
      </c>
      <c r="F264" s="1">
        <v>43.0</v>
      </c>
      <c r="G264" s="1">
        <v>-0.4775</v>
      </c>
      <c r="H264" s="1" t="s">
        <v>1253</v>
      </c>
      <c r="I264" s="4" t="b">
        <f>IFERROR(__xludf.DUMMYFUNCTION("IF(H264="""",,REGEXMATCH(H264,""[א-ת]""))"),FALSE)</f>
        <v>0</v>
      </c>
      <c r="J264" s="4"/>
      <c r="K264" s="4"/>
      <c r="L264" s="1">
        <v>0.1506</v>
      </c>
      <c r="M264" s="1">
        <v>15.94</v>
      </c>
      <c r="N264" s="1">
        <v>97.67</v>
      </c>
      <c r="O264" s="1">
        <v>2.271395349</v>
      </c>
      <c r="P264" s="4"/>
      <c r="Q264" s="4"/>
      <c r="R264" s="1" t="s">
        <v>96</v>
      </c>
      <c r="S264" s="1" t="s">
        <v>1252</v>
      </c>
      <c r="T264" s="1" t="s">
        <v>139</v>
      </c>
      <c r="U264" s="1">
        <v>7.0</v>
      </c>
      <c r="V264" s="5" t="s">
        <v>1251</v>
      </c>
      <c r="W264" s="1" t="s">
        <v>1252</v>
      </c>
      <c r="X264" s="1" t="s">
        <v>1254</v>
      </c>
      <c r="Y264" s="4"/>
      <c r="Z264" s="4"/>
      <c r="AA264" s="4" t="b">
        <f>IFERROR(__xludf.DUMMYFUNCTION("IF(X264="""",,REGEXMATCH(X264,""[א-ת]""))"),FALSE)</f>
        <v>0</v>
      </c>
      <c r="AB264" s="1">
        <v>22.7</v>
      </c>
      <c r="AC264" s="1">
        <v>72.09</v>
      </c>
      <c r="AD264" s="1">
        <v>0.240712637972412</v>
      </c>
      <c r="AE264" s="1">
        <v>-0.2755</v>
      </c>
      <c r="AF264" s="1">
        <v>-0.4775</v>
      </c>
      <c r="AG264" s="1">
        <v>6.337</v>
      </c>
      <c r="AH264" s="1">
        <v>6.781</v>
      </c>
      <c r="AI264" s="1" t="b">
        <v>0</v>
      </c>
      <c r="AJ264" s="1" t="b">
        <v>0</v>
      </c>
      <c r="AK264" s="1">
        <v>94.182</v>
      </c>
      <c r="AL264" s="1">
        <v>96.508</v>
      </c>
      <c r="AM264" s="1" t="b">
        <v>1</v>
      </c>
      <c r="AN264" s="1" t="b">
        <v>0</v>
      </c>
      <c r="AO264" s="1">
        <v>8.05</v>
      </c>
      <c r="AP264" s="1">
        <v>8.53399999999999</v>
      </c>
      <c r="AQ264" s="1" t="b">
        <v>0</v>
      </c>
      <c r="AR264" s="1" t="b">
        <v>0</v>
      </c>
      <c r="AS264" s="1">
        <v>86.9179999999999</v>
      </c>
      <c r="AT264" s="1">
        <v>87.152</v>
      </c>
      <c r="AU264" s="1" t="b">
        <v>1</v>
      </c>
      <c r="AV264" s="1" t="b">
        <v>0</v>
      </c>
      <c r="AW264" s="1">
        <v>9.61399999999999</v>
      </c>
      <c r="AX264" s="1">
        <v>11.026</v>
      </c>
      <c r="AY264" s="1" t="b">
        <v>0</v>
      </c>
      <c r="AZ264" s="1" t="b">
        <v>0</v>
      </c>
      <c r="BA264" s="1">
        <v>81.25</v>
      </c>
      <c r="BB264" s="1">
        <v>77.78</v>
      </c>
      <c r="BC264" s="1" t="b">
        <v>1</v>
      </c>
      <c r="BD264" s="1" t="b">
        <v>0</v>
      </c>
      <c r="BE264" s="1">
        <v>11.34</v>
      </c>
      <c r="BF264" s="1">
        <v>13.285</v>
      </c>
      <c r="BG264" s="1" t="b">
        <v>0</v>
      </c>
      <c r="BH264" s="1" t="b">
        <v>0</v>
      </c>
      <c r="BI264" s="1">
        <v>77.78</v>
      </c>
      <c r="BJ264" s="1">
        <v>75.0</v>
      </c>
      <c r="BK264" s="1" t="b">
        <v>1</v>
      </c>
      <c r="BL264" s="1" t="b">
        <v>0</v>
      </c>
      <c r="BM264" s="1">
        <v>13.121</v>
      </c>
      <c r="BN264" s="1">
        <v>14.568</v>
      </c>
      <c r="BO264" s="1" t="b">
        <v>0</v>
      </c>
      <c r="BP264" s="1" t="b">
        <v>0</v>
      </c>
      <c r="BQ264" s="1">
        <v>75.0</v>
      </c>
      <c r="BR264" s="1">
        <v>72.027</v>
      </c>
      <c r="BS264" s="1" t="b">
        <v>1</v>
      </c>
      <c r="BT264" s="1" t="b">
        <v>1</v>
      </c>
      <c r="BU264" s="1" t="s">
        <v>105</v>
      </c>
      <c r="BV264" s="1" t="s">
        <v>91</v>
      </c>
      <c r="BW264" s="1" t="s">
        <v>105</v>
      </c>
      <c r="BX264" s="1" t="s">
        <v>91</v>
      </c>
      <c r="BY264" s="1" t="s">
        <v>105</v>
      </c>
      <c r="BZ264" s="1" t="s">
        <v>91</v>
      </c>
      <c r="CA264" s="1" t="s">
        <v>105</v>
      </c>
      <c r="CB264" s="1" t="s">
        <v>91</v>
      </c>
      <c r="CC264" s="1" t="s">
        <v>105</v>
      </c>
      <c r="CD264" s="1" t="s">
        <v>104</v>
      </c>
      <c r="CE264" s="4"/>
      <c r="CF264" s="4"/>
    </row>
    <row r="265" hidden="1">
      <c r="A265" s="1" t="s">
        <v>82</v>
      </c>
      <c r="B265" s="1" t="s">
        <v>116</v>
      </c>
      <c r="C265" s="1">
        <v>14.0</v>
      </c>
      <c r="D265" s="5" t="s">
        <v>1255</v>
      </c>
      <c r="E265" s="1" t="s">
        <v>1256</v>
      </c>
      <c r="F265" s="1">
        <v>26.0</v>
      </c>
      <c r="G265" s="1">
        <v>0.8817</v>
      </c>
      <c r="H265" s="1" t="s">
        <v>1257</v>
      </c>
      <c r="I265" s="4" t="b">
        <f>IFERROR(__xludf.DUMMYFUNCTION("IF(H265="""",,REGEXMATCH(H265,""[א-ת]""))"),FALSE)</f>
        <v>0</v>
      </c>
      <c r="J265" s="4"/>
      <c r="K265" s="4"/>
      <c r="L265" s="1">
        <v>0.8869</v>
      </c>
      <c r="M265" s="1">
        <v>16.01</v>
      </c>
      <c r="N265" s="1">
        <v>57.69</v>
      </c>
      <c r="O265" s="1">
        <v>2.218846154</v>
      </c>
      <c r="P265" s="4"/>
      <c r="Q265" s="4"/>
      <c r="R265" s="1" t="s">
        <v>89</v>
      </c>
      <c r="S265" s="1" t="s">
        <v>1256</v>
      </c>
      <c r="T265" s="1" t="s">
        <v>116</v>
      </c>
      <c r="U265" s="1">
        <v>15.0</v>
      </c>
      <c r="V265" s="5" t="s">
        <v>1255</v>
      </c>
      <c r="W265" s="1" t="s">
        <v>1256</v>
      </c>
      <c r="X265" s="1" t="s">
        <v>1258</v>
      </c>
      <c r="Y265" s="4"/>
      <c r="Z265" s="4"/>
      <c r="AA265" s="4" t="b">
        <f>IFERROR(__xludf.DUMMYFUNCTION("IF(X265="""",,REGEXMATCH(X265,""[א-ת]""))"),TRUE)</f>
        <v>1</v>
      </c>
      <c r="AB265" s="1">
        <v>13.18</v>
      </c>
      <c r="AC265" s="1">
        <v>76.92</v>
      </c>
      <c r="AD265" s="1">
        <v>0.391161193536293</v>
      </c>
      <c r="AE265" s="1">
        <v>-0.34</v>
      </c>
      <c r="AF265" s="1">
        <v>0.8817</v>
      </c>
      <c r="AG265" s="1">
        <v>6.337</v>
      </c>
      <c r="AH265" s="1">
        <v>6.781</v>
      </c>
      <c r="AI265" s="1" t="b">
        <v>0</v>
      </c>
      <c r="AJ265" s="1" t="b">
        <v>0</v>
      </c>
      <c r="AK265" s="1">
        <v>94.182</v>
      </c>
      <c r="AL265" s="1">
        <v>96.508</v>
      </c>
      <c r="AM265" s="1" t="b">
        <v>0</v>
      </c>
      <c r="AN265" s="1" t="b">
        <v>0</v>
      </c>
      <c r="AO265" s="1">
        <v>8.05</v>
      </c>
      <c r="AP265" s="1">
        <v>8.53399999999999</v>
      </c>
      <c r="AQ265" s="1" t="b">
        <v>0</v>
      </c>
      <c r="AR265" s="1" t="b">
        <v>0</v>
      </c>
      <c r="AS265" s="1">
        <v>86.9179999999999</v>
      </c>
      <c r="AT265" s="1">
        <v>87.152</v>
      </c>
      <c r="AU265" s="1" t="b">
        <v>0</v>
      </c>
      <c r="AV265" s="1" t="b">
        <v>0</v>
      </c>
      <c r="AW265" s="1">
        <v>9.61399999999999</v>
      </c>
      <c r="AX265" s="1">
        <v>11.026</v>
      </c>
      <c r="AY265" s="1" t="b">
        <v>0</v>
      </c>
      <c r="AZ265" s="1" t="b">
        <v>0</v>
      </c>
      <c r="BA265" s="1">
        <v>81.25</v>
      </c>
      <c r="BB265" s="1">
        <v>77.78</v>
      </c>
      <c r="BC265" s="1" t="b">
        <v>0</v>
      </c>
      <c r="BD265" s="1" t="b">
        <v>0</v>
      </c>
      <c r="BE265" s="1">
        <v>11.34</v>
      </c>
      <c r="BF265" s="1">
        <v>13.285</v>
      </c>
      <c r="BG265" s="1" t="b">
        <v>0</v>
      </c>
      <c r="BH265" s="1" t="b">
        <v>1</v>
      </c>
      <c r="BI265" s="1">
        <v>77.78</v>
      </c>
      <c r="BJ265" s="1">
        <v>75.0</v>
      </c>
      <c r="BK265" s="1" t="b">
        <v>0</v>
      </c>
      <c r="BL265" s="1" t="b">
        <v>1</v>
      </c>
      <c r="BM265" s="1">
        <v>13.121</v>
      </c>
      <c r="BN265" s="1">
        <v>14.568</v>
      </c>
      <c r="BO265" s="1" t="b">
        <v>0</v>
      </c>
      <c r="BP265" s="1" t="b">
        <v>1</v>
      </c>
      <c r="BQ265" s="1">
        <v>75.0</v>
      </c>
      <c r="BR265" s="1">
        <v>72.027</v>
      </c>
      <c r="BS265" s="1" t="b">
        <v>0</v>
      </c>
      <c r="BT265" s="1" t="b">
        <v>1</v>
      </c>
      <c r="BU265" s="1" t="s">
        <v>105</v>
      </c>
      <c r="BV265" s="1" t="s">
        <v>105</v>
      </c>
      <c r="BW265" s="1" t="s">
        <v>105</v>
      </c>
      <c r="BX265" s="1" t="s">
        <v>105</v>
      </c>
      <c r="BY265" s="1" t="s">
        <v>105</v>
      </c>
      <c r="BZ265" s="1" t="s">
        <v>105</v>
      </c>
      <c r="CA265" s="1" t="s">
        <v>157</v>
      </c>
      <c r="CB265" s="1" t="s">
        <v>157</v>
      </c>
      <c r="CC265" s="1" t="s">
        <v>157</v>
      </c>
      <c r="CD265" s="1" t="s">
        <v>157</v>
      </c>
      <c r="CE265" s="4"/>
      <c r="CF265" s="4"/>
    </row>
    <row r="266" hidden="1">
      <c r="A266" s="1" t="s">
        <v>82</v>
      </c>
      <c r="B266" s="1" t="s">
        <v>251</v>
      </c>
      <c r="C266" s="1">
        <v>19.0</v>
      </c>
      <c r="D266" s="5" t="s">
        <v>1259</v>
      </c>
      <c r="E266" s="1" t="s">
        <v>1260</v>
      </c>
      <c r="F266" s="1">
        <v>33.0</v>
      </c>
      <c r="G266" s="1">
        <v>0.0</v>
      </c>
      <c r="H266" s="1" t="s">
        <v>1261</v>
      </c>
      <c r="I266" s="4" t="b">
        <f>IFERROR(__xludf.DUMMYFUNCTION("IF(H266="""",,REGEXMATCH(H266,""[א-ת]""))"),FALSE)</f>
        <v>0</v>
      </c>
      <c r="J266" s="4"/>
      <c r="K266" s="4"/>
      <c r="L266" s="1">
        <v>0.0</v>
      </c>
      <c r="M266" s="1">
        <v>16.04</v>
      </c>
      <c r="N266" s="1">
        <v>51.52</v>
      </c>
      <c r="O266" s="1">
        <v>1.561212121</v>
      </c>
      <c r="P266" s="4"/>
      <c r="Q266" s="4"/>
      <c r="R266" s="1" t="s">
        <v>89</v>
      </c>
      <c r="S266" s="1" t="s">
        <v>1260</v>
      </c>
      <c r="T266" s="1" t="s">
        <v>251</v>
      </c>
      <c r="U266" s="1">
        <v>20.0</v>
      </c>
      <c r="V266" s="5" t="s">
        <v>1259</v>
      </c>
      <c r="W266" s="1" t="s">
        <v>1260</v>
      </c>
      <c r="X266" s="1" t="s">
        <v>1262</v>
      </c>
      <c r="Y266" s="4"/>
      <c r="Z266" s="4"/>
      <c r="AA266" s="4" t="b">
        <f>IFERROR(__xludf.DUMMYFUNCTION("IF(X266="""",,REGEXMATCH(X266,""[א-ת]""))"),FALSE)</f>
        <v>0</v>
      </c>
      <c r="AB266" s="1">
        <v>20.58</v>
      </c>
      <c r="AC266" s="1">
        <v>57.58</v>
      </c>
      <c r="AD266" s="1">
        <v>0.618225168531348</v>
      </c>
      <c r="AE266" s="1">
        <v>0.0</v>
      </c>
      <c r="AF266" s="1">
        <v>0.0</v>
      </c>
      <c r="AG266" s="1">
        <v>6.337</v>
      </c>
      <c r="AH266" s="1">
        <v>6.781</v>
      </c>
      <c r="AI266" s="1" t="b">
        <v>0</v>
      </c>
      <c r="AJ266" s="1" t="b">
        <v>0</v>
      </c>
      <c r="AK266" s="1">
        <v>94.182</v>
      </c>
      <c r="AL266" s="1">
        <v>96.508</v>
      </c>
      <c r="AM266" s="1" t="b">
        <v>0</v>
      </c>
      <c r="AN266" s="1" t="b">
        <v>0</v>
      </c>
      <c r="AO266" s="1">
        <v>8.05</v>
      </c>
      <c r="AP266" s="1">
        <v>8.53399999999999</v>
      </c>
      <c r="AQ266" s="1" t="b">
        <v>0</v>
      </c>
      <c r="AR266" s="1" t="b">
        <v>0</v>
      </c>
      <c r="AS266" s="1">
        <v>86.9179999999999</v>
      </c>
      <c r="AT266" s="1">
        <v>87.152</v>
      </c>
      <c r="AU266" s="1" t="b">
        <v>0</v>
      </c>
      <c r="AV266" s="1" t="b">
        <v>0</v>
      </c>
      <c r="AW266" s="1">
        <v>9.61399999999999</v>
      </c>
      <c r="AX266" s="1">
        <v>11.026</v>
      </c>
      <c r="AY266" s="1" t="b">
        <v>0</v>
      </c>
      <c r="AZ266" s="1" t="b">
        <v>0</v>
      </c>
      <c r="BA266" s="1">
        <v>81.25</v>
      </c>
      <c r="BB266" s="1">
        <v>77.78</v>
      </c>
      <c r="BC266" s="1" t="b">
        <v>0</v>
      </c>
      <c r="BD266" s="1" t="b">
        <v>0</v>
      </c>
      <c r="BE266" s="1">
        <v>11.34</v>
      </c>
      <c r="BF266" s="1">
        <v>13.285</v>
      </c>
      <c r="BG266" s="1" t="b">
        <v>0</v>
      </c>
      <c r="BH266" s="1" t="b">
        <v>0</v>
      </c>
      <c r="BI266" s="1">
        <v>77.78</v>
      </c>
      <c r="BJ266" s="1">
        <v>75.0</v>
      </c>
      <c r="BK266" s="1" t="b">
        <v>0</v>
      </c>
      <c r="BL266" s="1" t="b">
        <v>0</v>
      </c>
      <c r="BM266" s="1">
        <v>13.121</v>
      </c>
      <c r="BN266" s="1">
        <v>14.568</v>
      </c>
      <c r="BO266" s="1" t="b">
        <v>0</v>
      </c>
      <c r="BP266" s="1" t="b">
        <v>0</v>
      </c>
      <c r="BQ266" s="1">
        <v>75.0</v>
      </c>
      <c r="BR266" s="1">
        <v>72.027</v>
      </c>
      <c r="BS266" s="1" t="b">
        <v>0</v>
      </c>
      <c r="BT266" s="1" t="b">
        <v>0</v>
      </c>
      <c r="BU266" s="1" t="s">
        <v>105</v>
      </c>
      <c r="BV266" s="1" t="s">
        <v>105</v>
      </c>
      <c r="BW266" s="1" t="s">
        <v>105</v>
      </c>
      <c r="BX266" s="1" t="s">
        <v>105</v>
      </c>
      <c r="BY266" s="1" t="s">
        <v>105</v>
      </c>
      <c r="BZ266" s="1" t="s">
        <v>105</v>
      </c>
      <c r="CA266" s="1" t="s">
        <v>105</v>
      </c>
      <c r="CB266" s="1" t="s">
        <v>105</v>
      </c>
      <c r="CC266" s="1" t="s">
        <v>105</v>
      </c>
      <c r="CD266" s="1" t="s">
        <v>105</v>
      </c>
      <c r="CE266" s="4"/>
      <c r="CF266" s="4"/>
    </row>
    <row r="267" hidden="1">
      <c r="A267" s="1" t="s">
        <v>82</v>
      </c>
      <c r="B267" s="1" t="s">
        <v>111</v>
      </c>
      <c r="C267" s="1">
        <v>63.0</v>
      </c>
      <c r="D267" s="5" t="s">
        <v>1263</v>
      </c>
      <c r="E267" s="1" t="s">
        <v>1264</v>
      </c>
      <c r="F267" s="1">
        <v>27.0</v>
      </c>
      <c r="G267" s="1">
        <v>0.8126</v>
      </c>
      <c r="H267" s="1" t="s">
        <v>1265</v>
      </c>
      <c r="I267" s="4" t="b">
        <f>IFERROR(__xludf.DUMMYFUNCTION("IF(H267="""",,REGEXMATCH(H267,""[א-ת]""))"),FALSE)</f>
        <v>0</v>
      </c>
      <c r="J267" s="4"/>
      <c r="K267" s="4"/>
      <c r="L267" s="1">
        <v>0.8268</v>
      </c>
      <c r="M267" s="1">
        <v>16.16</v>
      </c>
      <c r="N267" s="1">
        <v>59.26</v>
      </c>
      <c r="O267" s="1">
        <v>2.194814815</v>
      </c>
      <c r="P267" s="4"/>
      <c r="Q267" s="4"/>
      <c r="R267" s="1" t="s">
        <v>89</v>
      </c>
      <c r="S267" s="1" t="s">
        <v>1264</v>
      </c>
      <c r="T267" s="1" t="s">
        <v>111</v>
      </c>
      <c r="U267" s="1">
        <v>64.0</v>
      </c>
      <c r="V267" s="5" t="s">
        <v>1263</v>
      </c>
      <c r="W267" s="1" t="s">
        <v>1264</v>
      </c>
      <c r="X267" s="1" t="s">
        <v>1266</v>
      </c>
      <c r="Y267" s="4"/>
      <c r="Z267" s="4"/>
      <c r="AA267" s="4" t="b">
        <f>IFERROR(__xludf.DUMMYFUNCTION("IF(X267="""",,REGEXMATCH(X267,""[א-ת]""))"),FALSE)</f>
        <v>0</v>
      </c>
      <c r="AB267" s="1">
        <v>14.19</v>
      </c>
      <c r="AC267" s="1">
        <v>62.96</v>
      </c>
      <c r="AD267" s="1">
        <v>0.805206354313878</v>
      </c>
      <c r="AE267" s="1">
        <v>0.8883</v>
      </c>
      <c r="AF267" s="1">
        <v>0.8126</v>
      </c>
      <c r="AG267" s="1">
        <v>6.337</v>
      </c>
      <c r="AH267" s="1">
        <v>6.781</v>
      </c>
      <c r="AI267" s="1" t="b">
        <v>0</v>
      </c>
      <c r="AJ267" s="1" t="b">
        <v>0</v>
      </c>
      <c r="AK267" s="1">
        <v>94.182</v>
      </c>
      <c r="AL267" s="1">
        <v>96.508</v>
      </c>
      <c r="AM267" s="1" t="b">
        <v>0</v>
      </c>
      <c r="AN267" s="1" t="b">
        <v>0</v>
      </c>
      <c r="AO267" s="1">
        <v>8.05</v>
      </c>
      <c r="AP267" s="1">
        <v>8.53399999999999</v>
      </c>
      <c r="AQ267" s="1" t="b">
        <v>0</v>
      </c>
      <c r="AR267" s="1" t="b">
        <v>0</v>
      </c>
      <c r="AS267" s="1">
        <v>86.9179999999999</v>
      </c>
      <c r="AT267" s="1">
        <v>87.152</v>
      </c>
      <c r="AU267" s="1" t="b">
        <v>0</v>
      </c>
      <c r="AV267" s="1" t="b">
        <v>0</v>
      </c>
      <c r="AW267" s="1">
        <v>9.61399999999999</v>
      </c>
      <c r="AX267" s="1">
        <v>11.026</v>
      </c>
      <c r="AY267" s="1" t="b">
        <v>0</v>
      </c>
      <c r="AZ267" s="1" t="b">
        <v>0</v>
      </c>
      <c r="BA267" s="1">
        <v>81.25</v>
      </c>
      <c r="BB267" s="1">
        <v>77.78</v>
      </c>
      <c r="BC267" s="1" t="b">
        <v>0</v>
      </c>
      <c r="BD267" s="1" t="b">
        <v>0</v>
      </c>
      <c r="BE267" s="1">
        <v>11.34</v>
      </c>
      <c r="BF267" s="1">
        <v>13.285</v>
      </c>
      <c r="BG267" s="1" t="b">
        <v>0</v>
      </c>
      <c r="BH267" s="1" t="b">
        <v>0</v>
      </c>
      <c r="BI267" s="1">
        <v>77.78</v>
      </c>
      <c r="BJ267" s="1">
        <v>75.0</v>
      </c>
      <c r="BK267" s="1" t="b">
        <v>0</v>
      </c>
      <c r="BL267" s="1" t="b">
        <v>0</v>
      </c>
      <c r="BM267" s="1">
        <v>13.121</v>
      </c>
      <c r="BN267" s="1">
        <v>14.568</v>
      </c>
      <c r="BO267" s="1" t="b">
        <v>0</v>
      </c>
      <c r="BP267" s="1" t="b">
        <v>1</v>
      </c>
      <c r="BQ267" s="1">
        <v>75.0</v>
      </c>
      <c r="BR267" s="1">
        <v>72.027</v>
      </c>
      <c r="BS267" s="1" t="b">
        <v>0</v>
      </c>
      <c r="BT267" s="1" t="b">
        <v>0</v>
      </c>
      <c r="BU267" s="1" t="s">
        <v>105</v>
      </c>
      <c r="BV267" s="1" t="s">
        <v>105</v>
      </c>
      <c r="BW267" s="1" t="s">
        <v>105</v>
      </c>
      <c r="BX267" s="1" t="s">
        <v>105</v>
      </c>
      <c r="BY267" s="1" t="s">
        <v>105</v>
      </c>
      <c r="BZ267" s="1" t="s">
        <v>105</v>
      </c>
      <c r="CA267" s="1" t="s">
        <v>105</v>
      </c>
      <c r="CB267" s="1" t="s">
        <v>105</v>
      </c>
      <c r="CC267" s="1" t="s">
        <v>157</v>
      </c>
      <c r="CD267" s="1" t="s">
        <v>105</v>
      </c>
      <c r="CE267" s="4"/>
      <c r="CF267" s="4"/>
    </row>
    <row r="268" hidden="1">
      <c r="A268" s="1" t="s">
        <v>82</v>
      </c>
      <c r="B268" s="1" t="s">
        <v>83</v>
      </c>
      <c r="C268" s="1">
        <v>38.0</v>
      </c>
      <c r="D268" s="5" t="s">
        <v>1267</v>
      </c>
      <c r="E268" s="1" t="s">
        <v>1268</v>
      </c>
      <c r="F268" s="1">
        <v>14.0</v>
      </c>
      <c r="G268" s="1">
        <v>0.4939</v>
      </c>
      <c r="H268" s="1" t="s">
        <v>1269</v>
      </c>
      <c r="I268" s="4" t="b">
        <f>IFERROR(__xludf.DUMMYFUNCTION("IF(H268="""",,REGEXMATCH(H268,""[א-ת]""))"),FALSE)</f>
        <v>0</v>
      </c>
      <c r="J268" s="4"/>
      <c r="K268" s="4"/>
      <c r="L268" s="1">
        <v>0.4939</v>
      </c>
      <c r="M268" s="1">
        <v>16.27</v>
      </c>
      <c r="N268" s="1">
        <v>57.14</v>
      </c>
      <c r="O268" s="1">
        <v>4.081428571</v>
      </c>
      <c r="P268" s="4"/>
      <c r="Q268" s="4"/>
      <c r="R268" s="1" t="s">
        <v>89</v>
      </c>
      <c r="S268" s="1" t="s">
        <v>1268</v>
      </c>
      <c r="T268" s="1" t="s">
        <v>83</v>
      </c>
      <c r="U268" s="1">
        <v>39.0</v>
      </c>
      <c r="V268" s="5" t="s">
        <v>1267</v>
      </c>
      <c r="W268" s="1" t="s">
        <v>1268</v>
      </c>
      <c r="X268" s="1" t="s">
        <v>1270</v>
      </c>
      <c r="Y268" s="4"/>
      <c r="Z268" s="4"/>
      <c r="AA268" s="4" t="b">
        <f>IFERROR(__xludf.DUMMYFUNCTION("IF(X268="""",,REGEXMATCH(X268,""[א-ת]""))"),FALSE)</f>
        <v>0</v>
      </c>
      <c r="AB268" s="1">
        <v>28.99</v>
      </c>
      <c r="AC268" s="1">
        <v>57.14</v>
      </c>
      <c r="AD268" s="1">
        <v>0.789191695200356</v>
      </c>
      <c r="AE268" s="1">
        <v>0.4939</v>
      </c>
      <c r="AF268" s="1">
        <v>0.4939</v>
      </c>
      <c r="AG268" s="1">
        <v>6.337</v>
      </c>
      <c r="AH268" s="1">
        <v>6.781</v>
      </c>
      <c r="AI268" s="1" t="b">
        <v>0</v>
      </c>
      <c r="AJ268" s="1" t="b">
        <v>0</v>
      </c>
      <c r="AK268" s="1">
        <v>94.182</v>
      </c>
      <c r="AL268" s="1">
        <v>96.508</v>
      </c>
      <c r="AM268" s="1" t="b">
        <v>0</v>
      </c>
      <c r="AN268" s="1" t="b">
        <v>0</v>
      </c>
      <c r="AO268" s="1">
        <v>8.05</v>
      </c>
      <c r="AP268" s="1">
        <v>8.53399999999999</v>
      </c>
      <c r="AQ268" s="1" t="b">
        <v>0</v>
      </c>
      <c r="AR268" s="1" t="b">
        <v>0</v>
      </c>
      <c r="AS268" s="1">
        <v>86.9179999999999</v>
      </c>
      <c r="AT268" s="1">
        <v>87.152</v>
      </c>
      <c r="AU268" s="1" t="b">
        <v>0</v>
      </c>
      <c r="AV268" s="1" t="b">
        <v>0</v>
      </c>
      <c r="AW268" s="1">
        <v>9.61399999999999</v>
      </c>
      <c r="AX268" s="1">
        <v>11.026</v>
      </c>
      <c r="AY268" s="1" t="b">
        <v>0</v>
      </c>
      <c r="AZ268" s="1" t="b">
        <v>0</v>
      </c>
      <c r="BA268" s="1">
        <v>81.25</v>
      </c>
      <c r="BB268" s="1">
        <v>77.78</v>
      </c>
      <c r="BC268" s="1" t="b">
        <v>0</v>
      </c>
      <c r="BD268" s="1" t="b">
        <v>0</v>
      </c>
      <c r="BE268" s="1">
        <v>11.34</v>
      </c>
      <c r="BF268" s="1">
        <v>13.285</v>
      </c>
      <c r="BG268" s="1" t="b">
        <v>0</v>
      </c>
      <c r="BH268" s="1" t="b">
        <v>0</v>
      </c>
      <c r="BI268" s="1">
        <v>77.78</v>
      </c>
      <c r="BJ268" s="1">
        <v>75.0</v>
      </c>
      <c r="BK268" s="1" t="b">
        <v>0</v>
      </c>
      <c r="BL268" s="1" t="b">
        <v>0</v>
      </c>
      <c r="BM268" s="1">
        <v>13.121</v>
      </c>
      <c r="BN268" s="1">
        <v>14.568</v>
      </c>
      <c r="BO268" s="1" t="b">
        <v>0</v>
      </c>
      <c r="BP268" s="1" t="b">
        <v>0</v>
      </c>
      <c r="BQ268" s="1">
        <v>75.0</v>
      </c>
      <c r="BR268" s="1">
        <v>72.027</v>
      </c>
      <c r="BS268" s="1" t="b">
        <v>0</v>
      </c>
      <c r="BT268" s="1" t="b">
        <v>0</v>
      </c>
      <c r="BU268" s="1" t="s">
        <v>105</v>
      </c>
      <c r="BV268" s="1" t="s">
        <v>105</v>
      </c>
      <c r="BW268" s="1" t="s">
        <v>105</v>
      </c>
      <c r="BX268" s="1" t="s">
        <v>105</v>
      </c>
      <c r="BY268" s="1" t="s">
        <v>105</v>
      </c>
      <c r="BZ268" s="1" t="s">
        <v>105</v>
      </c>
      <c r="CA268" s="1" t="s">
        <v>105</v>
      </c>
      <c r="CB268" s="1" t="s">
        <v>105</v>
      </c>
      <c r="CC268" s="1" t="s">
        <v>105</v>
      </c>
      <c r="CD268" s="1" t="s">
        <v>105</v>
      </c>
      <c r="CE268" s="4"/>
      <c r="CF268" s="4"/>
    </row>
    <row r="269" hidden="1">
      <c r="A269" s="1" t="s">
        <v>82</v>
      </c>
      <c r="B269" s="1" t="s">
        <v>333</v>
      </c>
      <c r="C269" s="1">
        <v>24.0</v>
      </c>
      <c r="D269" s="5" t="s">
        <v>1271</v>
      </c>
      <c r="E269" s="1" t="s">
        <v>1272</v>
      </c>
      <c r="F269" s="1">
        <v>61.0</v>
      </c>
      <c r="G269" s="1">
        <v>-0.497</v>
      </c>
      <c r="H269" s="1" t="s">
        <v>1273</v>
      </c>
      <c r="I269" s="4" t="b">
        <f>IFERROR(__xludf.DUMMYFUNCTION("IF(H269="""",,REGEXMATCH(H269,""[א-ת]""))"),FALSE)</f>
        <v>0</v>
      </c>
      <c r="J269" s="4"/>
      <c r="K269" s="4"/>
      <c r="L269" s="1">
        <v>-0.7003</v>
      </c>
      <c r="M269" s="1">
        <v>16.28</v>
      </c>
      <c r="N269" s="1">
        <v>75.41</v>
      </c>
      <c r="O269" s="1">
        <v>1.236229508</v>
      </c>
      <c r="P269" s="4"/>
      <c r="Q269" s="4"/>
      <c r="R269" s="1" t="s">
        <v>89</v>
      </c>
      <c r="S269" s="1" t="s">
        <v>1272</v>
      </c>
      <c r="T269" s="1" t="s">
        <v>333</v>
      </c>
      <c r="U269" s="1">
        <v>25.0</v>
      </c>
      <c r="V269" s="5" t="s">
        <v>1271</v>
      </c>
      <c r="W269" s="1" t="s">
        <v>1272</v>
      </c>
      <c r="X269" s="1" t="s">
        <v>1274</v>
      </c>
      <c r="Y269" s="4"/>
      <c r="Z269" s="4"/>
      <c r="AA269" s="4" t="b">
        <f>IFERROR(__xludf.DUMMYFUNCTION("IF(X269="""",,REGEXMATCH(X269,""[א-ת]""))"),FALSE)</f>
        <v>0</v>
      </c>
      <c r="AB269" s="1">
        <v>20.43</v>
      </c>
      <c r="AC269" s="1">
        <v>65.57</v>
      </c>
      <c r="AD269" s="1">
        <v>0.684970319436315</v>
      </c>
      <c r="AE269" s="1">
        <v>-0.0818</v>
      </c>
      <c r="AF269" s="1">
        <v>-0.497</v>
      </c>
      <c r="AG269" s="1">
        <v>6.337</v>
      </c>
      <c r="AH269" s="1">
        <v>6.781</v>
      </c>
      <c r="AI269" s="1" t="b">
        <v>0</v>
      </c>
      <c r="AJ269" s="1" t="b">
        <v>0</v>
      </c>
      <c r="AK269" s="1">
        <v>94.182</v>
      </c>
      <c r="AL269" s="1">
        <v>96.508</v>
      </c>
      <c r="AM269" s="1" t="b">
        <v>0</v>
      </c>
      <c r="AN269" s="1" t="b">
        <v>0</v>
      </c>
      <c r="AO269" s="1">
        <v>8.05</v>
      </c>
      <c r="AP269" s="1">
        <v>8.53399999999999</v>
      </c>
      <c r="AQ269" s="1" t="b">
        <v>0</v>
      </c>
      <c r="AR269" s="1" t="b">
        <v>0</v>
      </c>
      <c r="AS269" s="1">
        <v>86.9179999999999</v>
      </c>
      <c r="AT269" s="1">
        <v>87.152</v>
      </c>
      <c r="AU269" s="1" t="b">
        <v>0</v>
      </c>
      <c r="AV269" s="1" t="b">
        <v>0</v>
      </c>
      <c r="AW269" s="1">
        <v>9.61399999999999</v>
      </c>
      <c r="AX269" s="1">
        <v>11.026</v>
      </c>
      <c r="AY269" s="1" t="b">
        <v>0</v>
      </c>
      <c r="AZ269" s="1" t="b">
        <v>0</v>
      </c>
      <c r="BA269" s="1">
        <v>81.25</v>
      </c>
      <c r="BB269" s="1">
        <v>77.78</v>
      </c>
      <c r="BC269" s="1" t="b">
        <v>0</v>
      </c>
      <c r="BD269" s="1" t="b">
        <v>0</v>
      </c>
      <c r="BE269" s="1">
        <v>11.34</v>
      </c>
      <c r="BF269" s="1">
        <v>13.285</v>
      </c>
      <c r="BG269" s="1" t="b">
        <v>0</v>
      </c>
      <c r="BH269" s="1" t="b">
        <v>0</v>
      </c>
      <c r="BI269" s="1">
        <v>77.78</v>
      </c>
      <c r="BJ269" s="1">
        <v>75.0</v>
      </c>
      <c r="BK269" s="1" t="b">
        <v>0</v>
      </c>
      <c r="BL269" s="1" t="b">
        <v>0</v>
      </c>
      <c r="BM269" s="1">
        <v>13.121</v>
      </c>
      <c r="BN269" s="1">
        <v>14.568</v>
      </c>
      <c r="BO269" s="1" t="b">
        <v>0</v>
      </c>
      <c r="BP269" s="1" t="b">
        <v>0</v>
      </c>
      <c r="BQ269" s="1">
        <v>75.0</v>
      </c>
      <c r="BR269" s="1">
        <v>72.027</v>
      </c>
      <c r="BS269" s="1" t="b">
        <v>1</v>
      </c>
      <c r="BT269" s="1" t="b">
        <v>0</v>
      </c>
      <c r="BU269" s="1" t="s">
        <v>105</v>
      </c>
      <c r="BV269" s="1" t="s">
        <v>105</v>
      </c>
      <c r="BW269" s="1" t="s">
        <v>105</v>
      </c>
      <c r="BX269" s="1" t="s">
        <v>105</v>
      </c>
      <c r="BY269" s="1" t="s">
        <v>105</v>
      </c>
      <c r="BZ269" s="1" t="s">
        <v>105</v>
      </c>
      <c r="CA269" s="1" t="s">
        <v>105</v>
      </c>
      <c r="CB269" s="1" t="s">
        <v>105</v>
      </c>
      <c r="CC269" s="1" t="s">
        <v>105</v>
      </c>
      <c r="CD269" s="1" t="s">
        <v>91</v>
      </c>
      <c r="CE269" s="4"/>
      <c r="CF269" s="4"/>
    </row>
    <row r="270" hidden="1">
      <c r="A270" s="1" t="s">
        <v>82</v>
      </c>
      <c r="B270" s="1" t="s">
        <v>251</v>
      </c>
      <c r="C270" s="1">
        <v>24.0</v>
      </c>
      <c r="D270" s="5" t="s">
        <v>1275</v>
      </c>
      <c r="E270" s="1" t="s">
        <v>1276</v>
      </c>
      <c r="F270" s="1">
        <v>22.0</v>
      </c>
      <c r="G270" s="1">
        <v>0.0</v>
      </c>
      <c r="H270" s="1" t="s">
        <v>1277</v>
      </c>
      <c r="I270" s="4" t="b">
        <f>IFERROR(__xludf.DUMMYFUNCTION("IF(H270="""",,REGEXMATCH(H270,""[א-ת]""))"),FALSE)</f>
        <v>0</v>
      </c>
      <c r="J270" s="4"/>
      <c r="K270" s="4"/>
      <c r="L270" s="1">
        <v>0.0</v>
      </c>
      <c r="M270" s="1">
        <v>16.29</v>
      </c>
      <c r="N270" s="1">
        <v>72.73</v>
      </c>
      <c r="O270" s="1">
        <v>3.305909091</v>
      </c>
      <c r="P270" s="4"/>
      <c r="Q270" s="4"/>
      <c r="R270" s="1" t="s">
        <v>89</v>
      </c>
      <c r="S270" s="1" t="s">
        <v>1276</v>
      </c>
      <c r="T270" s="1" t="s">
        <v>251</v>
      </c>
      <c r="U270" s="1">
        <v>25.0</v>
      </c>
      <c r="V270" s="5" t="s">
        <v>1275</v>
      </c>
      <c r="W270" s="1" t="s">
        <v>1276</v>
      </c>
      <c r="X270" s="1" t="s">
        <v>1278</v>
      </c>
      <c r="Y270" s="4"/>
      <c r="Z270" s="4"/>
      <c r="AA270" s="4" t="b">
        <f>IFERROR(__xludf.DUMMYFUNCTION("IF(X270="""",,REGEXMATCH(X270,""[א-ת]""))"),FALSE)</f>
        <v>0</v>
      </c>
      <c r="AB270" s="1">
        <v>12.64</v>
      </c>
      <c r="AC270" s="1">
        <v>77.27</v>
      </c>
      <c r="AD270" s="1">
        <v>0.863640771428583</v>
      </c>
      <c r="AE270" s="1">
        <v>0.0</v>
      </c>
      <c r="AF270" s="1">
        <v>0.0</v>
      </c>
      <c r="AG270" s="1">
        <v>6.337</v>
      </c>
      <c r="AH270" s="1">
        <v>6.781</v>
      </c>
      <c r="AI270" s="1" t="b">
        <v>0</v>
      </c>
      <c r="AJ270" s="1" t="b">
        <v>0</v>
      </c>
      <c r="AK270" s="1">
        <v>94.182</v>
      </c>
      <c r="AL270" s="1">
        <v>96.508</v>
      </c>
      <c r="AM270" s="1" t="b">
        <v>0</v>
      </c>
      <c r="AN270" s="1" t="b">
        <v>0</v>
      </c>
      <c r="AO270" s="1">
        <v>8.05</v>
      </c>
      <c r="AP270" s="1">
        <v>8.53399999999999</v>
      </c>
      <c r="AQ270" s="1" t="b">
        <v>0</v>
      </c>
      <c r="AR270" s="1" t="b">
        <v>0</v>
      </c>
      <c r="AS270" s="1">
        <v>86.9179999999999</v>
      </c>
      <c r="AT270" s="1">
        <v>87.152</v>
      </c>
      <c r="AU270" s="1" t="b">
        <v>0</v>
      </c>
      <c r="AV270" s="1" t="b">
        <v>0</v>
      </c>
      <c r="AW270" s="1">
        <v>9.61399999999999</v>
      </c>
      <c r="AX270" s="1">
        <v>11.026</v>
      </c>
      <c r="AY270" s="1" t="b">
        <v>0</v>
      </c>
      <c r="AZ270" s="1" t="b">
        <v>0</v>
      </c>
      <c r="BA270" s="1">
        <v>81.25</v>
      </c>
      <c r="BB270" s="1">
        <v>77.78</v>
      </c>
      <c r="BC270" s="1" t="b">
        <v>0</v>
      </c>
      <c r="BD270" s="1" t="b">
        <v>0</v>
      </c>
      <c r="BE270" s="1">
        <v>11.34</v>
      </c>
      <c r="BF270" s="1">
        <v>13.285</v>
      </c>
      <c r="BG270" s="1" t="b">
        <v>0</v>
      </c>
      <c r="BH270" s="1" t="b">
        <v>1</v>
      </c>
      <c r="BI270" s="1">
        <v>77.78</v>
      </c>
      <c r="BJ270" s="1">
        <v>75.0</v>
      </c>
      <c r="BK270" s="1" t="b">
        <v>0</v>
      </c>
      <c r="BL270" s="1" t="b">
        <v>1</v>
      </c>
      <c r="BM270" s="1">
        <v>13.121</v>
      </c>
      <c r="BN270" s="1">
        <v>14.568</v>
      </c>
      <c r="BO270" s="1" t="b">
        <v>0</v>
      </c>
      <c r="BP270" s="1" t="b">
        <v>1</v>
      </c>
      <c r="BQ270" s="1">
        <v>75.0</v>
      </c>
      <c r="BR270" s="1">
        <v>72.027</v>
      </c>
      <c r="BS270" s="1" t="b">
        <v>0</v>
      </c>
      <c r="BT270" s="1" t="b">
        <v>1</v>
      </c>
      <c r="BU270" s="1" t="s">
        <v>105</v>
      </c>
      <c r="BV270" s="1" t="s">
        <v>105</v>
      </c>
      <c r="BW270" s="1" t="s">
        <v>105</v>
      </c>
      <c r="BX270" s="1" t="s">
        <v>105</v>
      </c>
      <c r="BY270" s="1" t="s">
        <v>105</v>
      </c>
      <c r="BZ270" s="1" t="s">
        <v>105</v>
      </c>
      <c r="CA270" s="1" t="s">
        <v>157</v>
      </c>
      <c r="CB270" s="1" t="s">
        <v>157</v>
      </c>
      <c r="CC270" s="1" t="s">
        <v>157</v>
      </c>
      <c r="CD270" s="1" t="s">
        <v>157</v>
      </c>
      <c r="CE270" s="4"/>
      <c r="CF270" s="4"/>
    </row>
    <row r="271" hidden="1">
      <c r="A271" s="1" t="s">
        <v>82</v>
      </c>
      <c r="B271" s="1" t="s">
        <v>92</v>
      </c>
      <c r="C271" s="1">
        <v>3.0</v>
      </c>
      <c r="D271" s="5" t="s">
        <v>1279</v>
      </c>
      <c r="E271" s="1" t="s">
        <v>1280</v>
      </c>
      <c r="F271" s="1">
        <v>47.0</v>
      </c>
      <c r="G271" s="1">
        <v>0.8885</v>
      </c>
      <c r="H271" s="1" t="s">
        <v>1281</v>
      </c>
      <c r="I271" s="4" t="b">
        <f>IFERROR(__xludf.DUMMYFUNCTION("IF(H271="""",,REGEXMATCH(H271,""[א-ת]""))"),FALSE)</f>
        <v>0</v>
      </c>
      <c r="J271" s="4"/>
      <c r="K271" s="4"/>
      <c r="L271" s="1">
        <v>0.68</v>
      </c>
      <c r="M271" s="1">
        <v>16.3</v>
      </c>
      <c r="N271" s="1">
        <v>68.09</v>
      </c>
      <c r="O271" s="1">
        <v>1.448723404</v>
      </c>
      <c r="P271" s="4"/>
      <c r="Q271" s="4"/>
      <c r="R271" s="1" t="s">
        <v>96</v>
      </c>
      <c r="S271" s="1" t="s">
        <v>1280</v>
      </c>
      <c r="T271" s="1" t="s">
        <v>92</v>
      </c>
      <c r="U271" s="1">
        <v>4.0</v>
      </c>
      <c r="V271" s="5" t="s">
        <v>1279</v>
      </c>
      <c r="W271" s="1" t="s">
        <v>1280</v>
      </c>
      <c r="X271" s="1" t="s">
        <v>1282</v>
      </c>
      <c r="Y271" s="4"/>
      <c r="Z271" s="4"/>
      <c r="AA271" s="4" t="b">
        <f>IFERROR(__xludf.DUMMYFUNCTION("IF(X271="""",,REGEXMATCH(X271,""[א-ת]""))"),FALSE)</f>
        <v>0</v>
      </c>
      <c r="AB271" s="1">
        <v>24.05</v>
      </c>
      <c r="AC271" s="1">
        <v>57.45</v>
      </c>
      <c r="AD271" s="1">
        <v>0.669037543417665</v>
      </c>
      <c r="AE271" s="1">
        <v>0.7871</v>
      </c>
      <c r="AF271" s="1">
        <v>0.8885</v>
      </c>
      <c r="AG271" s="1">
        <v>6.337</v>
      </c>
      <c r="AH271" s="1">
        <v>6.781</v>
      </c>
      <c r="AI271" s="1" t="b">
        <v>0</v>
      </c>
      <c r="AJ271" s="1" t="b">
        <v>0</v>
      </c>
      <c r="AK271" s="1">
        <v>94.182</v>
      </c>
      <c r="AL271" s="1">
        <v>96.508</v>
      </c>
      <c r="AM271" s="1" t="b">
        <v>0</v>
      </c>
      <c r="AN271" s="1" t="b">
        <v>0</v>
      </c>
      <c r="AO271" s="1">
        <v>8.05</v>
      </c>
      <c r="AP271" s="1">
        <v>8.53399999999999</v>
      </c>
      <c r="AQ271" s="1" t="b">
        <v>0</v>
      </c>
      <c r="AR271" s="1" t="b">
        <v>0</v>
      </c>
      <c r="AS271" s="1">
        <v>86.9179999999999</v>
      </c>
      <c r="AT271" s="1">
        <v>87.152</v>
      </c>
      <c r="AU271" s="1" t="b">
        <v>0</v>
      </c>
      <c r="AV271" s="1" t="b">
        <v>0</v>
      </c>
      <c r="AW271" s="1">
        <v>9.61399999999999</v>
      </c>
      <c r="AX271" s="1">
        <v>11.026</v>
      </c>
      <c r="AY271" s="1" t="b">
        <v>0</v>
      </c>
      <c r="AZ271" s="1" t="b">
        <v>0</v>
      </c>
      <c r="BA271" s="1">
        <v>81.25</v>
      </c>
      <c r="BB271" s="1">
        <v>77.78</v>
      </c>
      <c r="BC271" s="1" t="b">
        <v>0</v>
      </c>
      <c r="BD271" s="1" t="b">
        <v>0</v>
      </c>
      <c r="BE271" s="1">
        <v>11.34</v>
      </c>
      <c r="BF271" s="1">
        <v>13.285</v>
      </c>
      <c r="BG271" s="1" t="b">
        <v>0</v>
      </c>
      <c r="BH271" s="1" t="b">
        <v>0</v>
      </c>
      <c r="BI271" s="1">
        <v>77.78</v>
      </c>
      <c r="BJ271" s="1">
        <v>75.0</v>
      </c>
      <c r="BK271" s="1" t="b">
        <v>0</v>
      </c>
      <c r="BL271" s="1" t="b">
        <v>0</v>
      </c>
      <c r="BM271" s="1">
        <v>13.121</v>
      </c>
      <c r="BN271" s="1">
        <v>14.568</v>
      </c>
      <c r="BO271" s="1" t="b">
        <v>0</v>
      </c>
      <c r="BP271" s="1" t="b">
        <v>0</v>
      </c>
      <c r="BQ271" s="1">
        <v>75.0</v>
      </c>
      <c r="BR271" s="1">
        <v>72.027</v>
      </c>
      <c r="BS271" s="1" t="b">
        <v>0</v>
      </c>
      <c r="BT271" s="1" t="b">
        <v>0</v>
      </c>
      <c r="BU271" s="1" t="s">
        <v>105</v>
      </c>
      <c r="BV271" s="1" t="s">
        <v>105</v>
      </c>
      <c r="BW271" s="1" t="s">
        <v>105</v>
      </c>
      <c r="BX271" s="1" t="s">
        <v>105</v>
      </c>
      <c r="BY271" s="1" t="s">
        <v>105</v>
      </c>
      <c r="BZ271" s="1" t="s">
        <v>105</v>
      </c>
      <c r="CA271" s="1" t="s">
        <v>105</v>
      </c>
      <c r="CB271" s="1" t="s">
        <v>105</v>
      </c>
      <c r="CC271" s="1" t="s">
        <v>105</v>
      </c>
      <c r="CD271" s="1" t="s">
        <v>105</v>
      </c>
      <c r="CE271" s="4"/>
      <c r="CF271" s="4"/>
    </row>
    <row r="272" hidden="1">
      <c r="A272" s="1" t="s">
        <v>82</v>
      </c>
      <c r="B272" s="1" t="s">
        <v>158</v>
      </c>
      <c r="C272" s="1">
        <v>20.0</v>
      </c>
      <c r="D272" s="5" t="s">
        <v>1283</v>
      </c>
      <c r="E272" s="1" t="s">
        <v>1284</v>
      </c>
      <c r="F272" s="1">
        <v>35.0</v>
      </c>
      <c r="G272" s="1">
        <v>0.5994</v>
      </c>
      <c r="H272" s="1" t="s">
        <v>1285</v>
      </c>
      <c r="I272" s="4" t="b">
        <f>IFERROR(__xludf.DUMMYFUNCTION("IF(H272="""",,REGEXMATCH(H272,""[א-ת]""))"),FALSE)</f>
        <v>0</v>
      </c>
      <c r="J272" s="4"/>
      <c r="K272" s="4"/>
      <c r="L272" s="1">
        <v>0.6641</v>
      </c>
      <c r="M272" s="1">
        <v>16.31</v>
      </c>
      <c r="N272" s="1">
        <v>77.14</v>
      </c>
      <c r="O272" s="1">
        <v>2.204</v>
      </c>
      <c r="P272" s="4"/>
      <c r="Q272" s="4"/>
      <c r="R272" s="1" t="s">
        <v>89</v>
      </c>
      <c r="S272" s="1" t="s">
        <v>1284</v>
      </c>
      <c r="T272" s="1" t="s">
        <v>158</v>
      </c>
      <c r="U272" s="1">
        <v>21.0</v>
      </c>
      <c r="V272" s="5" t="s">
        <v>1283</v>
      </c>
      <c r="W272" s="1" t="s">
        <v>1284</v>
      </c>
      <c r="X272" s="1" t="s">
        <v>1286</v>
      </c>
      <c r="Y272" s="4"/>
      <c r="Z272" s="4"/>
      <c r="AA272" s="4" t="b">
        <f>IFERROR(__xludf.DUMMYFUNCTION("IF(X272="""",,REGEXMATCH(X272,""[א-ת]""))"),FALSE)</f>
        <v>0</v>
      </c>
      <c r="AB272" s="1">
        <v>16.48</v>
      </c>
      <c r="AC272" s="1">
        <v>71.43</v>
      </c>
      <c r="AD272" s="1">
        <v>0.471640523180227</v>
      </c>
      <c r="AE272" s="1">
        <v>0.6641</v>
      </c>
      <c r="AF272" s="1">
        <v>0.5994</v>
      </c>
      <c r="AG272" s="1">
        <v>6.337</v>
      </c>
      <c r="AH272" s="1">
        <v>6.781</v>
      </c>
      <c r="AI272" s="1" t="b">
        <v>0</v>
      </c>
      <c r="AJ272" s="1" t="b">
        <v>0</v>
      </c>
      <c r="AK272" s="1">
        <v>94.182</v>
      </c>
      <c r="AL272" s="1">
        <v>96.508</v>
      </c>
      <c r="AM272" s="1" t="b">
        <v>0</v>
      </c>
      <c r="AN272" s="1" t="b">
        <v>0</v>
      </c>
      <c r="AO272" s="1">
        <v>8.05</v>
      </c>
      <c r="AP272" s="1">
        <v>8.53399999999999</v>
      </c>
      <c r="AQ272" s="1" t="b">
        <v>0</v>
      </c>
      <c r="AR272" s="1" t="b">
        <v>0</v>
      </c>
      <c r="AS272" s="1">
        <v>86.9179999999999</v>
      </c>
      <c r="AT272" s="1">
        <v>87.152</v>
      </c>
      <c r="AU272" s="1" t="b">
        <v>0</v>
      </c>
      <c r="AV272" s="1" t="b">
        <v>0</v>
      </c>
      <c r="AW272" s="1">
        <v>9.61399999999999</v>
      </c>
      <c r="AX272" s="1">
        <v>11.026</v>
      </c>
      <c r="AY272" s="1" t="b">
        <v>0</v>
      </c>
      <c r="AZ272" s="1" t="b">
        <v>0</v>
      </c>
      <c r="BA272" s="1">
        <v>81.25</v>
      </c>
      <c r="BB272" s="1">
        <v>77.78</v>
      </c>
      <c r="BC272" s="1" t="b">
        <v>0</v>
      </c>
      <c r="BD272" s="1" t="b">
        <v>0</v>
      </c>
      <c r="BE272" s="1">
        <v>11.34</v>
      </c>
      <c r="BF272" s="1">
        <v>13.285</v>
      </c>
      <c r="BG272" s="1" t="b">
        <v>0</v>
      </c>
      <c r="BH272" s="1" t="b">
        <v>0</v>
      </c>
      <c r="BI272" s="1">
        <v>77.78</v>
      </c>
      <c r="BJ272" s="1">
        <v>75.0</v>
      </c>
      <c r="BK272" s="1" t="b">
        <v>0</v>
      </c>
      <c r="BL272" s="1" t="b">
        <v>0</v>
      </c>
      <c r="BM272" s="1">
        <v>13.121</v>
      </c>
      <c r="BN272" s="1">
        <v>14.568</v>
      </c>
      <c r="BO272" s="1" t="b">
        <v>0</v>
      </c>
      <c r="BP272" s="1" t="b">
        <v>0</v>
      </c>
      <c r="BQ272" s="1">
        <v>75.0</v>
      </c>
      <c r="BR272" s="1">
        <v>72.027</v>
      </c>
      <c r="BS272" s="1" t="b">
        <v>1</v>
      </c>
      <c r="BT272" s="1" t="b">
        <v>0</v>
      </c>
      <c r="BU272" s="1" t="s">
        <v>105</v>
      </c>
      <c r="BV272" s="1" t="s">
        <v>105</v>
      </c>
      <c r="BW272" s="1" t="s">
        <v>105</v>
      </c>
      <c r="BX272" s="1" t="s">
        <v>105</v>
      </c>
      <c r="BY272" s="1" t="s">
        <v>105</v>
      </c>
      <c r="BZ272" s="1" t="s">
        <v>105</v>
      </c>
      <c r="CA272" s="1" t="s">
        <v>105</v>
      </c>
      <c r="CB272" s="1" t="s">
        <v>105</v>
      </c>
      <c r="CC272" s="1" t="s">
        <v>105</v>
      </c>
      <c r="CD272" s="1" t="s">
        <v>91</v>
      </c>
      <c r="CE272" s="4"/>
      <c r="CF272" s="4"/>
    </row>
    <row r="273" hidden="1">
      <c r="A273" s="1" t="s">
        <v>82</v>
      </c>
      <c r="B273" s="1" t="s">
        <v>92</v>
      </c>
      <c r="C273" s="1">
        <v>13.0</v>
      </c>
      <c r="D273" s="5" t="s">
        <v>1287</v>
      </c>
      <c r="E273" s="1" t="s">
        <v>1288</v>
      </c>
      <c r="F273" s="1">
        <v>36.0</v>
      </c>
      <c r="G273" s="1">
        <v>-0.5574</v>
      </c>
      <c r="H273" s="1" t="s">
        <v>1289</v>
      </c>
      <c r="I273" s="4" t="b">
        <f>IFERROR(__xludf.DUMMYFUNCTION("IF(H273="""",,REGEXMATCH(H273,""[א-ת]""))"),FALSE)</f>
        <v>0</v>
      </c>
      <c r="J273" s="4"/>
      <c r="K273" s="4"/>
      <c r="L273" s="1">
        <v>-0.5574</v>
      </c>
      <c r="M273" s="1">
        <v>16.4</v>
      </c>
      <c r="N273" s="1">
        <v>72.22</v>
      </c>
      <c r="O273" s="1">
        <v>2.006111111</v>
      </c>
      <c r="P273" s="4"/>
      <c r="Q273" s="4"/>
      <c r="R273" s="1" t="s">
        <v>96</v>
      </c>
      <c r="S273" s="1" t="s">
        <v>1288</v>
      </c>
      <c r="T273" s="1" t="s">
        <v>92</v>
      </c>
      <c r="U273" s="1">
        <v>14.0</v>
      </c>
      <c r="V273" s="5" t="s">
        <v>1287</v>
      </c>
      <c r="W273" s="1" t="s">
        <v>1288</v>
      </c>
      <c r="X273" s="1" t="s">
        <v>1290</v>
      </c>
      <c r="Y273" s="4"/>
      <c r="Z273" s="4"/>
      <c r="AA273" s="4" t="b">
        <f>IFERROR(__xludf.DUMMYFUNCTION("IF(X273="""",,REGEXMATCH(X273,""[א-ת]""))"),FALSE)</f>
        <v>0</v>
      </c>
      <c r="AB273" s="1">
        <v>13.11</v>
      </c>
      <c r="AC273" s="1">
        <v>77.78</v>
      </c>
      <c r="AD273" s="1">
        <v>0.58726210730571</v>
      </c>
      <c r="AE273" s="1">
        <v>-0.5983</v>
      </c>
      <c r="AF273" s="1">
        <v>-0.5574</v>
      </c>
      <c r="AG273" s="1">
        <v>6.337</v>
      </c>
      <c r="AH273" s="1">
        <v>6.781</v>
      </c>
      <c r="AI273" s="1" t="b">
        <v>0</v>
      </c>
      <c r="AJ273" s="1" t="b">
        <v>0</v>
      </c>
      <c r="AK273" s="1">
        <v>94.182</v>
      </c>
      <c r="AL273" s="1">
        <v>96.508</v>
      </c>
      <c r="AM273" s="1" t="b">
        <v>0</v>
      </c>
      <c r="AN273" s="1" t="b">
        <v>0</v>
      </c>
      <c r="AO273" s="1">
        <v>8.05</v>
      </c>
      <c r="AP273" s="1">
        <v>8.53399999999999</v>
      </c>
      <c r="AQ273" s="1" t="b">
        <v>0</v>
      </c>
      <c r="AR273" s="1" t="b">
        <v>0</v>
      </c>
      <c r="AS273" s="1">
        <v>86.9179999999999</v>
      </c>
      <c r="AT273" s="1">
        <v>87.152</v>
      </c>
      <c r="AU273" s="1" t="b">
        <v>0</v>
      </c>
      <c r="AV273" s="1" t="b">
        <v>0</v>
      </c>
      <c r="AW273" s="1">
        <v>9.61399999999999</v>
      </c>
      <c r="AX273" s="1">
        <v>11.026</v>
      </c>
      <c r="AY273" s="1" t="b">
        <v>0</v>
      </c>
      <c r="AZ273" s="1" t="b">
        <v>0</v>
      </c>
      <c r="BA273" s="1">
        <v>81.25</v>
      </c>
      <c r="BB273" s="1">
        <v>77.78</v>
      </c>
      <c r="BC273" s="1" t="b">
        <v>0</v>
      </c>
      <c r="BD273" s="1" t="b">
        <v>1</v>
      </c>
      <c r="BE273" s="1">
        <v>11.34</v>
      </c>
      <c r="BF273" s="1">
        <v>13.285</v>
      </c>
      <c r="BG273" s="1" t="b">
        <v>0</v>
      </c>
      <c r="BH273" s="1" t="b">
        <v>1</v>
      </c>
      <c r="BI273" s="1">
        <v>77.78</v>
      </c>
      <c r="BJ273" s="1">
        <v>75.0</v>
      </c>
      <c r="BK273" s="1" t="b">
        <v>0</v>
      </c>
      <c r="BL273" s="1" t="b">
        <v>1</v>
      </c>
      <c r="BM273" s="1">
        <v>13.121</v>
      </c>
      <c r="BN273" s="1">
        <v>14.568</v>
      </c>
      <c r="BO273" s="1" t="b">
        <v>0</v>
      </c>
      <c r="BP273" s="1" t="b">
        <v>1</v>
      </c>
      <c r="BQ273" s="1">
        <v>75.0</v>
      </c>
      <c r="BR273" s="1">
        <v>72.027</v>
      </c>
      <c r="BS273" s="1" t="b">
        <v>0</v>
      </c>
      <c r="BT273" s="1" t="b">
        <v>1</v>
      </c>
      <c r="BU273" s="1" t="s">
        <v>105</v>
      </c>
      <c r="BV273" s="1" t="s">
        <v>105</v>
      </c>
      <c r="BW273" s="1" t="s">
        <v>105</v>
      </c>
      <c r="BX273" s="1" t="s">
        <v>105</v>
      </c>
      <c r="BY273" s="1" t="s">
        <v>105</v>
      </c>
      <c r="BZ273" s="1" t="s">
        <v>157</v>
      </c>
      <c r="CA273" s="1" t="s">
        <v>157</v>
      </c>
      <c r="CB273" s="1" t="s">
        <v>157</v>
      </c>
      <c r="CC273" s="1" t="s">
        <v>157</v>
      </c>
      <c r="CD273" s="1" t="s">
        <v>157</v>
      </c>
      <c r="CE273" s="4"/>
      <c r="CF273" s="4"/>
    </row>
    <row r="274" hidden="1">
      <c r="A274" s="1" t="s">
        <v>82</v>
      </c>
      <c r="B274" s="1" t="s">
        <v>92</v>
      </c>
      <c r="C274" s="1">
        <v>17.0</v>
      </c>
      <c r="D274" s="5" t="s">
        <v>1291</v>
      </c>
      <c r="E274" s="1" t="s">
        <v>1292</v>
      </c>
      <c r="F274" s="1">
        <v>43.0</v>
      </c>
      <c r="G274" s="1">
        <v>-0.1779</v>
      </c>
      <c r="H274" s="1" t="s">
        <v>1293</v>
      </c>
      <c r="I274" s="4" t="b">
        <f>IFERROR(__xludf.DUMMYFUNCTION("IF(H274="""",,REGEXMATCH(H274,""[א-ת]""))"),FALSE)</f>
        <v>0</v>
      </c>
      <c r="J274" s="4"/>
      <c r="K274" s="4"/>
      <c r="L274" s="1">
        <v>0.25</v>
      </c>
      <c r="M274" s="1">
        <v>16.4</v>
      </c>
      <c r="N274" s="1">
        <v>60.47</v>
      </c>
      <c r="O274" s="1">
        <v>1.40627907</v>
      </c>
      <c r="P274" s="4"/>
      <c r="Q274" s="4"/>
      <c r="R274" s="1" t="s">
        <v>96</v>
      </c>
      <c r="S274" s="1" t="s">
        <v>1292</v>
      </c>
      <c r="T274" s="1" t="s">
        <v>92</v>
      </c>
      <c r="U274" s="1">
        <v>18.0</v>
      </c>
      <c r="V274" s="5" t="s">
        <v>1291</v>
      </c>
      <c r="W274" s="1" t="s">
        <v>1292</v>
      </c>
      <c r="X274" s="1" t="s">
        <v>1294</v>
      </c>
      <c r="Y274" s="4"/>
      <c r="Z274" s="4"/>
      <c r="AA274" s="4" t="b">
        <f>IFERROR(__xludf.DUMMYFUNCTION("IF(X274="""",,REGEXMATCH(X274,""[א-ת]""))"),TRUE)</f>
        <v>1</v>
      </c>
      <c r="AB274" s="1">
        <v>19.77</v>
      </c>
      <c r="AC274" s="1">
        <v>65.12</v>
      </c>
      <c r="AD274" s="1">
        <v>0.492869581305957</v>
      </c>
      <c r="AE274" s="1">
        <v>0.25</v>
      </c>
      <c r="AF274" s="1">
        <v>-0.1779</v>
      </c>
      <c r="AG274" s="1">
        <v>6.337</v>
      </c>
      <c r="AH274" s="1">
        <v>6.781</v>
      </c>
      <c r="AI274" s="1" t="b">
        <v>0</v>
      </c>
      <c r="AJ274" s="1" t="b">
        <v>0</v>
      </c>
      <c r="AK274" s="1">
        <v>94.182</v>
      </c>
      <c r="AL274" s="1">
        <v>96.508</v>
      </c>
      <c r="AM274" s="1" t="b">
        <v>0</v>
      </c>
      <c r="AN274" s="1" t="b">
        <v>0</v>
      </c>
      <c r="AO274" s="1">
        <v>8.05</v>
      </c>
      <c r="AP274" s="1">
        <v>8.53399999999999</v>
      </c>
      <c r="AQ274" s="1" t="b">
        <v>0</v>
      </c>
      <c r="AR274" s="1" t="b">
        <v>0</v>
      </c>
      <c r="AS274" s="1">
        <v>86.9179999999999</v>
      </c>
      <c r="AT274" s="1">
        <v>87.152</v>
      </c>
      <c r="AU274" s="1" t="b">
        <v>0</v>
      </c>
      <c r="AV274" s="1" t="b">
        <v>0</v>
      </c>
      <c r="AW274" s="1">
        <v>9.61399999999999</v>
      </c>
      <c r="AX274" s="1">
        <v>11.026</v>
      </c>
      <c r="AY274" s="1" t="b">
        <v>0</v>
      </c>
      <c r="AZ274" s="1" t="b">
        <v>0</v>
      </c>
      <c r="BA274" s="1">
        <v>81.25</v>
      </c>
      <c r="BB274" s="1">
        <v>77.78</v>
      </c>
      <c r="BC274" s="1" t="b">
        <v>0</v>
      </c>
      <c r="BD274" s="1" t="b">
        <v>0</v>
      </c>
      <c r="BE274" s="1">
        <v>11.34</v>
      </c>
      <c r="BF274" s="1">
        <v>13.285</v>
      </c>
      <c r="BG274" s="1" t="b">
        <v>0</v>
      </c>
      <c r="BH274" s="1" t="b">
        <v>0</v>
      </c>
      <c r="BI274" s="1">
        <v>77.78</v>
      </c>
      <c r="BJ274" s="1">
        <v>75.0</v>
      </c>
      <c r="BK274" s="1" t="b">
        <v>0</v>
      </c>
      <c r="BL274" s="1" t="b">
        <v>0</v>
      </c>
      <c r="BM274" s="1">
        <v>13.121</v>
      </c>
      <c r="BN274" s="1">
        <v>14.568</v>
      </c>
      <c r="BO274" s="1" t="b">
        <v>0</v>
      </c>
      <c r="BP274" s="1" t="b">
        <v>0</v>
      </c>
      <c r="BQ274" s="1">
        <v>75.0</v>
      </c>
      <c r="BR274" s="1">
        <v>72.027</v>
      </c>
      <c r="BS274" s="1" t="b">
        <v>0</v>
      </c>
      <c r="BT274" s="1" t="b">
        <v>0</v>
      </c>
      <c r="BU274" s="1" t="s">
        <v>105</v>
      </c>
      <c r="BV274" s="1" t="s">
        <v>105</v>
      </c>
      <c r="BW274" s="1" t="s">
        <v>105</v>
      </c>
      <c r="BX274" s="1" t="s">
        <v>105</v>
      </c>
      <c r="BY274" s="1" t="s">
        <v>105</v>
      </c>
      <c r="BZ274" s="1" t="s">
        <v>105</v>
      </c>
      <c r="CA274" s="1" t="s">
        <v>105</v>
      </c>
      <c r="CB274" s="1" t="s">
        <v>105</v>
      </c>
      <c r="CC274" s="1" t="s">
        <v>105</v>
      </c>
      <c r="CD274" s="1" t="s">
        <v>105</v>
      </c>
      <c r="CE274" s="4"/>
      <c r="CF274" s="4"/>
    </row>
    <row r="275" hidden="1">
      <c r="A275" s="1" t="s">
        <v>82</v>
      </c>
      <c r="B275" s="1" t="s">
        <v>304</v>
      </c>
      <c r="C275" s="1">
        <v>30.0</v>
      </c>
      <c r="D275" s="5" t="s">
        <v>1295</v>
      </c>
      <c r="E275" s="1" t="s">
        <v>1296</v>
      </c>
      <c r="F275" s="1">
        <v>30.0</v>
      </c>
      <c r="G275" s="1">
        <v>0.4847</v>
      </c>
      <c r="H275" s="1" t="s">
        <v>1297</v>
      </c>
      <c r="I275" s="4" t="b">
        <f>IFERROR(__xludf.DUMMYFUNCTION("IF(H275="""",,REGEXMATCH(H275,""[א-ת]""))"),FALSE)</f>
        <v>0</v>
      </c>
      <c r="J275" s="4"/>
      <c r="K275" s="4"/>
      <c r="L275" s="1">
        <v>0.0</v>
      </c>
      <c r="M275" s="1">
        <v>16.43</v>
      </c>
      <c r="N275" s="1">
        <v>90.0</v>
      </c>
      <c r="O275" s="1">
        <v>3.0</v>
      </c>
      <c r="P275" s="4"/>
      <c r="Q275" s="4"/>
      <c r="R275" s="1" t="s">
        <v>89</v>
      </c>
      <c r="S275" s="1" t="s">
        <v>1296</v>
      </c>
      <c r="T275" s="1" t="s">
        <v>304</v>
      </c>
      <c r="U275" s="1">
        <v>31.0</v>
      </c>
      <c r="V275" s="5" t="s">
        <v>1295</v>
      </c>
      <c r="W275" s="1" t="s">
        <v>1296</v>
      </c>
      <c r="X275" s="1" t="s">
        <v>1298</v>
      </c>
      <c r="Y275" s="4"/>
      <c r="Z275" s="4"/>
      <c r="AA275" s="4" t="b">
        <f>IFERROR(__xludf.DUMMYFUNCTION("IF(X275="""",,REGEXMATCH(X275,""[א-ת]""))"),TRUE)</f>
        <v>1</v>
      </c>
      <c r="AB275" s="1">
        <v>15.47</v>
      </c>
      <c r="AC275" s="1">
        <v>96.67</v>
      </c>
      <c r="AD275" s="1">
        <v>0.49139330949314</v>
      </c>
      <c r="AE275" s="1">
        <v>0.0</v>
      </c>
      <c r="AF275" s="1">
        <v>0.4847</v>
      </c>
      <c r="AG275" s="1">
        <v>6.337</v>
      </c>
      <c r="AH275" s="1">
        <v>6.781</v>
      </c>
      <c r="AI275" s="1" t="b">
        <v>0</v>
      </c>
      <c r="AJ275" s="1" t="b">
        <v>0</v>
      </c>
      <c r="AK275" s="1">
        <v>94.182</v>
      </c>
      <c r="AL275" s="1">
        <v>96.508</v>
      </c>
      <c r="AM275" s="1" t="b">
        <v>0</v>
      </c>
      <c r="AN275" s="1" t="b">
        <v>1</v>
      </c>
      <c r="AO275" s="1">
        <v>8.05</v>
      </c>
      <c r="AP275" s="1">
        <v>8.53399999999999</v>
      </c>
      <c r="AQ275" s="1" t="b">
        <v>0</v>
      </c>
      <c r="AR275" s="1" t="b">
        <v>0</v>
      </c>
      <c r="AS275" s="1">
        <v>86.9179999999999</v>
      </c>
      <c r="AT275" s="1">
        <v>87.152</v>
      </c>
      <c r="AU275" s="1" t="b">
        <v>1</v>
      </c>
      <c r="AV275" s="1" t="b">
        <v>1</v>
      </c>
      <c r="AW275" s="1">
        <v>9.61399999999999</v>
      </c>
      <c r="AX275" s="1">
        <v>11.026</v>
      </c>
      <c r="AY275" s="1" t="b">
        <v>0</v>
      </c>
      <c r="AZ275" s="1" t="b">
        <v>0</v>
      </c>
      <c r="BA275" s="1">
        <v>81.25</v>
      </c>
      <c r="BB275" s="1">
        <v>77.78</v>
      </c>
      <c r="BC275" s="1" t="b">
        <v>1</v>
      </c>
      <c r="BD275" s="1" t="b">
        <v>1</v>
      </c>
      <c r="BE275" s="1">
        <v>11.34</v>
      </c>
      <c r="BF275" s="1">
        <v>13.285</v>
      </c>
      <c r="BG275" s="1" t="b">
        <v>0</v>
      </c>
      <c r="BH275" s="1" t="b">
        <v>0</v>
      </c>
      <c r="BI275" s="1">
        <v>77.78</v>
      </c>
      <c r="BJ275" s="1">
        <v>75.0</v>
      </c>
      <c r="BK275" s="1" t="b">
        <v>1</v>
      </c>
      <c r="BL275" s="1" t="b">
        <v>1</v>
      </c>
      <c r="BM275" s="1">
        <v>13.121</v>
      </c>
      <c r="BN275" s="1">
        <v>14.568</v>
      </c>
      <c r="BO275" s="1" t="b">
        <v>0</v>
      </c>
      <c r="BP275" s="1" t="b">
        <v>0</v>
      </c>
      <c r="BQ275" s="1">
        <v>75.0</v>
      </c>
      <c r="BR275" s="1">
        <v>72.027</v>
      </c>
      <c r="BS275" s="1" t="b">
        <v>1</v>
      </c>
      <c r="BT275" s="1" t="b">
        <v>1</v>
      </c>
      <c r="BU275" s="1" t="s">
        <v>105</v>
      </c>
      <c r="BV275" s="1" t="s">
        <v>157</v>
      </c>
      <c r="BW275" s="1" t="s">
        <v>105</v>
      </c>
      <c r="BX275" s="1" t="s">
        <v>104</v>
      </c>
      <c r="BY275" s="1" t="s">
        <v>105</v>
      </c>
      <c r="BZ275" s="1" t="s">
        <v>104</v>
      </c>
      <c r="CA275" s="1" t="s">
        <v>105</v>
      </c>
      <c r="CB275" s="1" t="s">
        <v>104</v>
      </c>
      <c r="CC275" s="1" t="s">
        <v>105</v>
      </c>
      <c r="CD275" s="1" t="s">
        <v>104</v>
      </c>
      <c r="CE275" s="4"/>
      <c r="CF275" s="4"/>
    </row>
    <row r="276" hidden="1">
      <c r="A276" s="1" t="s">
        <v>82</v>
      </c>
      <c r="B276" s="1" t="s">
        <v>167</v>
      </c>
      <c r="C276" s="1">
        <v>11.0</v>
      </c>
      <c r="D276" s="5" t="s">
        <v>1299</v>
      </c>
      <c r="E276" s="1" t="s">
        <v>1300</v>
      </c>
      <c r="F276" s="1">
        <v>63.0</v>
      </c>
      <c r="G276" s="1">
        <v>0.7684</v>
      </c>
      <c r="H276" s="1" t="s">
        <v>1301</v>
      </c>
      <c r="I276" s="4" t="b">
        <f>IFERROR(__xludf.DUMMYFUNCTION("IF(H276="""",,REGEXMATCH(H276,""[א-ת]""))"),FALSE)</f>
        <v>0</v>
      </c>
      <c r="J276" s="4"/>
      <c r="K276" s="4"/>
      <c r="L276" s="1">
        <v>0.4939</v>
      </c>
      <c r="M276" s="1">
        <v>16.5</v>
      </c>
      <c r="N276" s="1">
        <v>76.19</v>
      </c>
      <c r="O276" s="1">
        <v>1.209365079</v>
      </c>
      <c r="P276" s="4"/>
      <c r="Q276" s="4"/>
      <c r="R276" s="1" t="s">
        <v>127</v>
      </c>
      <c r="S276" s="1" t="s">
        <v>1300</v>
      </c>
      <c r="T276" s="1" t="s">
        <v>167</v>
      </c>
      <c r="U276" s="1">
        <v>12.0</v>
      </c>
      <c r="V276" s="5" t="s">
        <v>1299</v>
      </c>
      <c r="W276" s="1" t="s">
        <v>1300</v>
      </c>
      <c r="X276" s="1" t="s">
        <v>1302</v>
      </c>
      <c r="Y276" s="4"/>
      <c r="Z276" s="4"/>
      <c r="AA276" s="4" t="b">
        <f>IFERROR(__xludf.DUMMYFUNCTION("IF(X276="""",,REGEXMATCH(X276,""[א-ת]""))"),FALSE)</f>
        <v>0</v>
      </c>
      <c r="AB276" s="1">
        <v>16.37</v>
      </c>
      <c r="AC276" s="1">
        <v>58.73</v>
      </c>
      <c r="AD276" s="1">
        <v>0.224881527082245</v>
      </c>
      <c r="AE276" s="1">
        <v>0.1901</v>
      </c>
      <c r="AF276" s="1">
        <v>0.7684</v>
      </c>
      <c r="AG276" s="1">
        <v>6.337</v>
      </c>
      <c r="AH276" s="1">
        <v>6.781</v>
      </c>
      <c r="AI276" s="1" t="b">
        <v>0</v>
      </c>
      <c r="AJ276" s="1" t="b">
        <v>0</v>
      </c>
      <c r="AK276" s="1">
        <v>94.182</v>
      </c>
      <c r="AL276" s="1">
        <v>96.508</v>
      </c>
      <c r="AM276" s="1" t="b">
        <v>0</v>
      </c>
      <c r="AN276" s="1" t="b">
        <v>0</v>
      </c>
      <c r="AO276" s="1">
        <v>8.05</v>
      </c>
      <c r="AP276" s="1">
        <v>8.53399999999999</v>
      </c>
      <c r="AQ276" s="1" t="b">
        <v>0</v>
      </c>
      <c r="AR276" s="1" t="b">
        <v>0</v>
      </c>
      <c r="AS276" s="1">
        <v>86.9179999999999</v>
      </c>
      <c r="AT276" s="1">
        <v>87.152</v>
      </c>
      <c r="AU276" s="1" t="b">
        <v>0</v>
      </c>
      <c r="AV276" s="1" t="b">
        <v>0</v>
      </c>
      <c r="AW276" s="1">
        <v>9.61399999999999</v>
      </c>
      <c r="AX276" s="1">
        <v>11.026</v>
      </c>
      <c r="AY276" s="1" t="b">
        <v>0</v>
      </c>
      <c r="AZ276" s="1" t="b">
        <v>0</v>
      </c>
      <c r="BA276" s="1">
        <v>81.25</v>
      </c>
      <c r="BB276" s="1">
        <v>77.78</v>
      </c>
      <c r="BC276" s="1" t="b">
        <v>0</v>
      </c>
      <c r="BD276" s="1" t="b">
        <v>0</v>
      </c>
      <c r="BE276" s="1">
        <v>11.34</v>
      </c>
      <c r="BF276" s="1">
        <v>13.285</v>
      </c>
      <c r="BG276" s="1" t="b">
        <v>0</v>
      </c>
      <c r="BH276" s="1" t="b">
        <v>0</v>
      </c>
      <c r="BI276" s="1">
        <v>77.78</v>
      </c>
      <c r="BJ276" s="1">
        <v>75.0</v>
      </c>
      <c r="BK276" s="1" t="b">
        <v>0</v>
      </c>
      <c r="BL276" s="1" t="b">
        <v>0</v>
      </c>
      <c r="BM276" s="1">
        <v>13.121</v>
      </c>
      <c r="BN276" s="1">
        <v>14.568</v>
      </c>
      <c r="BO276" s="1" t="b">
        <v>0</v>
      </c>
      <c r="BP276" s="1" t="b">
        <v>0</v>
      </c>
      <c r="BQ276" s="1">
        <v>75.0</v>
      </c>
      <c r="BR276" s="1">
        <v>72.027</v>
      </c>
      <c r="BS276" s="1" t="b">
        <v>1</v>
      </c>
      <c r="BT276" s="1" t="b">
        <v>0</v>
      </c>
      <c r="BU276" s="1" t="s">
        <v>105</v>
      </c>
      <c r="BV276" s="1" t="s">
        <v>105</v>
      </c>
      <c r="BW276" s="1" t="s">
        <v>105</v>
      </c>
      <c r="BX276" s="1" t="s">
        <v>105</v>
      </c>
      <c r="BY276" s="1" t="s">
        <v>105</v>
      </c>
      <c r="BZ276" s="1" t="s">
        <v>105</v>
      </c>
      <c r="CA276" s="1" t="s">
        <v>105</v>
      </c>
      <c r="CB276" s="1" t="s">
        <v>105</v>
      </c>
      <c r="CC276" s="1" t="s">
        <v>105</v>
      </c>
      <c r="CD276" s="1" t="s">
        <v>91</v>
      </c>
      <c r="CE276" s="4"/>
      <c r="CF276" s="4"/>
    </row>
    <row r="277">
      <c r="A277" s="1" t="s">
        <v>82</v>
      </c>
      <c r="B277" s="1" t="s">
        <v>111</v>
      </c>
      <c r="C277" s="1">
        <v>11.0</v>
      </c>
      <c r="D277" s="5" t="s">
        <v>1303</v>
      </c>
      <c r="E277" s="1" t="s">
        <v>1304</v>
      </c>
      <c r="F277" s="1">
        <v>21.0</v>
      </c>
      <c r="G277" s="1">
        <v>0.0</v>
      </c>
      <c r="H277" s="1" t="s">
        <v>1305</v>
      </c>
      <c r="I277" s="4" t="b">
        <f>IFERROR(__xludf.DUMMYFUNCTION("IF(H277="""",,REGEXMATCH(H277,""[א-ת]""))"),FALSE)</f>
        <v>0</v>
      </c>
      <c r="J277" s="4"/>
      <c r="K277" s="4"/>
      <c r="L277" s="1">
        <v>0.4003</v>
      </c>
      <c r="M277" s="1">
        <v>16.5</v>
      </c>
      <c r="N277" s="1">
        <v>80.95</v>
      </c>
      <c r="O277" s="1">
        <v>3.854761905</v>
      </c>
      <c r="P277" s="4"/>
      <c r="Q277" s="4"/>
      <c r="R277" s="1" t="s">
        <v>89</v>
      </c>
      <c r="S277" s="1" t="s">
        <v>1304</v>
      </c>
      <c r="T277" s="1" t="s">
        <v>111</v>
      </c>
      <c r="U277" s="1">
        <v>12.0</v>
      </c>
      <c r="V277" s="5" t="s">
        <v>1303</v>
      </c>
      <c r="W277" s="1" t="s">
        <v>1304</v>
      </c>
      <c r="X277" s="1" t="s">
        <v>1306</v>
      </c>
      <c r="Y277" s="1" t="s">
        <v>1307</v>
      </c>
      <c r="Z277" s="4"/>
      <c r="AA277" s="4" t="b">
        <f>IFERROR(__xludf.DUMMYFUNCTION("IF(X277="""",,REGEXMATCH(X277,""[א-ת]""))"),FALSE)</f>
        <v>0</v>
      </c>
      <c r="AB277" s="1">
        <v>6.54</v>
      </c>
      <c r="AC277" s="1">
        <v>90.48</v>
      </c>
      <c r="AD277" s="1">
        <v>0.425390284442945</v>
      </c>
      <c r="AE277" s="1">
        <v>0.0</v>
      </c>
      <c r="AF277" s="1">
        <v>0.0</v>
      </c>
      <c r="AG277" s="1">
        <v>6.337</v>
      </c>
      <c r="AH277" s="1">
        <v>6.781</v>
      </c>
      <c r="AI277" s="1" t="b">
        <v>0</v>
      </c>
      <c r="AJ277" s="1" t="b">
        <v>1</v>
      </c>
      <c r="AK277" s="1">
        <v>94.182</v>
      </c>
      <c r="AL277" s="1">
        <v>96.508</v>
      </c>
      <c r="AM277" s="1" t="b">
        <v>0</v>
      </c>
      <c r="AN277" s="1" t="b">
        <v>0</v>
      </c>
      <c r="AO277" s="1">
        <v>8.05</v>
      </c>
      <c r="AP277" s="1">
        <v>8.53399999999999</v>
      </c>
      <c r="AQ277" s="1" t="b">
        <v>0</v>
      </c>
      <c r="AR277" s="1" t="b">
        <v>1</v>
      </c>
      <c r="AS277" s="1">
        <v>86.9179999999999</v>
      </c>
      <c r="AT277" s="1">
        <v>87.152</v>
      </c>
      <c r="AU277" s="1" t="b">
        <v>0</v>
      </c>
      <c r="AV277" s="1" t="b">
        <v>1</v>
      </c>
      <c r="AW277" s="1">
        <v>9.61399999999999</v>
      </c>
      <c r="AX277" s="1">
        <v>11.026</v>
      </c>
      <c r="AY277" s="1" t="b">
        <v>0</v>
      </c>
      <c r="AZ277" s="1" t="b">
        <v>1</v>
      </c>
      <c r="BA277" s="1">
        <v>81.25</v>
      </c>
      <c r="BB277" s="1">
        <v>77.78</v>
      </c>
      <c r="BC277" s="1" t="b">
        <v>0</v>
      </c>
      <c r="BD277" s="1" t="b">
        <v>1</v>
      </c>
      <c r="BE277" s="1">
        <v>11.34</v>
      </c>
      <c r="BF277" s="1">
        <v>13.285</v>
      </c>
      <c r="BG277" s="1" t="b">
        <v>0</v>
      </c>
      <c r="BH277" s="1" t="b">
        <v>1</v>
      </c>
      <c r="BI277" s="1">
        <v>77.78</v>
      </c>
      <c r="BJ277" s="1">
        <v>75.0</v>
      </c>
      <c r="BK277" s="1" t="b">
        <v>1</v>
      </c>
      <c r="BL277" s="1" t="b">
        <v>1</v>
      </c>
      <c r="BM277" s="1">
        <v>13.121</v>
      </c>
      <c r="BN277" s="1">
        <v>14.568</v>
      </c>
      <c r="BO277" s="1" t="b">
        <v>0</v>
      </c>
      <c r="BP277" s="1" t="b">
        <v>1</v>
      </c>
      <c r="BQ277" s="1">
        <v>75.0</v>
      </c>
      <c r="BR277" s="1">
        <v>72.027</v>
      </c>
      <c r="BS277" s="1" t="b">
        <v>1</v>
      </c>
      <c r="BT277" s="1" t="b">
        <v>1</v>
      </c>
      <c r="BU277" s="1" t="s">
        <v>157</v>
      </c>
      <c r="BV277" s="1" t="s">
        <v>105</v>
      </c>
      <c r="BW277" s="1" t="s">
        <v>157</v>
      </c>
      <c r="BX277" s="1" t="s">
        <v>157</v>
      </c>
      <c r="BY277" s="1" t="s">
        <v>157</v>
      </c>
      <c r="BZ277" s="1" t="s">
        <v>157</v>
      </c>
      <c r="CA277" s="1" t="s">
        <v>157</v>
      </c>
      <c r="CB277" s="1" t="s">
        <v>104</v>
      </c>
      <c r="CC277" s="1" t="s">
        <v>157</v>
      </c>
      <c r="CD277" s="1" t="s">
        <v>104</v>
      </c>
      <c r="CE277" s="4"/>
      <c r="CF277" s="4"/>
    </row>
    <row r="278" hidden="1">
      <c r="A278" s="1" t="s">
        <v>82</v>
      </c>
      <c r="B278" s="1" t="s">
        <v>152</v>
      </c>
      <c r="C278" s="1">
        <v>20.0</v>
      </c>
      <c r="D278" s="5" t="s">
        <v>1308</v>
      </c>
      <c r="E278" s="1" t="s">
        <v>1309</v>
      </c>
      <c r="F278" s="1">
        <v>14.0</v>
      </c>
      <c r="G278" s="1">
        <v>0.0</v>
      </c>
      <c r="H278" s="1" t="s">
        <v>1310</v>
      </c>
      <c r="I278" s="4" t="b">
        <f>IFERROR(__xludf.DUMMYFUNCTION("IF(H278="""",,REGEXMATCH(H278,""[א-ת]""))"),FALSE)</f>
        <v>0</v>
      </c>
      <c r="J278" s="4"/>
      <c r="K278" s="4"/>
      <c r="L278" s="1">
        <v>0.0772</v>
      </c>
      <c r="M278" s="1">
        <v>16.56</v>
      </c>
      <c r="N278" s="1">
        <v>57.14</v>
      </c>
      <c r="O278" s="1">
        <v>4.081428571</v>
      </c>
      <c r="P278" s="4"/>
      <c r="Q278" s="4"/>
      <c r="R278" s="1" t="s">
        <v>89</v>
      </c>
      <c r="S278" s="1" t="s">
        <v>1309</v>
      </c>
      <c r="T278" s="1" t="s">
        <v>152</v>
      </c>
      <c r="U278" s="1">
        <v>21.0</v>
      </c>
      <c r="V278" s="5" t="s">
        <v>1308</v>
      </c>
      <c r="W278" s="1" t="s">
        <v>1309</v>
      </c>
      <c r="X278" s="1" t="s">
        <v>1311</v>
      </c>
      <c r="Y278" s="4"/>
      <c r="Z278" s="4"/>
      <c r="AA278" s="4" t="b">
        <f>IFERROR(__xludf.DUMMYFUNCTION("IF(X278="""",,REGEXMATCH(X278,""[א-ת]""))"),FALSE)</f>
        <v>0</v>
      </c>
      <c r="AB278" s="1">
        <v>16.5</v>
      </c>
      <c r="AC278" s="1">
        <v>57.14</v>
      </c>
      <c r="AD278" s="1">
        <v>0.461999694537716</v>
      </c>
      <c r="AE278" s="1">
        <v>0.0772</v>
      </c>
      <c r="AF278" s="1">
        <v>0.0</v>
      </c>
      <c r="AG278" s="1">
        <v>6.337</v>
      </c>
      <c r="AH278" s="1">
        <v>6.781</v>
      </c>
      <c r="AI278" s="1" t="b">
        <v>0</v>
      </c>
      <c r="AJ278" s="1" t="b">
        <v>0</v>
      </c>
      <c r="AK278" s="1">
        <v>94.182</v>
      </c>
      <c r="AL278" s="1">
        <v>96.508</v>
      </c>
      <c r="AM278" s="1" t="b">
        <v>0</v>
      </c>
      <c r="AN278" s="1" t="b">
        <v>0</v>
      </c>
      <c r="AO278" s="1">
        <v>8.05</v>
      </c>
      <c r="AP278" s="1">
        <v>8.53399999999999</v>
      </c>
      <c r="AQ278" s="1" t="b">
        <v>0</v>
      </c>
      <c r="AR278" s="1" t="b">
        <v>0</v>
      </c>
      <c r="AS278" s="1">
        <v>86.9179999999999</v>
      </c>
      <c r="AT278" s="1">
        <v>87.152</v>
      </c>
      <c r="AU278" s="1" t="b">
        <v>0</v>
      </c>
      <c r="AV278" s="1" t="b">
        <v>0</v>
      </c>
      <c r="AW278" s="1">
        <v>9.61399999999999</v>
      </c>
      <c r="AX278" s="1">
        <v>11.026</v>
      </c>
      <c r="AY278" s="1" t="b">
        <v>0</v>
      </c>
      <c r="AZ278" s="1" t="b">
        <v>0</v>
      </c>
      <c r="BA278" s="1">
        <v>81.25</v>
      </c>
      <c r="BB278" s="1">
        <v>77.78</v>
      </c>
      <c r="BC278" s="1" t="b">
        <v>0</v>
      </c>
      <c r="BD278" s="1" t="b">
        <v>0</v>
      </c>
      <c r="BE278" s="1">
        <v>11.34</v>
      </c>
      <c r="BF278" s="1">
        <v>13.285</v>
      </c>
      <c r="BG278" s="1" t="b">
        <v>0</v>
      </c>
      <c r="BH278" s="1" t="b">
        <v>0</v>
      </c>
      <c r="BI278" s="1">
        <v>77.78</v>
      </c>
      <c r="BJ278" s="1">
        <v>75.0</v>
      </c>
      <c r="BK278" s="1" t="b">
        <v>0</v>
      </c>
      <c r="BL278" s="1" t="b">
        <v>0</v>
      </c>
      <c r="BM278" s="1">
        <v>13.121</v>
      </c>
      <c r="BN278" s="1">
        <v>14.568</v>
      </c>
      <c r="BO278" s="1" t="b">
        <v>0</v>
      </c>
      <c r="BP278" s="1" t="b">
        <v>0</v>
      </c>
      <c r="BQ278" s="1">
        <v>75.0</v>
      </c>
      <c r="BR278" s="1">
        <v>72.027</v>
      </c>
      <c r="BS278" s="1" t="b">
        <v>0</v>
      </c>
      <c r="BT278" s="1" t="b">
        <v>0</v>
      </c>
      <c r="BU278" s="1" t="s">
        <v>105</v>
      </c>
      <c r="BV278" s="1" t="s">
        <v>105</v>
      </c>
      <c r="BW278" s="1" t="s">
        <v>105</v>
      </c>
      <c r="BX278" s="1" t="s">
        <v>105</v>
      </c>
      <c r="BY278" s="1" t="s">
        <v>105</v>
      </c>
      <c r="BZ278" s="1" t="s">
        <v>105</v>
      </c>
      <c r="CA278" s="1" t="s">
        <v>105</v>
      </c>
      <c r="CB278" s="1" t="s">
        <v>105</v>
      </c>
      <c r="CC278" s="1" t="s">
        <v>105</v>
      </c>
      <c r="CD278" s="1" t="s">
        <v>105</v>
      </c>
      <c r="CE278" s="4"/>
      <c r="CF278" s="4"/>
    </row>
    <row r="279" hidden="1">
      <c r="A279" s="1" t="s">
        <v>82</v>
      </c>
      <c r="B279" s="1" t="s">
        <v>139</v>
      </c>
      <c r="C279" s="1">
        <v>14.0</v>
      </c>
      <c r="D279" s="5" t="s">
        <v>1312</v>
      </c>
      <c r="E279" s="1" t="s">
        <v>1313</v>
      </c>
      <c r="F279" s="1">
        <v>30.0</v>
      </c>
      <c r="G279" s="1">
        <v>0.0</v>
      </c>
      <c r="H279" s="1" t="s">
        <v>1314</v>
      </c>
      <c r="I279" s="4" t="b">
        <f>IFERROR(__xludf.DUMMYFUNCTION("IF(H279="""",,REGEXMATCH(H279,""[א-ת]""))"),FALSE)</f>
        <v>0</v>
      </c>
      <c r="J279" s="4"/>
      <c r="K279" s="4"/>
      <c r="L279" s="1">
        <v>0.0</v>
      </c>
      <c r="M279" s="1">
        <v>16.6</v>
      </c>
      <c r="N279" s="1">
        <v>80.0</v>
      </c>
      <c r="O279" s="1">
        <v>2.666666667</v>
      </c>
      <c r="P279" s="4"/>
      <c r="Q279" s="4"/>
      <c r="R279" s="1" t="s">
        <v>96</v>
      </c>
      <c r="S279" s="1" t="s">
        <v>1313</v>
      </c>
      <c r="T279" s="1" t="s">
        <v>139</v>
      </c>
      <c r="U279" s="1">
        <v>15.0</v>
      </c>
      <c r="V279" s="5" t="s">
        <v>1312</v>
      </c>
      <c r="W279" s="1" t="s">
        <v>1313</v>
      </c>
      <c r="X279" s="1" t="s">
        <v>1315</v>
      </c>
      <c r="Y279" s="4"/>
      <c r="Z279" s="4"/>
      <c r="AA279" s="4" t="b">
        <f>IFERROR(__xludf.DUMMYFUNCTION("IF(X279="""",,REGEXMATCH(X279,""[א-ת]""))"),FALSE)</f>
        <v>0</v>
      </c>
      <c r="AB279" s="1">
        <v>12.1</v>
      </c>
      <c r="AC279" s="1">
        <v>100.0</v>
      </c>
      <c r="AD279" s="1">
        <v>0.28498950538162</v>
      </c>
      <c r="AE279" s="1">
        <v>0.0516</v>
      </c>
      <c r="AF279" s="1">
        <v>0.0</v>
      </c>
      <c r="AG279" s="1">
        <v>6.337</v>
      </c>
      <c r="AH279" s="1">
        <v>6.781</v>
      </c>
      <c r="AI279" s="1" t="b">
        <v>0</v>
      </c>
      <c r="AJ279" s="1" t="b">
        <v>0</v>
      </c>
      <c r="AK279" s="1">
        <v>94.182</v>
      </c>
      <c r="AL279" s="1">
        <v>96.508</v>
      </c>
      <c r="AM279" s="1" t="b">
        <v>0</v>
      </c>
      <c r="AN279" s="1" t="b">
        <v>1</v>
      </c>
      <c r="AO279" s="1">
        <v>8.05</v>
      </c>
      <c r="AP279" s="1">
        <v>8.53399999999999</v>
      </c>
      <c r="AQ279" s="1" t="b">
        <v>0</v>
      </c>
      <c r="AR279" s="1" t="b">
        <v>0</v>
      </c>
      <c r="AS279" s="1">
        <v>86.9179999999999</v>
      </c>
      <c r="AT279" s="1">
        <v>87.152</v>
      </c>
      <c r="AU279" s="1" t="b">
        <v>0</v>
      </c>
      <c r="AV279" s="1" t="b">
        <v>1</v>
      </c>
      <c r="AW279" s="1">
        <v>9.61399999999999</v>
      </c>
      <c r="AX279" s="1">
        <v>11.026</v>
      </c>
      <c r="AY279" s="1" t="b">
        <v>0</v>
      </c>
      <c r="AZ279" s="1" t="b">
        <v>0</v>
      </c>
      <c r="BA279" s="1">
        <v>81.25</v>
      </c>
      <c r="BB279" s="1">
        <v>77.78</v>
      </c>
      <c r="BC279" s="1" t="b">
        <v>0</v>
      </c>
      <c r="BD279" s="1" t="b">
        <v>1</v>
      </c>
      <c r="BE279" s="1">
        <v>11.34</v>
      </c>
      <c r="BF279" s="1">
        <v>13.285</v>
      </c>
      <c r="BG279" s="1" t="b">
        <v>0</v>
      </c>
      <c r="BH279" s="1" t="b">
        <v>1</v>
      </c>
      <c r="BI279" s="1">
        <v>77.78</v>
      </c>
      <c r="BJ279" s="1">
        <v>75.0</v>
      </c>
      <c r="BK279" s="1" t="b">
        <v>1</v>
      </c>
      <c r="BL279" s="1" t="b">
        <v>1</v>
      </c>
      <c r="BM279" s="1">
        <v>13.121</v>
      </c>
      <c r="BN279" s="1">
        <v>14.568</v>
      </c>
      <c r="BO279" s="1" t="b">
        <v>0</v>
      </c>
      <c r="BP279" s="1" t="b">
        <v>1</v>
      </c>
      <c r="BQ279" s="1">
        <v>75.0</v>
      </c>
      <c r="BR279" s="1">
        <v>72.027</v>
      </c>
      <c r="BS279" s="1" t="b">
        <v>1</v>
      </c>
      <c r="BT279" s="1" t="b">
        <v>1</v>
      </c>
      <c r="BU279" s="1" t="s">
        <v>105</v>
      </c>
      <c r="BV279" s="1" t="s">
        <v>157</v>
      </c>
      <c r="BW279" s="1" t="s">
        <v>105</v>
      </c>
      <c r="BX279" s="1" t="s">
        <v>157</v>
      </c>
      <c r="BY279" s="1" t="s">
        <v>105</v>
      </c>
      <c r="BZ279" s="1" t="s">
        <v>157</v>
      </c>
      <c r="CA279" s="1" t="s">
        <v>157</v>
      </c>
      <c r="CB279" s="1" t="s">
        <v>104</v>
      </c>
      <c r="CC279" s="1" t="s">
        <v>157</v>
      </c>
      <c r="CD279" s="1" t="s">
        <v>104</v>
      </c>
      <c r="CE279" s="4"/>
      <c r="CF279" s="4"/>
    </row>
    <row r="280" hidden="1">
      <c r="A280" s="1" t="s">
        <v>82</v>
      </c>
      <c r="B280" s="1" t="s">
        <v>304</v>
      </c>
      <c r="C280" s="1">
        <v>7.0</v>
      </c>
      <c r="D280" s="5" t="s">
        <v>1316</v>
      </c>
      <c r="E280" s="1" t="s">
        <v>1317</v>
      </c>
      <c r="F280" s="1">
        <v>52.0</v>
      </c>
      <c r="G280" s="1">
        <v>0.7351</v>
      </c>
      <c r="H280" s="1" t="s">
        <v>1318</v>
      </c>
      <c r="I280" s="4" t="b">
        <f>IFERROR(__xludf.DUMMYFUNCTION("IF(H280="""",,REGEXMATCH(H280,""[א-ת]""))"),FALSE)</f>
        <v>0</v>
      </c>
      <c r="J280" s="4"/>
      <c r="K280" s="4"/>
      <c r="L280" s="1">
        <v>-0.784</v>
      </c>
      <c r="M280" s="1">
        <v>16.7</v>
      </c>
      <c r="N280" s="1">
        <v>57.69</v>
      </c>
      <c r="O280" s="1">
        <v>1.109423077</v>
      </c>
      <c r="P280" s="4"/>
      <c r="Q280" s="4"/>
      <c r="R280" s="1" t="s">
        <v>89</v>
      </c>
      <c r="S280" s="1" t="s">
        <v>1317</v>
      </c>
      <c r="T280" s="1" t="s">
        <v>304</v>
      </c>
      <c r="U280" s="1">
        <v>8.0</v>
      </c>
      <c r="V280" s="5" t="s">
        <v>1316</v>
      </c>
      <c r="W280" s="1" t="s">
        <v>1317</v>
      </c>
      <c r="X280" s="1" t="s">
        <v>1319</v>
      </c>
      <c r="Y280" s="4"/>
      <c r="Z280" s="4"/>
      <c r="AA280" s="4" t="b">
        <f>IFERROR(__xludf.DUMMYFUNCTION("IF(X280="""",,REGEXMATCH(X280,""[א-ת]""))"),FALSE)</f>
        <v>0</v>
      </c>
      <c r="AB280" s="1">
        <v>19.93</v>
      </c>
      <c r="AC280" s="1">
        <v>55.77</v>
      </c>
      <c r="AD280" s="1">
        <v>0.534893105074508</v>
      </c>
      <c r="AE280" s="1">
        <v>0.0</v>
      </c>
      <c r="AF280" s="1">
        <v>0.7351</v>
      </c>
      <c r="AG280" s="1">
        <v>6.337</v>
      </c>
      <c r="AH280" s="1">
        <v>6.781</v>
      </c>
      <c r="AI280" s="1" t="b">
        <v>0</v>
      </c>
      <c r="AJ280" s="1" t="b">
        <v>0</v>
      </c>
      <c r="AK280" s="1">
        <v>94.182</v>
      </c>
      <c r="AL280" s="1">
        <v>96.508</v>
      </c>
      <c r="AM280" s="1" t="b">
        <v>0</v>
      </c>
      <c r="AN280" s="1" t="b">
        <v>0</v>
      </c>
      <c r="AO280" s="1">
        <v>8.05</v>
      </c>
      <c r="AP280" s="1">
        <v>8.53399999999999</v>
      </c>
      <c r="AQ280" s="1" t="b">
        <v>0</v>
      </c>
      <c r="AR280" s="1" t="b">
        <v>0</v>
      </c>
      <c r="AS280" s="1">
        <v>86.9179999999999</v>
      </c>
      <c r="AT280" s="1">
        <v>87.152</v>
      </c>
      <c r="AU280" s="1" t="b">
        <v>0</v>
      </c>
      <c r="AV280" s="1" t="b">
        <v>0</v>
      </c>
      <c r="AW280" s="1">
        <v>9.61399999999999</v>
      </c>
      <c r="AX280" s="1">
        <v>11.026</v>
      </c>
      <c r="AY280" s="1" t="b">
        <v>0</v>
      </c>
      <c r="AZ280" s="1" t="b">
        <v>0</v>
      </c>
      <c r="BA280" s="1">
        <v>81.25</v>
      </c>
      <c r="BB280" s="1">
        <v>77.78</v>
      </c>
      <c r="BC280" s="1" t="b">
        <v>0</v>
      </c>
      <c r="BD280" s="1" t="b">
        <v>0</v>
      </c>
      <c r="BE280" s="1">
        <v>11.34</v>
      </c>
      <c r="BF280" s="1">
        <v>13.285</v>
      </c>
      <c r="BG280" s="1" t="b">
        <v>0</v>
      </c>
      <c r="BH280" s="1" t="b">
        <v>0</v>
      </c>
      <c r="BI280" s="1">
        <v>77.78</v>
      </c>
      <c r="BJ280" s="1">
        <v>75.0</v>
      </c>
      <c r="BK280" s="1" t="b">
        <v>0</v>
      </c>
      <c r="BL280" s="1" t="b">
        <v>0</v>
      </c>
      <c r="BM280" s="1">
        <v>13.121</v>
      </c>
      <c r="BN280" s="1">
        <v>14.568</v>
      </c>
      <c r="BO280" s="1" t="b">
        <v>0</v>
      </c>
      <c r="BP280" s="1" t="b">
        <v>0</v>
      </c>
      <c r="BQ280" s="1">
        <v>75.0</v>
      </c>
      <c r="BR280" s="1">
        <v>72.027</v>
      </c>
      <c r="BS280" s="1" t="b">
        <v>0</v>
      </c>
      <c r="BT280" s="1" t="b">
        <v>0</v>
      </c>
      <c r="BU280" s="1" t="s">
        <v>105</v>
      </c>
      <c r="BV280" s="1" t="s">
        <v>105</v>
      </c>
      <c r="BW280" s="1" t="s">
        <v>105</v>
      </c>
      <c r="BX280" s="1" t="s">
        <v>105</v>
      </c>
      <c r="BY280" s="1" t="s">
        <v>105</v>
      </c>
      <c r="BZ280" s="1" t="s">
        <v>105</v>
      </c>
      <c r="CA280" s="1" t="s">
        <v>105</v>
      </c>
      <c r="CB280" s="1" t="s">
        <v>105</v>
      </c>
      <c r="CC280" s="1" t="s">
        <v>105</v>
      </c>
      <c r="CD280" s="1" t="s">
        <v>105</v>
      </c>
      <c r="CE280" s="4"/>
      <c r="CF280" s="4"/>
    </row>
    <row r="281" hidden="1">
      <c r="A281" s="1" t="s">
        <v>82</v>
      </c>
      <c r="B281" s="1" t="s">
        <v>116</v>
      </c>
      <c r="C281" s="1">
        <v>16.0</v>
      </c>
      <c r="D281" s="5" t="s">
        <v>1320</v>
      </c>
      <c r="E281" s="1" t="s">
        <v>1321</v>
      </c>
      <c r="F281" s="1">
        <v>47.0</v>
      </c>
      <c r="G281" s="1">
        <v>0.4344</v>
      </c>
      <c r="H281" s="1" t="s">
        <v>1322</v>
      </c>
      <c r="I281" s="4" t="b">
        <f>IFERROR(__xludf.DUMMYFUNCTION("IF(H281="""",,REGEXMATCH(H281,""[א-ת]""))"),FALSE)</f>
        <v>0</v>
      </c>
      <c r="J281" s="4"/>
      <c r="K281" s="4"/>
      <c r="L281" s="1">
        <v>0.6597</v>
      </c>
      <c r="M281" s="1">
        <v>16.71</v>
      </c>
      <c r="N281" s="1">
        <v>72.34</v>
      </c>
      <c r="O281" s="1">
        <v>1.539148936</v>
      </c>
      <c r="P281" s="4"/>
      <c r="Q281" s="4"/>
      <c r="R281" s="1" t="s">
        <v>89</v>
      </c>
      <c r="S281" s="1" t="s">
        <v>1321</v>
      </c>
      <c r="T281" s="1" t="s">
        <v>116</v>
      </c>
      <c r="U281" s="1">
        <v>17.0</v>
      </c>
      <c r="V281" s="5" t="s">
        <v>1320</v>
      </c>
      <c r="W281" s="1" t="s">
        <v>1321</v>
      </c>
      <c r="X281" s="1" t="s">
        <v>1323</v>
      </c>
      <c r="Y281" s="4"/>
      <c r="Z281" s="4"/>
      <c r="AA281" s="4" t="b">
        <f>IFERROR(__xludf.DUMMYFUNCTION("IF(X281="""",,REGEXMATCH(X281,""[א-ת]""))"),TRUE)</f>
        <v>1</v>
      </c>
      <c r="AB281" s="1">
        <v>18.05</v>
      </c>
      <c r="AC281" s="1">
        <v>104.26</v>
      </c>
      <c r="AD281" s="1">
        <v>0.624828884198932</v>
      </c>
      <c r="AE281" s="1">
        <v>0.4456</v>
      </c>
      <c r="AF281" s="1">
        <v>0.4344</v>
      </c>
      <c r="AG281" s="1">
        <v>6.337</v>
      </c>
      <c r="AH281" s="1">
        <v>6.781</v>
      </c>
      <c r="AI281" s="1" t="b">
        <v>0</v>
      </c>
      <c r="AJ281" s="1" t="b">
        <v>0</v>
      </c>
      <c r="AK281" s="1">
        <v>94.182</v>
      </c>
      <c r="AL281" s="1">
        <v>96.508</v>
      </c>
      <c r="AM281" s="1" t="b">
        <v>0</v>
      </c>
      <c r="AN281" s="1" t="b">
        <v>1</v>
      </c>
      <c r="AO281" s="1">
        <v>8.05</v>
      </c>
      <c r="AP281" s="1">
        <v>8.53399999999999</v>
      </c>
      <c r="AQ281" s="1" t="b">
        <v>0</v>
      </c>
      <c r="AR281" s="1" t="b">
        <v>0</v>
      </c>
      <c r="AS281" s="1">
        <v>86.9179999999999</v>
      </c>
      <c r="AT281" s="1">
        <v>87.152</v>
      </c>
      <c r="AU281" s="1" t="b">
        <v>0</v>
      </c>
      <c r="AV281" s="1" t="b">
        <v>1</v>
      </c>
      <c r="AW281" s="1">
        <v>9.61399999999999</v>
      </c>
      <c r="AX281" s="1">
        <v>11.026</v>
      </c>
      <c r="AY281" s="1" t="b">
        <v>0</v>
      </c>
      <c r="AZ281" s="1" t="b">
        <v>0</v>
      </c>
      <c r="BA281" s="1">
        <v>81.25</v>
      </c>
      <c r="BB281" s="1">
        <v>77.78</v>
      </c>
      <c r="BC281" s="1" t="b">
        <v>0</v>
      </c>
      <c r="BD281" s="1" t="b">
        <v>1</v>
      </c>
      <c r="BE281" s="1">
        <v>11.34</v>
      </c>
      <c r="BF281" s="1">
        <v>13.285</v>
      </c>
      <c r="BG281" s="1" t="b">
        <v>0</v>
      </c>
      <c r="BH281" s="1" t="b">
        <v>0</v>
      </c>
      <c r="BI281" s="1">
        <v>77.78</v>
      </c>
      <c r="BJ281" s="1">
        <v>75.0</v>
      </c>
      <c r="BK281" s="1" t="b">
        <v>0</v>
      </c>
      <c r="BL281" s="1" t="b">
        <v>1</v>
      </c>
      <c r="BM281" s="1">
        <v>13.121</v>
      </c>
      <c r="BN281" s="1">
        <v>14.568</v>
      </c>
      <c r="BO281" s="1" t="b">
        <v>0</v>
      </c>
      <c r="BP281" s="1" t="b">
        <v>0</v>
      </c>
      <c r="BQ281" s="1">
        <v>75.0</v>
      </c>
      <c r="BR281" s="1">
        <v>72.027</v>
      </c>
      <c r="BS281" s="1" t="b">
        <v>0</v>
      </c>
      <c r="BT281" s="1" t="b">
        <v>1</v>
      </c>
      <c r="BU281" s="1" t="s">
        <v>105</v>
      </c>
      <c r="BV281" s="1" t="s">
        <v>157</v>
      </c>
      <c r="BW281" s="1" t="s">
        <v>105</v>
      </c>
      <c r="BX281" s="1" t="s">
        <v>157</v>
      </c>
      <c r="BY281" s="1" t="s">
        <v>105</v>
      </c>
      <c r="BZ281" s="1" t="s">
        <v>157</v>
      </c>
      <c r="CA281" s="1" t="s">
        <v>105</v>
      </c>
      <c r="CB281" s="1" t="s">
        <v>157</v>
      </c>
      <c r="CC281" s="1" t="s">
        <v>105</v>
      </c>
      <c r="CD281" s="1" t="s">
        <v>157</v>
      </c>
      <c r="CE281" s="4"/>
      <c r="CF281" s="4"/>
    </row>
    <row r="282" hidden="1">
      <c r="A282" s="1" t="s">
        <v>82</v>
      </c>
      <c r="B282" s="1" t="s">
        <v>262</v>
      </c>
      <c r="C282" s="1">
        <v>34.0</v>
      </c>
      <c r="D282" s="5" t="s">
        <v>1324</v>
      </c>
      <c r="E282" s="1" t="s">
        <v>1325</v>
      </c>
      <c r="F282" s="1">
        <v>43.0</v>
      </c>
      <c r="G282" s="1">
        <v>0.7958</v>
      </c>
      <c r="H282" s="1" t="s">
        <v>1326</v>
      </c>
      <c r="I282" s="4" t="b">
        <f>IFERROR(__xludf.DUMMYFUNCTION("IF(H282="""",,REGEXMATCH(H282,""[א-ת]""))"),FALSE)</f>
        <v>0</v>
      </c>
      <c r="J282" s="4"/>
      <c r="K282" s="4"/>
      <c r="L282" s="1">
        <v>0.7059</v>
      </c>
      <c r="M282" s="1">
        <v>16.72</v>
      </c>
      <c r="N282" s="1">
        <v>62.79</v>
      </c>
      <c r="O282" s="1">
        <v>1.460232558</v>
      </c>
      <c r="P282" s="4"/>
      <c r="Q282" s="4"/>
      <c r="R282" s="1" t="s">
        <v>96</v>
      </c>
      <c r="S282" s="1" t="s">
        <v>1325</v>
      </c>
      <c r="T282" s="1" t="s">
        <v>262</v>
      </c>
      <c r="U282" s="1">
        <v>35.0</v>
      </c>
      <c r="V282" s="5" t="s">
        <v>1324</v>
      </c>
      <c r="W282" s="1" t="s">
        <v>1325</v>
      </c>
      <c r="X282" s="1" t="s">
        <v>1327</v>
      </c>
      <c r="Y282" s="4"/>
      <c r="Z282" s="4"/>
      <c r="AA282" s="4" t="b">
        <f>IFERROR(__xludf.DUMMYFUNCTION("IF(X282="""",,REGEXMATCH(X282,""[א-ת]""))"),FALSE)</f>
        <v>0</v>
      </c>
      <c r="AB282" s="1">
        <v>13.5</v>
      </c>
      <c r="AC282" s="1">
        <v>60.47</v>
      </c>
      <c r="AD282" s="1">
        <v>0.454667777749226</v>
      </c>
      <c r="AE282" s="1">
        <v>-0.1665</v>
      </c>
      <c r="AF282" s="1">
        <v>0.7958</v>
      </c>
      <c r="AG282" s="1">
        <v>6.337</v>
      </c>
      <c r="AH282" s="1">
        <v>6.781</v>
      </c>
      <c r="AI282" s="1" t="b">
        <v>0</v>
      </c>
      <c r="AJ282" s="1" t="b">
        <v>0</v>
      </c>
      <c r="AK282" s="1">
        <v>94.182</v>
      </c>
      <c r="AL282" s="1">
        <v>96.508</v>
      </c>
      <c r="AM282" s="1" t="b">
        <v>0</v>
      </c>
      <c r="AN282" s="1" t="b">
        <v>0</v>
      </c>
      <c r="AO282" s="1">
        <v>8.05</v>
      </c>
      <c r="AP282" s="1">
        <v>8.53399999999999</v>
      </c>
      <c r="AQ282" s="1" t="b">
        <v>0</v>
      </c>
      <c r="AR282" s="1" t="b">
        <v>0</v>
      </c>
      <c r="AS282" s="1">
        <v>86.9179999999999</v>
      </c>
      <c r="AT282" s="1">
        <v>87.152</v>
      </c>
      <c r="AU282" s="1" t="b">
        <v>0</v>
      </c>
      <c r="AV282" s="1" t="b">
        <v>0</v>
      </c>
      <c r="AW282" s="1">
        <v>9.61399999999999</v>
      </c>
      <c r="AX282" s="1">
        <v>11.026</v>
      </c>
      <c r="AY282" s="1" t="b">
        <v>0</v>
      </c>
      <c r="AZ282" s="1" t="b">
        <v>0</v>
      </c>
      <c r="BA282" s="1">
        <v>81.25</v>
      </c>
      <c r="BB282" s="1">
        <v>77.78</v>
      </c>
      <c r="BC282" s="1" t="b">
        <v>0</v>
      </c>
      <c r="BD282" s="1" t="b">
        <v>0</v>
      </c>
      <c r="BE282" s="1">
        <v>11.34</v>
      </c>
      <c r="BF282" s="1">
        <v>13.285</v>
      </c>
      <c r="BG282" s="1" t="b">
        <v>0</v>
      </c>
      <c r="BH282" s="1" t="b">
        <v>0</v>
      </c>
      <c r="BI282" s="1">
        <v>77.78</v>
      </c>
      <c r="BJ282" s="1">
        <v>75.0</v>
      </c>
      <c r="BK282" s="1" t="b">
        <v>0</v>
      </c>
      <c r="BL282" s="1" t="b">
        <v>0</v>
      </c>
      <c r="BM282" s="1">
        <v>13.121</v>
      </c>
      <c r="BN282" s="1">
        <v>14.568</v>
      </c>
      <c r="BO282" s="1" t="b">
        <v>0</v>
      </c>
      <c r="BP282" s="1" t="b">
        <v>1</v>
      </c>
      <c r="BQ282" s="1">
        <v>75.0</v>
      </c>
      <c r="BR282" s="1">
        <v>72.027</v>
      </c>
      <c r="BS282" s="1" t="b">
        <v>0</v>
      </c>
      <c r="BT282" s="1" t="b">
        <v>0</v>
      </c>
      <c r="BU282" s="1" t="s">
        <v>105</v>
      </c>
      <c r="BV282" s="1" t="s">
        <v>105</v>
      </c>
      <c r="BW282" s="1" t="s">
        <v>105</v>
      </c>
      <c r="BX282" s="1" t="s">
        <v>105</v>
      </c>
      <c r="BY282" s="1" t="s">
        <v>105</v>
      </c>
      <c r="BZ282" s="1" t="s">
        <v>105</v>
      </c>
      <c r="CA282" s="1" t="s">
        <v>105</v>
      </c>
      <c r="CB282" s="1" t="s">
        <v>105</v>
      </c>
      <c r="CC282" s="1" t="s">
        <v>157</v>
      </c>
      <c r="CD282" s="1" t="s">
        <v>105</v>
      </c>
      <c r="CE282" s="4"/>
      <c r="CF282" s="4"/>
    </row>
    <row r="283" hidden="1">
      <c r="A283" s="1" t="s">
        <v>82</v>
      </c>
      <c r="B283" s="1" t="s">
        <v>83</v>
      </c>
      <c r="C283" s="1">
        <v>28.0</v>
      </c>
      <c r="D283" s="5" t="s">
        <v>1328</v>
      </c>
      <c r="E283" s="1" t="s">
        <v>1329</v>
      </c>
      <c r="F283" s="1">
        <v>21.0</v>
      </c>
      <c r="G283" s="1">
        <v>0.0</v>
      </c>
      <c r="H283" s="1" t="s">
        <v>1330</v>
      </c>
      <c r="I283" s="4" t="b">
        <f>IFERROR(__xludf.DUMMYFUNCTION("IF(H283="""",,REGEXMATCH(H283,""[א-ת]""))"),FALSE)</f>
        <v>0</v>
      </c>
      <c r="J283" s="4"/>
      <c r="K283" s="4"/>
      <c r="L283" s="1">
        <v>0.0</v>
      </c>
      <c r="M283" s="1">
        <v>16.77</v>
      </c>
      <c r="N283" s="1">
        <v>80.95</v>
      </c>
      <c r="O283" s="1">
        <v>3.854761905</v>
      </c>
      <c r="P283" s="4"/>
      <c r="Q283" s="4"/>
      <c r="R283" s="1" t="s">
        <v>89</v>
      </c>
      <c r="S283" s="1" t="s">
        <v>1329</v>
      </c>
      <c r="T283" s="1" t="s">
        <v>83</v>
      </c>
      <c r="U283" s="1">
        <v>29.0</v>
      </c>
      <c r="V283" s="5" t="s">
        <v>1328</v>
      </c>
      <c r="W283" s="1" t="s">
        <v>1329</v>
      </c>
      <c r="X283" s="1" t="s">
        <v>1331</v>
      </c>
      <c r="Y283" s="4"/>
      <c r="Z283" s="4"/>
      <c r="AA283" s="4" t="b">
        <f>IFERROR(__xludf.DUMMYFUNCTION("IF(X283="""",,REGEXMATCH(X283,""[א-ת]""))"),FALSE)</f>
        <v>0</v>
      </c>
      <c r="AB283" s="1">
        <v>8.77</v>
      </c>
      <c r="AC283" s="1">
        <v>66.67</v>
      </c>
      <c r="AD283" s="1">
        <v>0.191175252993791</v>
      </c>
      <c r="AE283" s="1">
        <v>-0.5859</v>
      </c>
      <c r="AF283" s="1">
        <v>0.0</v>
      </c>
      <c r="AG283" s="1">
        <v>6.337</v>
      </c>
      <c r="AH283" s="1">
        <v>6.781</v>
      </c>
      <c r="AI283" s="1" t="b">
        <v>0</v>
      </c>
      <c r="AJ283" s="1" t="b">
        <v>0</v>
      </c>
      <c r="AK283" s="1">
        <v>94.182</v>
      </c>
      <c r="AL283" s="1">
        <v>96.508</v>
      </c>
      <c r="AM283" s="1" t="b">
        <v>0</v>
      </c>
      <c r="AN283" s="1" t="b">
        <v>0</v>
      </c>
      <c r="AO283" s="1">
        <v>8.05</v>
      </c>
      <c r="AP283" s="1">
        <v>8.53399999999999</v>
      </c>
      <c r="AQ283" s="1" t="b">
        <v>0</v>
      </c>
      <c r="AR283" s="1" t="b">
        <v>0</v>
      </c>
      <c r="AS283" s="1">
        <v>86.9179999999999</v>
      </c>
      <c r="AT283" s="1">
        <v>87.152</v>
      </c>
      <c r="AU283" s="1" t="b">
        <v>0</v>
      </c>
      <c r="AV283" s="1" t="b">
        <v>0</v>
      </c>
      <c r="AW283" s="1">
        <v>9.61399999999999</v>
      </c>
      <c r="AX283" s="1">
        <v>11.026</v>
      </c>
      <c r="AY283" s="1" t="b">
        <v>0</v>
      </c>
      <c r="AZ283" s="1" t="b">
        <v>1</v>
      </c>
      <c r="BA283" s="1">
        <v>81.25</v>
      </c>
      <c r="BB283" s="1">
        <v>77.78</v>
      </c>
      <c r="BC283" s="1" t="b">
        <v>0</v>
      </c>
      <c r="BD283" s="1" t="b">
        <v>0</v>
      </c>
      <c r="BE283" s="1">
        <v>11.34</v>
      </c>
      <c r="BF283" s="1">
        <v>13.285</v>
      </c>
      <c r="BG283" s="1" t="b">
        <v>0</v>
      </c>
      <c r="BH283" s="1" t="b">
        <v>1</v>
      </c>
      <c r="BI283" s="1">
        <v>77.78</v>
      </c>
      <c r="BJ283" s="1">
        <v>75.0</v>
      </c>
      <c r="BK283" s="1" t="b">
        <v>1</v>
      </c>
      <c r="BL283" s="1" t="b">
        <v>0</v>
      </c>
      <c r="BM283" s="1">
        <v>13.121</v>
      </c>
      <c r="BN283" s="1">
        <v>14.568</v>
      </c>
      <c r="BO283" s="1" t="b">
        <v>0</v>
      </c>
      <c r="BP283" s="1" t="b">
        <v>1</v>
      </c>
      <c r="BQ283" s="1">
        <v>75.0</v>
      </c>
      <c r="BR283" s="1">
        <v>72.027</v>
      </c>
      <c r="BS283" s="1" t="b">
        <v>1</v>
      </c>
      <c r="BT283" s="1" t="b">
        <v>0</v>
      </c>
      <c r="BU283" s="1" t="s">
        <v>105</v>
      </c>
      <c r="BV283" s="1" t="s">
        <v>105</v>
      </c>
      <c r="BW283" s="1" t="s">
        <v>105</v>
      </c>
      <c r="BX283" s="1" t="s">
        <v>105</v>
      </c>
      <c r="BY283" s="1" t="s">
        <v>157</v>
      </c>
      <c r="BZ283" s="1" t="s">
        <v>105</v>
      </c>
      <c r="CA283" s="1" t="s">
        <v>157</v>
      </c>
      <c r="CB283" s="1" t="s">
        <v>91</v>
      </c>
      <c r="CC283" s="1" t="s">
        <v>157</v>
      </c>
      <c r="CD283" s="1" t="s">
        <v>91</v>
      </c>
      <c r="CE283" s="4"/>
      <c r="CF283" s="4"/>
    </row>
    <row r="284" hidden="1">
      <c r="A284" s="1" t="s">
        <v>82</v>
      </c>
      <c r="B284" s="1" t="s">
        <v>145</v>
      </c>
      <c r="C284" s="1">
        <v>21.0</v>
      </c>
      <c r="D284" s="5" t="s">
        <v>1332</v>
      </c>
      <c r="E284" s="1" t="s">
        <v>1333</v>
      </c>
      <c r="F284" s="1">
        <v>35.0</v>
      </c>
      <c r="G284" s="1">
        <v>0.0</v>
      </c>
      <c r="H284" s="1" t="s">
        <v>1334</v>
      </c>
      <c r="I284" s="4" t="b">
        <f>IFERROR(__xludf.DUMMYFUNCTION("IF(H284="""",,REGEXMATCH(H284,""[א-ת]""))"),FALSE)</f>
        <v>0</v>
      </c>
      <c r="J284" s="4"/>
      <c r="K284" s="4"/>
      <c r="L284" s="1">
        <v>0.0</v>
      </c>
      <c r="M284" s="1">
        <v>16.81</v>
      </c>
      <c r="N284" s="1">
        <v>77.14</v>
      </c>
      <c r="O284" s="1">
        <v>2.204</v>
      </c>
      <c r="P284" s="4"/>
      <c r="Q284" s="4"/>
      <c r="R284" s="1" t="s">
        <v>89</v>
      </c>
      <c r="S284" s="1" t="s">
        <v>1333</v>
      </c>
      <c r="T284" s="1" t="s">
        <v>145</v>
      </c>
      <c r="U284" s="1">
        <v>22.0</v>
      </c>
      <c r="V284" s="5" t="s">
        <v>1332</v>
      </c>
      <c r="W284" s="1" t="s">
        <v>1333</v>
      </c>
      <c r="X284" s="1" t="s">
        <v>1335</v>
      </c>
      <c r="Y284" s="4"/>
      <c r="Z284" s="4"/>
      <c r="AA284" s="4" t="b">
        <f>IFERROR(__xludf.DUMMYFUNCTION("IF(X284="""",,REGEXMATCH(X284,""[א-ת]""))"),FALSE)</f>
        <v>0</v>
      </c>
      <c r="AB284" s="1">
        <v>27.36</v>
      </c>
      <c r="AC284" s="1">
        <v>48.57</v>
      </c>
      <c r="AD284" s="1">
        <v>0.632284252834866</v>
      </c>
      <c r="AE284" s="1">
        <v>0.0</v>
      </c>
      <c r="AF284" s="1">
        <v>0.0</v>
      </c>
      <c r="AG284" s="1">
        <v>6.337</v>
      </c>
      <c r="AH284" s="1">
        <v>6.781</v>
      </c>
      <c r="AI284" s="1" t="b">
        <v>0</v>
      </c>
      <c r="AJ284" s="1" t="b">
        <v>0</v>
      </c>
      <c r="AK284" s="1">
        <v>94.182</v>
      </c>
      <c r="AL284" s="1">
        <v>96.508</v>
      </c>
      <c r="AM284" s="1" t="b">
        <v>0</v>
      </c>
      <c r="AN284" s="1" t="b">
        <v>0</v>
      </c>
      <c r="AO284" s="1">
        <v>8.05</v>
      </c>
      <c r="AP284" s="1">
        <v>8.53399999999999</v>
      </c>
      <c r="AQ284" s="1" t="b">
        <v>0</v>
      </c>
      <c r="AR284" s="1" t="b">
        <v>0</v>
      </c>
      <c r="AS284" s="1">
        <v>86.9179999999999</v>
      </c>
      <c r="AT284" s="1">
        <v>87.152</v>
      </c>
      <c r="AU284" s="1" t="b">
        <v>0</v>
      </c>
      <c r="AV284" s="1" t="b">
        <v>0</v>
      </c>
      <c r="AW284" s="1">
        <v>9.61399999999999</v>
      </c>
      <c r="AX284" s="1">
        <v>11.026</v>
      </c>
      <c r="AY284" s="1" t="b">
        <v>0</v>
      </c>
      <c r="AZ284" s="1" t="b">
        <v>0</v>
      </c>
      <c r="BA284" s="1">
        <v>81.25</v>
      </c>
      <c r="BB284" s="1">
        <v>77.78</v>
      </c>
      <c r="BC284" s="1" t="b">
        <v>0</v>
      </c>
      <c r="BD284" s="1" t="b">
        <v>0</v>
      </c>
      <c r="BE284" s="1">
        <v>11.34</v>
      </c>
      <c r="BF284" s="1">
        <v>13.285</v>
      </c>
      <c r="BG284" s="1" t="b">
        <v>0</v>
      </c>
      <c r="BH284" s="1" t="b">
        <v>0</v>
      </c>
      <c r="BI284" s="1">
        <v>77.78</v>
      </c>
      <c r="BJ284" s="1">
        <v>75.0</v>
      </c>
      <c r="BK284" s="1" t="b">
        <v>0</v>
      </c>
      <c r="BL284" s="1" t="b">
        <v>0</v>
      </c>
      <c r="BM284" s="1">
        <v>13.121</v>
      </c>
      <c r="BN284" s="1">
        <v>14.568</v>
      </c>
      <c r="BO284" s="1" t="b">
        <v>0</v>
      </c>
      <c r="BP284" s="1" t="b">
        <v>0</v>
      </c>
      <c r="BQ284" s="1">
        <v>75.0</v>
      </c>
      <c r="BR284" s="1">
        <v>72.027</v>
      </c>
      <c r="BS284" s="1" t="b">
        <v>1</v>
      </c>
      <c r="BT284" s="1" t="b">
        <v>0</v>
      </c>
      <c r="BU284" s="1" t="s">
        <v>105</v>
      </c>
      <c r="BV284" s="1" t="s">
        <v>105</v>
      </c>
      <c r="BW284" s="1" t="s">
        <v>105</v>
      </c>
      <c r="BX284" s="1" t="s">
        <v>105</v>
      </c>
      <c r="BY284" s="1" t="s">
        <v>105</v>
      </c>
      <c r="BZ284" s="1" t="s">
        <v>105</v>
      </c>
      <c r="CA284" s="1" t="s">
        <v>105</v>
      </c>
      <c r="CB284" s="1" t="s">
        <v>105</v>
      </c>
      <c r="CC284" s="1" t="s">
        <v>105</v>
      </c>
      <c r="CD284" s="1" t="s">
        <v>91</v>
      </c>
      <c r="CE284" s="4"/>
      <c r="CF284" s="4"/>
    </row>
    <row r="285" hidden="1">
      <c r="A285" s="1" t="s">
        <v>82</v>
      </c>
      <c r="B285" s="1" t="s">
        <v>145</v>
      </c>
      <c r="C285" s="1">
        <v>27.0</v>
      </c>
      <c r="D285" s="5" t="s">
        <v>1336</v>
      </c>
      <c r="E285" s="1" t="s">
        <v>1337</v>
      </c>
      <c r="F285" s="1">
        <v>82.0</v>
      </c>
      <c r="G285" s="1">
        <v>0.2732</v>
      </c>
      <c r="H285" s="1" t="s">
        <v>1338</v>
      </c>
      <c r="I285" s="4" t="b">
        <f>IFERROR(__xludf.DUMMYFUNCTION("IF(H285="""",,REGEXMATCH(H285,""[א-ת]""))"),FALSE)</f>
        <v>0</v>
      </c>
      <c r="J285" s="4"/>
      <c r="K285" s="4"/>
      <c r="L285" s="1">
        <v>-0.5983</v>
      </c>
      <c r="M285" s="1">
        <v>16.82</v>
      </c>
      <c r="N285" s="1">
        <v>65.85</v>
      </c>
      <c r="O285" s="1">
        <v>0.8030487805</v>
      </c>
      <c r="P285" s="4"/>
      <c r="Q285" s="4"/>
      <c r="R285" s="1" t="s">
        <v>89</v>
      </c>
      <c r="S285" s="1" t="s">
        <v>1337</v>
      </c>
      <c r="T285" s="1" t="s">
        <v>145</v>
      </c>
      <c r="U285" s="1">
        <v>28.0</v>
      </c>
      <c r="V285" s="5" t="s">
        <v>1336</v>
      </c>
      <c r="W285" s="1" t="s">
        <v>1337</v>
      </c>
      <c r="X285" s="1" t="s">
        <v>1339</v>
      </c>
      <c r="Y285" s="4"/>
      <c r="Z285" s="4"/>
      <c r="AA285" s="4" t="b">
        <f>IFERROR(__xludf.DUMMYFUNCTION("IF(X285="""",,REGEXMATCH(X285,""[א-ת]""))"),FALSE)</f>
        <v>0</v>
      </c>
      <c r="AB285" s="1">
        <v>23.58</v>
      </c>
      <c r="AC285" s="1">
        <v>53.66</v>
      </c>
      <c r="AD285" s="1">
        <v>0.722395759460868</v>
      </c>
      <c r="AE285" s="1">
        <v>0.0</v>
      </c>
      <c r="AF285" s="1">
        <v>0.2732</v>
      </c>
      <c r="AG285" s="1">
        <v>6.337</v>
      </c>
      <c r="AH285" s="1">
        <v>6.781</v>
      </c>
      <c r="AI285" s="1" t="b">
        <v>0</v>
      </c>
      <c r="AJ285" s="1" t="b">
        <v>0</v>
      </c>
      <c r="AK285" s="1">
        <v>94.182</v>
      </c>
      <c r="AL285" s="1">
        <v>96.508</v>
      </c>
      <c r="AM285" s="1" t="b">
        <v>0</v>
      </c>
      <c r="AN285" s="1" t="b">
        <v>0</v>
      </c>
      <c r="AO285" s="1">
        <v>8.05</v>
      </c>
      <c r="AP285" s="1">
        <v>8.53399999999999</v>
      </c>
      <c r="AQ285" s="1" t="b">
        <v>0</v>
      </c>
      <c r="AR285" s="1" t="b">
        <v>0</v>
      </c>
      <c r="AS285" s="1">
        <v>86.9179999999999</v>
      </c>
      <c r="AT285" s="1">
        <v>87.152</v>
      </c>
      <c r="AU285" s="1" t="b">
        <v>0</v>
      </c>
      <c r="AV285" s="1" t="b">
        <v>0</v>
      </c>
      <c r="AW285" s="1">
        <v>9.61399999999999</v>
      </c>
      <c r="AX285" s="1">
        <v>11.026</v>
      </c>
      <c r="AY285" s="1" t="b">
        <v>0</v>
      </c>
      <c r="AZ285" s="1" t="b">
        <v>0</v>
      </c>
      <c r="BA285" s="1">
        <v>81.25</v>
      </c>
      <c r="BB285" s="1">
        <v>77.78</v>
      </c>
      <c r="BC285" s="1" t="b">
        <v>0</v>
      </c>
      <c r="BD285" s="1" t="b">
        <v>0</v>
      </c>
      <c r="BE285" s="1">
        <v>11.34</v>
      </c>
      <c r="BF285" s="1">
        <v>13.285</v>
      </c>
      <c r="BG285" s="1" t="b">
        <v>0</v>
      </c>
      <c r="BH285" s="1" t="b">
        <v>0</v>
      </c>
      <c r="BI285" s="1">
        <v>77.78</v>
      </c>
      <c r="BJ285" s="1">
        <v>75.0</v>
      </c>
      <c r="BK285" s="1" t="b">
        <v>0</v>
      </c>
      <c r="BL285" s="1" t="b">
        <v>0</v>
      </c>
      <c r="BM285" s="1">
        <v>13.121</v>
      </c>
      <c r="BN285" s="1">
        <v>14.568</v>
      </c>
      <c r="BO285" s="1" t="b">
        <v>0</v>
      </c>
      <c r="BP285" s="1" t="b">
        <v>0</v>
      </c>
      <c r="BQ285" s="1">
        <v>75.0</v>
      </c>
      <c r="BR285" s="1">
        <v>72.027</v>
      </c>
      <c r="BS285" s="1" t="b">
        <v>0</v>
      </c>
      <c r="BT285" s="1" t="b">
        <v>0</v>
      </c>
      <c r="BU285" s="1" t="s">
        <v>105</v>
      </c>
      <c r="BV285" s="1" t="s">
        <v>105</v>
      </c>
      <c r="BW285" s="1" t="s">
        <v>105</v>
      </c>
      <c r="BX285" s="1" t="s">
        <v>105</v>
      </c>
      <c r="BY285" s="1" t="s">
        <v>105</v>
      </c>
      <c r="BZ285" s="1" t="s">
        <v>105</v>
      </c>
      <c r="CA285" s="1" t="s">
        <v>105</v>
      </c>
      <c r="CB285" s="1" t="s">
        <v>105</v>
      </c>
      <c r="CC285" s="1" t="s">
        <v>105</v>
      </c>
      <c r="CD285" s="1" t="s">
        <v>105</v>
      </c>
      <c r="CE285" s="4"/>
      <c r="CF285" s="4"/>
    </row>
    <row r="286" hidden="1">
      <c r="A286" s="1" t="s">
        <v>82</v>
      </c>
      <c r="B286" s="1" t="s">
        <v>304</v>
      </c>
      <c r="C286" s="1">
        <v>3.0</v>
      </c>
      <c r="D286" s="5" t="s">
        <v>1340</v>
      </c>
      <c r="E286" s="1" t="s">
        <v>1341</v>
      </c>
      <c r="F286" s="1">
        <v>56.0</v>
      </c>
      <c r="G286" s="1">
        <v>0.1249</v>
      </c>
      <c r="H286" s="1" t="s">
        <v>1342</v>
      </c>
      <c r="I286" s="4" t="b">
        <f>IFERROR(__xludf.DUMMYFUNCTION("IF(H286="""",,REGEXMATCH(H286,""[א-ת]""))"),FALSE)</f>
        <v>0</v>
      </c>
      <c r="J286" s="4"/>
      <c r="K286" s="4"/>
      <c r="L286" s="1">
        <v>0.1901</v>
      </c>
      <c r="M286" s="1">
        <v>16.99</v>
      </c>
      <c r="N286" s="1">
        <v>71.43</v>
      </c>
      <c r="O286" s="1">
        <v>1.275535714</v>
      </c>
      <c r="P286" s="4"/>
      <c r="Q286" s="4"/>
      <c r="R286" s="1" t="s">
        <v>89</v>
      </c>
      <c r="S286" s="1" t="s">
        <v>1341</v>
      </c>
      <c r="T286" s="1" t="s">
        <v>304</v>
      </c>
      <c r="U286" s="1">
        <v>4.0</v>
      </c>
      <c r="V286" s="5" t="s">
        <v>1340</v>
      </c>
      <c r="W286" s="1" t="s">
        <v>1341</v>
      </c>
      <c r="X286" s="1" t="s">
        <v>1343</v>
      </c>
      <c r="Y286" s="4"/>
      <c r="Z286" s="4"/>
      <c r="AA286" s="4" t="b">
        <f>IFERROR(__xludf.DUMMYFUNCTION("IF(X286="""",,REGEXMATCH(X286,""[א-ת]""))"),FALSE)</f>
        <v>0</v>
      </c>
      <c r="AB286" s="1">
        <v>16.85</v>
      </c>
      <c r="AC286" s="1">
        <v>55.36</v>
      </c>
      <c r="AD286" s="1">
        <v>0.581322032380635</v>
      </c>
      <c r="AE286" s="1">
        <v>0.1901</v>
      </c>
      <c r="AF286" s="1">
        <v>0.1249</v>
      </c>
      <c r="AG286" s="1">
        <v>6.337</v>
      </c>
      <c r="AH286" s="1">
        <v>6.781</v>
      </c>
      <c r="AI286" s="1" t="b">
        <v>0</v>
      </c>
      <c r="AJ286" s="1" t="b">
        <v>0</v>
      </c>
      <c r="AK286" s="1">
        <v>94.182</v>
      </c>
      <c r="AL286" s="1">
        <v>96.508</v>
      </c>
      <c r="AM286" s="1" t="b">
        <v>0</v>
      </c>
      <c r="AN286" s="1" t="b">
        <v>0</v>
      </c>
      <c r="AO286" s="1">
        <v>8.05</v>
      </c>
      <c r="AP286" s="1">
        <v>8.53399999999999</v>
      </c>
      <c r="AQ286" s="1" t="b">
        <v>0</v>
      </c>
      <c r="AR286" s="1" t="b">
        <v>0</v>
      </c>
      <c r="AS286" s="1">
        <v>86.9179999999999</v>
      </c>
      <c r="AT286" s="1">
        <v>87.152</v>
      </c>
      <c r="AU286" s="1" t="b">
        <v>0</v>
      </c>
      <c r="AV286" s="1" t="b">
        <v>0</v>
      </c>
      <c r="AW286" s="1">
        <v>9.61399999999999</v>
      </c>
      <c r="AX286" s="1">
        <v>11.026</v>
      </c>
      <c r="AY286" s="1" t="b">
        <v>0</v>
      </c>
      <c r="AZ286" s="1" t="b">
        <v>0</v>
      </c>
      <c r="BA286" s="1">
        <v>81.25</v>
      </c>
      <c r="BB286" s="1">
        <v>77.78</v>
      </c>
      <c r="BC286" s="1" t="b">
        <v>0</v>
      </c>
      <c r="BD286" s="1" t="b">
        <v>0</v>
      </c>
      <c r="BE286" s="1">
        <v>11.34</v>
      </c>
      <c r="BF286" s="1">
        <v>13.285</v>
      </c>
      <c r="BG286" s="1" t="b">
        <v>0</v>
      </c>
      <c r="BH286" s="1" t="b">
        <v>0</v>
      </c>
      <c r="BI286" s="1">
        <v>77.78</v>
      </c>
      <c r="BJ286" s="1">
        <v>75.0</v>
      </c>
      <c r="BK286" s="1" t="b">
        <v>0</v>
      </c>
      <c r="BL286" s="1" t="b">
        <v>0</v>
      </c>
      <c r="BM286" s="1">
        <v>13.121</v>
      </c>
      <c r="BN286" s="1">
        <v>14.568</v>
      </c>
      <c r="BO286" s="1" t="b">
        <v>0</v>
      </c>
      <c r="BP286" s="1" t="b">
        <v>0</v>
      </c>
      <c r="BQ286" s="1">
        <v>75.0</v>
      </c>
      <c r="BR286" s="1">
        <v>72.027</v>
      </c>
      <c r="BS286" s="1" t="b">
        <v>0</v>
      </c>
      <c r="BT286" s="1" t="b">
        <v>0</v>
      </c>
      <c r="BU286" s="1" t="s">
        <v>105</v>
      </c>
      <c r="BV286" s="1" t="s">
        <v>105</v>
      </c>
      <c r="BW286" s="1" t="s">
        <v>105</v>
      </c>
      <c r="BX286" s="1" t="s">
        <v>105</v>
      </c>
      <c r="BY286" s="1" t="s">
        <v>105</v>
      </c>
      <c r="BZ286" s="1" t="s">
        <v>105</v>
      </c>
      <c r="CA286" s="1" t="s">
        <v>105</v>
      </c>
      <c r="CB286" s="1" t="s">
        <v>105</v>
      </c>
      <c r="CC286" s="1" t="s">
        <v>105</v>
      </c>
      <c r="CD286" s="1" t="s">
        <v>105</v>
      </c>
      <c r="CE286" s="4"/>
      <c r="CF286" s="4"/>
    </row>
    <row r="287" hidden="1">
      <c r="A287" s="1" t="s">
        <v>82</v>
      </c>
      <c r="B287" s="1" t="s">
        <v>427</v>
      </c>
      <c r="C287" s="1">
        <v>10.0</v>
      </c>
      <c r="D287" s="5" t="s">
        <v>1344</v>
      </c>
      <c r="E287" s="1" t="s">
        <v>1345</v>
      </c>
      <c r="F287" s="1">
        <v>26.0</v>
      </c>
      <c r="G287" s="1">
        <v>0.5574</v>
      </c>
      <c r="H287" s="1" t="s">
        <v>1346</v>
      </c>
      <c r="I287" s="4" t="b">
        <f>IFERROR(__xludf.DUMMYFUNCTION("IF(H287="""",,REGEXMATCH(H287,""[א-ת]""))"),FALSE)</f>
        <v>0</v>
      </c>
      <c r="J287" s="4"/>
      <c r="K287" s="4"/>
      <c r="L287" s="1">
        <v>0.7783</v>
      </c>
      <c r="M287" s="1">
        <v>17.23</v>
      </c>
      <c r="N287" s="1">
        <v>69.23</v>
      </c>
      <c r="O287" s="1">
        <v>2.662692308</v>
      </c>
      <c r="P287" s="4"/>
      <c r="Q287" s="4"/>
      <c r="R287" s="1" t="s">
        <v>96</v>
      </c>
      <c r="S287" s="1" t="s">
        <v>1345</v>
      </c>
      <c r="T287" s="1" t="s">
        <v>427</v>
      </c>
      <c r="U287" s="1">
        <v>11.0</v>
      </c>
      <c r="V287" s="5" t="s">
        <v>1344</v>
      </c>
      <c r="W287" s="1" t="s">
        <v>1345</v>
      </c>
      <c r="X287" s="1" t="s">
        <v>1347</v>
      </c>
      <c r="Y287" s="4"/>
      <c r="Z287" s="4"/>
      <c r="AA287" s="4" t="b">
        <f>IFERROR(__xludf.DUMMYFUNCTION("IF(X287="""",,REGEXMATCH(X287,""[א-ת]""))"),FALSE)</f>
        <v>0</v>
      </c>
      <c r="AB287" s="1">
        <v>36.99</v>
      </c>
      <c r="AC287" s="1">
        <v>50.0</v>
      </c>
      <c r="AD287" s="1">
        <v>0.511216708007769</v>
      </c>
      <c r="AE287" s="1">
        <v>0.0</v>
      </c>
      <c r="AF287" s="1">
        <v>0.5574</v>
      </c>
      <c r="AG287" s="1">
        <v>6.337</v>
      </c>
      <c r="AH287" s="1">
        <v>6.781</v>
      </c>
      <c r="AI287" s="1" t="b">
        <v>0</v>
      </c>
      <c r="AJ287" s="1" t="b">
        <v>0</v>
      </c>
      <c r="AK287" s="1">
        <v>94.182</v>
      </c>
      <c r="AL287" s="1">
        <v>96.508</v>
      </c>
      <c r="AM287" s="1" t="b">
        <v>0</v>
      </c>
      <c r="AN287" s="1" t="b">
        <v>0</v>
      </c>
      <c r="AO287" s="1">
        <v>8.05</v>
      </c>
      <c r="AP287" s="1">
        <v>8.53399999999999</v>
      </c>
      <c r="AQ287" s="1" t="b">
        <v>0</v>
      </c>
      <c r="AR287" s="1" t="b">
        <v>0</v>
      </c>
      <c r="AS287" s="1">
        <v>86.9179999999999</v>
      </c>
      <c r="AT287" s="1">
        <v>87.152</v>
      </c>
      <c r="AU287" s="1" t="b">
        <v>0</v>
      </c>
      <c r="AV287" s="1" t="b">
        <v>0</v>
      </c>
      <c r="AW287" s="1">
        <v>9.61399999999999</v>
      </c>
      <c r="AX287" s="1">
        <v>11.026</v>
      </c>
      <c r="AY287" s="1" t="b">
        <v>0</v>
      </c>
      <c r="AZ287" s="1" t="b">
        <v>0</v>
      </c>
      <c r="BA287" s="1">
        <v>81.25</v>
      </c>
      <c r="BB287" s="1">
        <v>77.78</v>
      </c>
      <c r="BC287" s="1" t="b">
        <v>0</v>
      </c>
      <c r="BD287" s="1" t="b">
        <v>0</v>
      </c>
      <c r="BE287" s="1">
        <v>11.34</v>
      </c>
      <c r="BF287" s="1">
        <v>13.285</v>
      </c>
      <c r="BG287" s="1" t="b">
        <v>0</v>
      </c>
      <c r="BH287" s="1" t="b">
        <v>0</v>
      </c>
      <c r="BI287" s="1">
        <v>77.78</v>
      </c>
      <c r="BJ287" s="1">
        <v>75.0</v>
      </c>
      <c r="BK287" s="1" t="b">
        <v>0</v>
      </c>
      <c r="BL287" s="1" t="b">
        <v>0</v>
      </c>
      <c r="BM287" s="1">
        <v>13.121</v>
      </c>
      <c r="BN287" s="1">
        <v>14.568</v>
      </c>
      <c r="BO287" s="1" t="b">
        <v>0</v>
      </c>
      <c r="BP287" s="1" t="b">
        <v>0</v>
      </c>
      <c r="BQ287" s="1">
        <v>75.0</v>
      </c>
      <c r="BR287" s="1">
        <v>72.027</v>
      </c>
      <c r="BS287" s="1" t="b">
        <v>0</v>
      </c>
      <c r="BT287" s="1" t="b">
        <v>0</v>
      </c>
      <c r="BU287" s="1" t="s">
        <v>105</v>
      </c>
      <c r="BV287" s="1" t="s">
        <v>105</v>
      </c>
      <c r="BW287" s="1" t="s">
        <v>105</v>
      </c>
      <c r="BX287" s="1" t="s">
        <v>105</v>
      </c>
      <c r="BY287" s="1" t="s">
        <v>105</v>
      </c>
      <c r="BZ287" s="1" t="s">
        <v>105</v>
      </c>
      <c r="CA287" s="1" t="s">
        <v>105</v>
      </c>
      <c r="CB287" s="1" t="s">
        <v>105</v>
      </c>
      <c r="CC287" s="1" t="s">
        <v>105</v>
      </c>
      <c r="CD287" s="1" t="s">
        <v>105</v>
      </c>
      <c r="CE287" s="4"/>
      <c r="CF287" s="4"/>
    </row>
    <row r="288" hidden="1">
      <c r="A288" s="1" t="s">
        <v>82</v>
      </c>
      <c r="B288" s="1" t="s">
        <v>111</v>
      </c>
      <c r="C288" s="1">
        <v>51.0</v>
      </c>
      <c r="D288" s="5" t="s">
        <v>1348</v>
      </c>
      <c r="E288" s="1" t="s">
        <v>1349</v>
      </c>
      <c r="F288" s="1">
        <v>53.0</v>
      </c>
      <c r="G288" s="1">
        <v>0.0</v>
      </c>
      <c r="H288" s="1" t="s">
        <v>1350</v>
      </c>
      <c r="I288" s="4" t="b">
        <f>IFERROR(__xludf.DUMMYFUNCTION("IF(H288="""",,REGEXMATCH(H288,""[א-ת]""))"),FALSE)</f>
        <v>0</v>
      </c>
      <c r="J288" s="4"/>
      <c r="K288" s="4"/>
      <c r="L288" s="1">
        <v>0.0</v>
      </c>
      <c r="M288" s="1">
        <v>17.28</v>
      </c>
      <c r="N288" s="1">
        <v>81.13</v>
      </c>
      <c r="O288" s="1">
        <v>1.530754717</v>
      </c>
      <c r="P288" s="4"/>
      <c r="Q288" s="4"/>
      <c r="R288" s="1" t="s">
        <v>89</v>
      </c>
      <c r="S288" s="1" t="s">
        <v>1349</v>
      </c>
      <c r="T288" s="1" t="s">
        <v>111</v>
      </c>
      <c r="U288" s="1">
        <v>52.0</v>
      </c>
      <c r="V288" s="5" t="s">
        <v>1348</v>
      </c>
      <c r="W288" s="1" t="s">
        <v>1349</v>
      </c>
      <c r="X288" s="1" t="s">
        <v>1351</v>
      </c>
      <c r="Y288" s="4"/>
      <c r="Z288" s="4"/>
      <c r="AA288" s="4" t="b">
        <f>IFERROR(__xludf.DUMMYFUNCTION("IF(X288="""",,REGEXMATCH(X288,""[א-ת]""))"),FALSE)</f>
        <v>0</v>
      </c>
      <c r="AB288" s="1">
        <v>22.03</v>
      </c>
      <c r="AC288" s="1">
        <v>58.49</v>
      </c>
      <c r="AD288" s="1">
        <v>0.416718355128916</v>
      </c>
      <c r="AE288" s="1">
        <v>0.0</v>
      </c>
      <c r="AF288" s="1">
        <v>0.0</v>
      </c>
      <c r="AG288" s="1">
        <v>6.337</v>
      </c>
      <c r="AH288" s="1">
        <v>6.781</v>
      </c>
      <c r="AI288" s="1" t="b">
        <v>0</v>
      </c>
      <c r="AJ288" s="1" t="b">
        <v>0</v>
      </c>
      <c r="AK288" s="1">
        <v>94.182</v>
      </c>
      <c r="AL288" s="1">
        <v>96.508</v>
      </c>
      <c r="AM288" s="1" t="b">
        <v>0</v>
      </c>
      <c r="AN288" s="1" t="b">
        <v>0</v>
      </c>
      <c r="AO288" s="1">
        <v>8.05</v>
      </c>
      <c r="AP288" s="1">
        <v>8.53399999999999</v>
      </c>
      <c r="AQ288" s="1" t="b">
        <v>0</v>
      </c>
      <c r="AR288" s="1" t="b">
        <v>0</v>
      </c>
      <c r="AS288" s="1">
        <v>86.9179999999999</v>
      </c>
      <c r="AT288" s="1">
        <v>87.152</v>
      </c>
      <c r="AU288" s="1" t="b">
        <v>0</v>
      </c>
      <c r="AV288" s="1" t="b">
        <v>0</v>
      </c>
      <c r="AW288" s="1">
        <v>9.61399999999999</v>
      </c>
      <c r="AX288" s="1">
        <v>11.026</v>
      </c>
      <c r="AY288" s="1" t="b">
        <v>0</v>
      </c>
      <c r="AZ288" s="1" t="b">
        <v>0</v>
      </c>
      <c r="BA288" s="1">
        <v>81.25</v>
      </c>
      <c r="BB288" s="1">
        <v>77.78</v>
      </c>
      <c r="BC288" s="1" t="b">
        <v>0</v>
      </c>
      <c r="BD288" s="1" t="b">
        <v>0</v>
      </c>
      <c r="BE288" s="1">
        <v>11.34</v>
      </c>
      <c r="BF288" s="1">
        <v>13.285</v>
      </c>
      <c r="BG288" s="1" t="b">
        <v>0</v>
      </c>
      <c r="BH288" s="1" t="b">
        <v>0</v>
      </c>
      <c r="BI288" s="1">
        <v>77.78</v>
      </c>
      <c r="BJ288" s="1">
        <v>75.0</v>
      </c>
      <c r="BK288" s="1" t="b">
        <v>1</v>
      </c>
      <c r="BL288" s="1" t="b">
        <v>0</v>
      </c>
      <c r="BM288" s="1">
        <v>13.121</v>
      </c>
      <c r="BN288" s="1">
        <v>14.568</v>
      </c>
      <c r="BO288" s="1" t="b">
        <v>0</v>
      </c>
      <c r="BP288" s="1" t="b">
        <v>0</v>
      </c>
      <c r="BQ288" s="1">
        <v>75.0</v>
      </c>
      <c r="BR288" s="1">
        <v>72.027</v>
      </c>
      <c r="BS288" s="1" t="b">
        <v>1</v>
      </c>
      <c r="BT288" s="1" t="b">
        <v>0</v>
      </c>
      <c r="BU288" s="1" t="s">
        <v>105</v>
      </c>
      <c r="BV288" s="1" t="s">
        <v>105</v>
      </c>
      <c r="BW288" s="1" t="s">
        <v>105</v>
      </c>
      <c r="BX288" s="1" t="s">
        <v>105</v>
      </c>
      <c r="BY288" s="1" t="s">
        <v>105</v>
      </c>
      <c r="BZ288" s="1" t="s">
        <v>105</v>
      </c>
      <c r="CA288" s="1" t="s">
        <v>105</v>
      </c>
      <c r="CB288" s="1" t="s">
        <v>91</v>
      </c>
      <c r="CC288" s="1" t="s">
        <v>105</v>
      </c>
      <c r="CD288" s="1" t="s">
        <v>91</v>
      </c>
      <c r="CE288" s="4"/>
      <c r="CF288" s="4"/>
    </row>
    <row r="289" hidden="1">
      <c r="A289" s="1" t="s">
        <v>82</v>
      </c>
      <c r="B289" s="1" t="s">
        <v>83</v>
      </c>
      <c r="C289" s="1">
        <v>10.0</v>
      </c>
      <c r="D289" s="5" t="s">
        <v>1352</v>
      </c>
      <c r="E289" s="1" t="s">
        <v>1353</v>
      </c>
      <c r="F289" s="1">
        <v>83.0</v>
      </c>
      <c r="G289" s="1">
        <v>0.0951</v>
      </c>
      <c r="H289" s="1" t="s">
        <v>1354</v>
      </c>
      <c r="I289" s="4" t="b">
        <f>IFERROR(__xludf.DUMMYFUNCTION("IF(H289="""",,REGEXMATCH(H289,""[א-ת]""))"),FALSE)</f>
        <v>0</v>
      </c>
      <c r="J289" s="4"/>
      <c r="K289" s="4"/>
      <c r="L289" s="1">
        <v>-0.0593</v>
      </c>
      <c r="M289" s="1">
        <v>17.28</v>
      </c>
      <c r="N289" s="1">
        <v>68.67</v>
      </c>
      <c r="O289" s="1">
        <v>0.8273493976</v>
      </c>
      <c r="P289" s="4"/>
      <c r="Q289" s="4"/>
      <c r="R289" s="1" t="s">
        <v>89</v>
      </c>
      <c r="S289" s="1" t="s">
        <v>1353</v>
      </c>
      <c r="T289" s="1" t="s">
        <v>83</v>
      </c>
      <c r="U289" s="1">
        <v>11.0</v>
      </c>
      <c r="V289" s="5" t="s">
        <v>1352</v>
      </c>
      <c r="W289" s="1" t="s">
        <v>1353</v>
      </c>
      <c r="X289" s="1" t="s">
        <v>1355</v>
      </c>
      <c r="Y289" s="4"/>
      <c r="Z289" s="4"/>
      <c r="AA289" s="4" t="b">
        <f>IFERROR(__xludf.DUMMYFUNCTION("IF(X289="""",,REGEXMATCH(X289,""[א-ת]""))"),FALSE)</f>
        <v>0</v>
      </c>
      <c r="AB289" s="1">
        <v>35.61</v>
      </c>
      <c r="AC289" s="1">
        <v>51.81</v>
      </c>
      <c r="AD289" s="1">
        <v>0.681953990228152</v>
      </c>
      <c r="AE289" s="1">
        <v>0.0951</v>
      </c>
      <c r="AF289" s="1">
        <v>0.0951</v>
      </c>
      <c r="AG289" s="1">
        <v>6.337</v>
      </c>
      <c r="AH289" s="1">
        <v>6.781</v>
      </c>
      <c r="AI289" s="1" t="b">
        <v>0</v>
      </c>
      <c r="AJ289" s="1" t="b">
        <v>0</v>
      </c>
      <c r="AK289" s="1">
        <v>94.182</v>
      </c>
      <c r="AL289" s="1">
        <v>96.508</v>
      </c>
      <c r="AM289" s="1" t="b">
        <v>0</v>
      </c>
      <c r="AN289" s="1" t="b">
        <v>0</v>
      </c>
      <c r="AO289" s="1">
        <v>8.05</v>
      </c>
      <c r="AP289" s="1">
        <v>8.53399999999999</v>
      </c>
      <c r="AQ289" s="1" t="b">
        <v>0</v>
      </c>
      <c r="AR289" s="1" t="b">
        <v>0</v>
      </c>
      <c r="AS289" s="1">
        <v>86.9179999999999</v>
      </c>
      <c r="AT289" s="1">
        <v>87.152</v>
      </c>
      <c r="AU289" s="1" t="b">
        <v>0</v>
      </c>
      <c r="AV289" s="1" t="b">
        <v>0</v>
      </c>
      <c r="AW289" s="1">
        <v>9.61399999999999</v>
      </c>
      <c r="AX289" s="1">
        <v>11.026</v>
      </c>
      <c r="AY289" s="1" t="b">
        <v>0</v>
      </c>
      <c r="AZ289" s="1" t="b">
        <v>0</v>
      </c>
      <c r="BA289" s="1">
        <v>81.25</v>
      </c>
      <c r="BB289" s="1">
        <v>77.78</v>
      </c>
      <c r="BC289" s="1" t="b">
        <v>0</v>
      </c>
      <c r="BD289" s="1" t="b">
        <v>0</v>
      </c>
      <c r="BE289" s="1">
        <v>11.34</v>
      </c>
      <c r="BF289" s="1">
        <v>13.285</v>
      </c>
      <c r="BG289" s="1" t="b">
        <v>0</v>
      </c>
      <c r="BH289" s="1" t="b">
        <v>0</v>
      </c>
      <c r="BI289" s="1">
        <v>77.78</v>
      </c>
      <c r="BJ289" s="1">
        <v>75.0</v>
      </c>
      <c r="BK289" s="1" t="b">
        <v>0</v>
      </c>
      <c r="BL289" s="1" t="b">
        <v>0</v>
      </c>
      <c r="BM289" s="1">
        <v>13.121</v>
      </c>
      <c r="BN289" s="1">
        <v>14.568</v>
      </c>
      <c r="BO289" s="1" t="b">
        <v>0</v>
      </c>
      <c r="BP289" s="1" t="b">
        <v>0</v>
      </c>
      <c r="BQ289" s="1">
        <v>75.0</v>
      </c>
      <c r="BR289" s="1">
        <v>72.027</v>
      </c>
      <c r="BS289" s="1" t="b">
        <v>0</v>
      </c>
      <c r="BT289" s="1" t="b">
        <v>0</v>
      </c>
      <c r="BU289" s="1" t="s">
        <v>105</v>
      </c>
      <c r="BV289" s="1" t="s">
        <v>105</v>
      </c>
      <c r="BW289" s="1" t="s">
        <v>105</v>
      </c>
      <c r="BX289" s="1" t="s">
        <v>105</v>
      </c>
      <c r="BY289" s="1" t="s">
        <v>105</v>
      </c>
      <c r="BZ289" s="1" t="s">
        <v>105</v>
      </c>
      <c r="CA289" s="1" t="s">
        <v>105</v>
      </c>
      <c r="CB289" s="1" t="s">
        <v>105</v>
      </c>
      <c r="CC289" s="1" t="s">
        <v>105</v>
      </c>
      <c r="CD289" s="1" t="s">
        <v>105</v>
      </c>
      <c r="CE289" s="4"/>
      <c r="CF289" s="4"/>
    </row>
    <row r="290" hidden="1">
      <c r="A290" s="1" t="s">
        <v>82</v>
      </c>
      <c r="B290" s="1" t="s">
        <v>111</v>
      </c>
      <c r="C290" s="1">
        <v>67.0</v>
      </c>
      <c r="D290" s="5" t="s">
        <v>1356</v>
      </c>
      <c r="E290" s="1" t="s">
        <v>1357</v>
      </c>
      <c r="F290" s="1">
        <v>81.0</v>
      </c>
      <c r="G290" s="1">
        <v>0.8316</v>
      </c>
      <c r="H290" s="1" t="s">
        <v>1358</v>
      </c>
      <c r="I290" s="4" t="b">
        <f>IFERROR(__xludf.DUMMYFUNCTION("IF(H290="""",,REGEXMATCH(H290,""[א-ת]""))"),FALSE)</f>
        <v>0</v>
      </c>
      <c r="J290" s="4"/>
      <c r="K290" s="4"/>
      <c r="L290" s="1">
        <v>-0.5859</v>
      </c>
      <c r="M290" s="1">
        <v>17.3</v>
      </c>
      <c r="N290" s="1">
        <v>62.96</v>
      </c>
      <c r="O290" s="1">
        <v>0.7772839506</v>
      </c>
      <c r="P290" s="4"/>
      <c r="Q290" s="4"/>
      <c r="R290" s="1" t="s">
        <v>89</v>
      </c>
      <c r="S290" s="1" t="s">
        <v>1357</v>
      </c>
      <c r="T290" s="1" t="s">
        <v>111</v>
      </c>
      <c r="U290" s="1">
        <v>68.0</v>
      </c>
      <c r="V290" s="5" t="s">
        <v>1356</v>
      </c>
      <c r="W290" s="1" t="s">
        <v>1357</v>
      </c>
      <c r="X290" s="1" t="s">
        <v>1359</v>
      </c>
      <c r="Y290" s="4"/>
      <c r="Z290" s="4"/>
      <c r="AA290" s="4" t="b">
        <f>IFERROR(__xludf.DUMMYFUNCTION("IF(X290="""",,REGEXMATCH(X290,""[א-ת]""))"),FALSE)</f>
        <v>0</v>
      </c>
      <c r="AB290" s="1">
        <v>32.65</v>
      </c>
      <c r="AC290" s="1">
        <v>40.74</v>
      </c>
      <c r="AD290" s="1">
        <v>0.663354200000289</v>
      </c>
      <c r="AE290" s="1">
        <v>0.7506</v>
      </c>
      <c r="AF290" s="1">
        <v>0.8316</v>
      </c>
      <c r="AG290" s="1">
        <v>6.337</v>
      </c>
      <c r="AH290" s="1">
        <v>6.781</v>
      </c>
      <c r="AI290" s="1" t="b">
        <v>0</v>
      </c>
      <c r="AJ290" s="1" t="b">
        <v>0</v>
      </c>
      <c r="AK290" s="1">
        <v>94.182</v>
      </c>
      <c r="AL290" s="1">
        <v>96.508</v>
      </c>
      <c r="AM290" s="1" t="b">
        <v>0</v>
      </c>
      <c r="AN290" s="1" t="b">
        <v>0</v>
      </c>
      <c r="AO290" s="1">
        <v>8.05</v>
      </c>
      <c r="AP290" s="1">
        <v>8.53399999999999</v>
      </c>
      <c r="AQ290" s="1" t="b">
        <v>0</v>
      </c>
      <c r="AR290" s="1" t="b">
        <v>0</v>
      </c>
      <c r="AS290" s="1">
        <v>86.9179999999999</v>
      </c>
      <c r="AT290" s="1">
        <v>87.152</v>
      </c>
      <c r="AU290" s="1" t="b">
        <v>0</v>
      </c>
      <c r="AV290" s="1" t="b">
        <v>0</v>
      </c>
      <c r="AW290" s="1">
        <v>9.61399999999999</v>
      </c>
      <c r="AX290" s="1">
        <v>11.026</v>
      </c>
      <c r="AY290" s="1" t="b">
        <v>0</v>
      </c>
      <c r="AZ290" s="1" t="b">
        <v>0</v>
      </c>
      <c r="BA290" s="1">
        <v>81.25</v>
      </c>
      <c r="BB290" s="1">
        <v>77.78</v>
      </c>
      <c r="BC290" s="1" t="b">
        <v>0</v>
      </c>
      <c r="BD290" s="1" t="b">
        <v>0</v>
      </c>
      <c r="BE290" s="1">
        <v>11.34</v>
      </c>
      <c r="BF290" s="1">
        <v>13.285</v>
      </c>
      <c r="BG290" s="1" t="b">
        <v>0</v>
      </c>
      <c r="BH290" s="1" t="b">
        <v>0</v>
      </c>
      <c r="BI290" s="1">
        <v>77.78</v>
      </c>
      <c r="BJ290" s="1">
        <v>75.0</v>
      </c>
      <c r="BK290" s="1" t="b">
        <v>0</v>
      </c>
      <c r="BL290" s="1" t="b">
        <v>0</v>
      </c>
      <c r="BM290" s="1">
        <v>13.121</v>
      </c>
      <c r="BN290" s="1">
        <v>14.568</v>
      </c>
      <c r="BO290" s="1" t="b">
        <v>0</v>
      </c>
      <c r="BP290" s="1" t="b">
        <v>0</v>
      </c>
      <c r="BQ290" s="1">
        <v>75.0</v>
      </c>
      <c r="BR290" s="1">
        <v>72.027</v>
      </c>
      <c r="BS290" s="1" t="b">
        <v>0</v>
      </c>
      <c r="BT290" s="1" t="b">
        <v>0</v>
      </c>
      <c r="BU290" s="1" t="s">
        <v>105</v>
      </c>
      <c r="BV290" s="1" t="s">
        <v>105</v>
      </c>
      <c r="BW290" s="1" t="s">
        <v>105</v>
      </c>
      <c r="BX290" s="1" t="s">
        <v>105</v>
      </c>
      <c r="BY290" s="1" t="s">
        <v>105</v>
      </c>
      <c r="BZ290" s="1" t="s">
        <v>105</v>
      </c>
      <c r="CA290" s="1" t="s">
        <v>105</v>
      </c>
      <c r="CB290" s="1" t="s">
        <v>105</v>
      </c>
      <c r="CC290" s="1" t="s">
        <v>105</v>
      </c>
      <c r="CD290" s="1" t="s">
        <v>105</v>
      </c>
      <c r="CE290" s="4"/>
      <c r="CF290" s="4"/>
    </row>
    <row r="291" hidden="1">
      <c r="A291" s="1" t="s">
        <v>82</v>
      </c>
      <c r="B291" s="1" t="s">
        <v>116</v>
      </c>
      <c r="C291" s="1">
        <v>29.0</v>
      </c>
      <c r="D291" s="5" t="s">
        <v>1360</v>
      </c>
      <c r="E291" s="1" t="s">
        <v>1361</v>
      </c>
      <c r="F291" s="1">
        <v>25.0</v>
      </c>
      <c r="G291" s="1">
        <v>0.2263</v>
      </c>
      <c r="H291" s="1" t="s">
        <v>1362</v>
      </c>
      <c r="I291" s="4" t="b">
        <f>IFERROR(__xludf.DUMMYFUNCTION("IF(H291="""",,REGEXMATCH(H291,""[א-ת]""))"),FALSE)</f>
        <v>0</v>
      </c>
      <c r="J291" s="4"/>
      <c r="K291" s="4"/>
      <c r="L291" s="1">
        <v>-0.128</v>
      </c>
      <c r="M291" s="1">
        <v>17.35</v>
      </c>
      <c r="N291" s="1">
        <v>76.0</v>
      </c>
      <c r="O291" s="1">
        <v>3.04</v>
      </c>
      <c r="P291" s="4"/>
      <c r="Q291" s="4"/>
      <c r="R291" s="1" t="s">
        <v>89</v>
      </c>
      <c r="S291" s="1" t="s">
        <v>1361</v>
      </c>
      <c r="T291" s="1" t="s">
        <v>116</v>
      </c>
      <c r="U291" s="1">
        <v>30.0</v>
      </c>
      <c r="V291" s="5" t="s">
        <v>1360</v>
      </c>
      <c r="W291" s="1" t="s">
        <v>1361</v>
      </c>
      <c r="X291" s="1" t="s">
        <v>1363</v>
      </c>
      <c r="Y291" s="4"/>
      <c r="Z291" s="4"/>
      <c r="AA291" s="4" t="b">
        <f>IFERROR(__xludf.DUMMYFUNCTION("IF(X291="""",,REGEXMATCH(X291,""[א-ת]""))"),FALSE)</f>
        <v>0</v>
      </c>
      <c r="AB291" s="1">
        <v>18.62</v>
      </c>
      <c r="AC291" s="1">
        <v>68.0</v>
      </c>
      <c r="AD291" s="1">
        <v>0.54725730734956</v>
      </c>
      <c r="AE291" s="1">
        <v>0.3182</v>
      </c>
      <c r="AF291" s="1">
        <v>0.2263</v>
      </c>
      <c r="AG291" s="1">
        <v>6.337</v>
      </c>
      <c r="AH291" s="1">
        <v>6.781</v>
      </c>
      <c r="AI291" s="1" t="b">
        <v>0</v>
      </c>
      <c r="AJ291" s="1" t="b">
        <v>0</v>
      </c>
      <c r="AK291" s="1">
        <v>94.182</v>
      </c>
      <c r="AL291" s="1">
        <v>96.508</v>
      </c>
      <c r="AM291" s="1" t="b">
        <v>0</v>
      </c>
      <c r="AN291" s="1" t="b">
        <v>0</v>
      </c>
      <c r="AO291" s="1">
        <v>8.05</v>
      </c>
      <c r="AP291" s="1">
        <v>8.53399999999999</v>
      </c>
      <c r="AQ291" s="1" t="b">
        <v>0</v>
      </c>
      <c r="AR291" s="1" t="b">
        <v>0</v>
      </c>
      <c r="AS291" s="1">
        <v>86.9179999999999</v>
      </c>
      <c r="AT291" s="1">
        <v>87.152</v>
      </c>
      <c r="AU291" s="1" t="b">
        <v>0</v>
      </c>
      <c r="AV291" s="1" t="b">
        <v>0</v>
      </c>
      <c r="AW291" s="1">
        <v>9.61399999999999</v>
      </c>
      <c r="AX291" s="1">
        <v>11.026</v>
      </c>
      <c r="AY291" s="1" t="b">
        <v>0</v>
      </c>
      <c r="AZ291" s="1" t="b">
        <v>0</v>
      </c>
      <c r="BA291" s="1">
        <v>81.25</v>
      </c>
      <c r="BB291" s="1">
        <v>77.78</v>
      </c>
      <c r="BC291" s="1" t="b">
        <v>0</v>
      </c>
      <c r="BD291" s="1" t="b">
        <v>0</v>
      </c>
      <c r="BE291" s="1">
        <v>11.34</v>
      </c>
      <c r="BF291" s="1">
        <v>13.285</v>
      </c>
      <c r="BG291" s="1" t="b">
        <v>0</v>
      </c>
      <c r="BH291" s="1" t="b">
        <v>0</v>
      </c>
      <c r="BI291" s="1">
        <v>77.78</v>
      </c>
      <c r="BJ291" s="1">
        <v>75.0</v>
      </c>
      <c r="BK291" s="1" t="b">
        <v>0</v>
      </c>
      <c r="BL291" s="1" t="b">
        <v>0</v>
      </c>
      <c r="BM291" s="1">
        <v>13.121</v>
      </c>
      <c r="BN291" s="1">
        <v>14.568</v>
      </c>
      <c r="BO291" s="1" t="b">
        <v>0</v>
      </c>
      <c r="BP291" s="1" t="b">
        <v>0</v>
      </c>
      <c r="BQ291" s="1">
        <v>75.0</v>
      </c>
      <c r="BR291" s="1">
        <v>72.027</v>
      </c>
      <c r="BS291" s="1" t="b">
        <v>1</v>
      </c>
      <c r="BT291" s="1" t="b">
        <v>0</v>
      </c>
      <c r="BU291" s="1" t="s">
        <v>105</v>
      </c>
      <c r="BV291" s="1" t="s">
        <v>105</v>
      </c>
      <c r="BW291" s="1" t="s">
        <v>105</v>
      </c>
      <c r="BX291" s="1" t="s">
        <v>105</v>
      </c>
      <c r="BY291" s="1" t="s">
        <v>105</v>
      </c>
      <c r="BZ291" s="1" t="s">
        <v>105</v>
      </c>
      <c r="CA291" s="1" t="s">
        <v>105</v>
      </c>
      <c r="CB291" s="1" t="s">
        <v>105</v>
      </c>
      <c r="CC291" s="1" t="s">
        <v>105</v>
      </c>
      <c r="CD291" s="1" t="s">
        <v>91</v>
      </c>
      <c r="CE291" s="4"/>
      <c r="CF291" s="4"/>
    </row>
    <row r="292" hidden="1">
      <c r="A292" s="1" t="s">
        <v>82</v>
      </c>
      <c r="B292" s="1" t="s">
        <v>83</v>
      </c>
      <c r="C292" s="1">
        <v>3.0</v>
      </c>
      <c r="D292" s="5" t="s">
        <v>1364</v>
      </c>
      <c r="E292" s="1" t="s">
        <v>1365</v>
      </c>
      <c r="F292" s="1">
        <v>31.0</v>
      </c>
      <c r="G292" s="1">
        <v>-0.8834</v>
      </c>
      <c r="H292" s="1" t="s">
        <v>1366</v>
      </c>
      <c r="I292" s="4" t="b">
        <f>IFERROR(__xludf.DUMMYFUNCTION("IF(H292="""",,REGEXMATCH(H292,""[א-ת]""))"),FALSE)</f>
        <v>0</v>
      </c>
      <c r="J292" s="4"/>
      <c r="K292" s="1" t="s">
        <v>1367</v>
      </c>
      <c r="L292" s="1">
        <v>-0.8834</v>
      </c>
      <c r="M292" s="1">
        <v>17.48</v>
      </c>
      <c r="N292" s="1">
        <v>64.52</v>
      </c>
      <c r="O292" s="1">
        <v>2.081290323</v>
      </c>
      <c r="P292" s="4"/>
      <c r="Q292" s="4"/>
      <c r="R292" s="1" t="s">
        <v>89</v>
      </c>
      <c r="S292" s="1" t="s">
        <v>1365</v>
      </c>
      <c r="T292" s="1" t="s">
        <v>83</v>
      </c>
      <c r="U292" s="1">
        <v>4.0</v>
      </c>
      <c r="V292" s="5" t="s">
        <v>1364</v>
      </c>
      <c r="W292" s="1" t="s">
        <v>1365</v>
      </c>
      <c r="X292" s="1" t="s">
        <v>1368</v>
      </c>
      <c r="Y292" s="4"/>
      <c r="Z292" s="4"/>
      <c r="AA292" s="4" t="b">
        <f>IFERROR(__xludf.DUMMYFUNCTION("IF(X292="""",,REGEXMATCH(X292,""[א-ת]""))"),FALSE)</f>
        <v>0</v>
      </c>
      <c r="AB292" s="1">
        <v>14.2</v>
      </c>
      <c r="AC292" s="1">
        <v>116.13</v>
      </c>
      <c r="AD292" s="1">
        <v>0.355250334053654</v>
      </c>
      <c r="AE292" s="1">
        <v>-0.9638</v>
      </c>
      <c r="AF292" s="1">
        <v>-0.8834</v>
      </c>
      <c r="AG292" s="1">
        <v>6.337</v>
      </c>
      <c r="AH292" s="1">
        <v>6.781</v>
      </c>
      <c r="AI292" s="1" t="b">
        <v>0</v>
      </c>
      <c r="AJ292" s="1" t="b">
        <v>0</v>
      </c>
      <c r="AK292" s="1">
        <v>94.182</v>
      </c>
      <c r="AL292" s="1">
        <v>96.508</v>
      </c>
      <c r="AM292" s="1" t="b">
        <v>0</v>
      </c>
      <c r="AN292" s="1" t="b">
        <v>1</v>
      </c>
      <c r="AO292" s="1">
        <v>8.05</v>
      </c>
      <c r="AP292" s="1">
        <v>8.53399999999999</v>
      </c>
      <c r="AQ292" s="1" t="b">
        <v>0</v>
      </c>
      <c r="AR292" s="1" t="b">
        <v>0</v>
      </c>
      <c r="AS292" s="1">
        <v>86.9179999999999</v>
      </c>
      <c r="AT292" s="1">
        <v>87.152</v>
      </c>
      <c r="AU292" s="1" t="b">
        <v>0</v>
      </c>
      <c r="AV292" s="1" t="b">
        <v>1</v>
      </c>
      <c r="AW292" s="1">
        <v>9.61399999999999</v>
      </c>
      <c r="AX292" s="1">
        <v>11.026</v>
      </c>
      <c r="AY292" s="1" t="b">
        <v>0</v>
      </c>
      <c r="AZ292" s="1" t="b">
        <v>0</v>
      </c>
      <c r="BA292" s="1">
        <v>81.25</v>
      </c>
      <c r="BB292" s="1">
        <v>77.78</v>
      </c>
      <c r="BC292" s="1" t="b">
        <v>0</v>
      </c>
      <c r="BD292" s="1" t="b">
        <v>1</v>
      </c>
      <c r="BE292" s="1">
        <v>11.34</v>
      </c>
      <c r="BF292" s="1">
        <v>13.285</v>
      </c>
      <c r="BG292" s="1" t="b">
        <v>0</v>
      </c>
      <c r="BH292" s="1" t="b">
        <v>0</v>
      </c>
      <c r="BI292" s="1">
        <v>77.78</v>
      </c>
      <c r="BJ292" s="1">
        <v>75.0</v>
      </c>
      <c r="BK292" s="1" t="b">
        <v>0</v>
      </c>
      <c r="BL292" s="1" t="b">
        <v>1</v>
      </c>
      <c r="BM292" s="1">
        <v>13.121</v>
      </c>
      <c r="BN292" s="1">
        <v>14.568</v>
      </c>
      <c r="BO292" s="1" t="b">
        <v>0</v>
      </c>
      <c r="BP292" s="1" t="b">
        <v>1</v>
      </c>
      <c r="BQ292" s="1">
        <v>75.0</v>
      </c>
      <c r="BR292" s="1">
        <v>72.027</v>
      </c>
      <c r="BS292" s="1" t="b">
        <v>0</v>
      </c>
      <c r="BT292" s="1" t="b">
        <v>1</v>
      </c>
      <c r="BU292" s="1" t="s">
        <v>105</v>
      </c>
      <c r="BV292" s="1" t="s">
        <v>157</v>
      </c>
      <c r="BW292" s="1" t="s">
        <v>105</v>
      </c>
      <c r="BX292" s="1" t="s">
        <v>157</v>
      </c>
      <c r="BY292" s="1" t="s">
        <v>105</v>
      </c>
      <c r="BZ292" s="1" t="s">
        <v>157</v>
      </c>
      <c r="CA292" s="1" t="s">
        <v>105</v>
      </c>
      <c r="CB292" s="1" t="s">
        <v>157</v>
      </c>
      <c r="CC292" s="1" t="s">
        <v>157</v>
      </c>
      <c r="CD292" s="1" t="s">
        <v>157</v>
      </c>
      <c r="CE292" s="4"/>
      <c r="CF292" s="4"/>
    </row>
    <row r="293" hidden="1">
      <c r="A293" s="1" t="s">
        <v>82</v>
      </c>
      <c r="B293" s="1" t="s">
        <v>251</v>
      </c>
      <c r="C293" s="1">
        <v>30.0</v>
      </c>
      <c r="D293" s="5" t="s">
        <v>1369</v>
      </c>
      <c r="E293" s="1" t="s">
        <v>1370</v>
      </c>
      <c r="F293" s="1">
        <v>18.0</v>
      </c>
      <c r="G293" s="1">
        <v>0.5719</v>
      </c>
      <c r="H293" s="1" t="s">
        <v>1371</v>
      </c>
      <c r="I293" s="4" t="b">
        <f>IFERROR(__xludf.DUMMYFUNCTION("IF(H293="""",,REGEXMATCH(H293,""[א-ת]""))"),FALSE)</f>
        <v>0</v>
      </c>
      <c r="J293" s="4"/>
      <c r="K293" s="4"/>
      <c r="L293" s="1">
        <v>0.0</v>
      </c>
      <c r="M293" s="1">
        <v>17.49</v>
      </c>
      <c r="N293" s="1">
        <v>66.67</v>
      </c>
      <c r="O293" s="1">
        <v>3.703888889</v>
      </c>
      <c r="P293" s="4"/>
      <c r="Q293" s="4"/>
      <c r="R293" s="1" t="s">
        <v>89</v>
      </c>
      <c r="S293" s="1" t="s">
        <v>1370</v>
      </c>
      <c r="T293" s="1" t="s">
        <v>251</v>
      </c>
      <c r="U293" s="1">
        <v>31.0</v>
      </c>
      <c r="V293" s="5" t="s">
        <v>1369</v>
      </c>
      <c r="W293" s="1" t="s">
        <v>1370</v>
      </c>
      <c r="X293" s="1" t="s">
        <v>1372</v>
      </c>
      <c r="Y293" s="4"/>
      <c r="Z293" s="4"/>
      <c r="AA293" s="4" t="b">
        <f>IFERROR(__xludf.DUMMYFUNCTION("IF(X293="""",,REGEXMATCH(X293,""[א-ת]""))"),FALSE)</f>
        <v>0</v>
      </c>
      <c r="AB293" s="1">
        <v>39.65</v>
      </c>
      <c r="AC293" s="1">
        <v>38.89</v>
      </c>
      <c r="AD293" s="1">
        <v>0.664940528983114</v>
      </c>
      <c r="AE293" s="1">
        <v>0.0</v>
      </c>
      <c r="AF293" s="1">
        <v>0.5719</v>
      </c>
      <c r="AG293" s="1">
        <v>6.337</v>
      </c>
      <c r="AH293" s="1">
        <v>6.781</v>
      </c>
      <c r="AI293" s="1" t="b">
        <v>0</v>
      </c>
      <c r="AJ293" s="1" t="b">
        <v>0</v>
      </c>
      <c r="AK293" s="1">
        <v>94.182</v>
      </c>
      <c r="AL293" s="1">
        <v>96.508</v>
      </c>
      <c r="AM293" s="1" t="b">
        <v>0</v>
      </c>
      <c r="AN293" s="1" t="b">
        <v>0</v>
      </c>
      <c r="AO293" s="1">
        <v>8.05</v>
      </c>
      <c r="AP293" s="1">
        <v>8.53399999999999</v>
      </c>
      <c r="AQ293" s="1" t="b">
        <v>0</v>
      </c>
      <c r="AR293" s="1" t="b">
        <v>0</v>
      </c>
      <c r="AS293" s="1">
        <v>86.9179999999999</v>
      </c>
      <c r="AT293" s="1">
        <v>87.152</v>
      </c>
      <c r="AU293" s="1" t="b">
        <v>0</v>
      </c>
      <c r="AV293" s="1" t="b">
        <v>0</v>
      </c>
      <c r="AW293" s="1">
        <v>9.61399999999999</v>
      </c>
      <c r="AX293" s="1">
        <v>11.026</v>
      </c>
      <c r="AY293" s="1" t="b">
        <v>0</v>
      </c>
      <c r="AZ293" s="1" t="b">
        <v>0</v>
      </c>
      <c r="BA293" s="1">
        <v>81.25</v>
      </c>
      <c r="BB293" s="1">
        <v>77.78</v>
      </c>
      <c r="BC293" s="1" t="b">
        <v>0</v>
      </c>
      <c r="BD293" s="1" t="b">
        <v>0</v>
      </c>
      <c r="BE293" s="1">
        <v>11.34</v>
      </c>
      <c r="BF293" s="1">
        <v>13.285</v>
      </c>
      <c r="BG293" s="1" t="b">
        <v>0</v>
      </c>
      <c r="BH293" s="1" t="b">
        <v>0</v>
      </c>
      <c r="BI293" s="1">
        <v>77.78</v>
      </c>
      <c r="BJ293" s="1">
        <v>75.0</v>
      </c>
      <c r="BK293" s="1" t="b">
        <v>0</v>
      </c>
      <c r="BL293" s="1" t="b">
        <v>0</v>
      </c>
      <c r="BM293" s="1">
        <v>13.121</v>
      </c>
      <c r="BN293" s="1">
        <v>14.568</v>
      </c>
      <c r="BO293" s="1" t="b">
        <v>0</v>
      </c>
      <c r="BP293" s="1" t="b">
        <v>0</v>
      </c>
      <c r="BQ293" s="1">
        <v>75.0</v>
      </c>
      <c r="BR293" s="1">
        <v>72.027</v>
      </c>
      <c r="BS293" s="1" t="b">
        <v>0</v>
      </c>
      <c r="BT293" s="1" t="b">
        <v>0</v>
      </c>
      <c r="BU293" s="1" t="s">
        <v>105</v>
      </c>
      <c r="BV293" s="1" t="s">
        <v>105</v>
      </c>
      <c r="BW293" s="1" t="s">
        <v>105</v>
      </c>
      <c r="BX293" s="1" t="s">
        <v>105</v>
      </c>
      <c r="BY293" s="1" t="s">
        <v>105</v>
      </c>
      <c r="BZ293" s="1" t="s">
        <v>105</v>
      </c>
      <c r="CA293" s="1" t="s">
        <v>105</v>
      </c>
      <c r="CB293" s="1" t="s">
        <v>105</v>
      </c>
      <c r="CC293" s="1" t="s">
        <v>105</v>
      </c>
      <c r="CD293" s="1" t="s">
        <v>105</v>
      </c>
      <c r="CE293" s="4"/>
      <c r="CF293" s="4"/>
    </row>
    <row r="294" hidden="1">
      <c r="A294" s="1" t="s">
        <v>82</v>
      </c>
      <c r="B294" s="1" t="s">
        <v>304</v>
      </c>
      <c r="C294" s="1">
        <v>16.0</v>
      </c>
      <c r="D294" s="5" t="s">
        <v>1373</v>
      </c>
      <c r="E294" s="1" t="s">
        <v>1374</v>
      </c>
      <c r="F294" s="1">
        <v>27.0</v>
      </c>
      <c r="G294" s="1">
        <v>0.9313</v>
      </c>
      <c r="H294" s="1" t="s">
        <v>1375</v>
      </c>
      <c r="I294" s="4" t="b">
        <f>IFERROR(__xludf.DUMMYFUNCTION("IF(H294="""",,REGEXMATCH(H294,""[א-ת]""))"),FALSE)</f>
        <v>0</v>
      </c>
      <c r="J294" s="4"/>
      <c r="K294" s="4"/>
      <c r="L294" s="1">
        <v>-0.296</v>
      </c>
      <c r="M294" s="1">
        <v>17.55</v>
      </c>
      <c r="N294" s="1">
        <v>81.48</v>
      </c>
      <c r="O294" s="1">
        <v>3.017777778</v>
      </c>
      <c r="P294" s="4"/>
      <c r="Q294" s="4"/>
      <c r="R294" s="1" t="s">
        <v>89</v>
      </c>
      <c r="S294" s="1" t="s">
        <v>1374</v>
      </c>
      <c r="T294" s="1" t="s">
        <v>304</v>
      </c>
      <c r="U294" s="1">
        <v>17.0</v>
      </c>
      <c r="V294" s="5" t="s">
        <v>1373</v>
      </c>
      <c r="W294" s="1" t="s">
        <v>1374</v>
      </c>
      <c r="X294" s="1" t="s">
        <v>1376</v>
      </c>
      <c r="Y294" s="4"/>
      <c r="Z294" s="4"/>
      <c r="AA294" s="4" t="b">
        <f>IFERROR(__xludf.DUMMYFUNCTION("IF(X294="""",,REGEXMATCH(X294,""[א-ת]""))"),FALSE)</f>
        <v>0</v>
      </c>
      <c r="AB294" s="1">
        <v>17.55</v>
      </c>
      <c r="AC294" s="1">
        <v>81.48</v>
      </c>
      <c r="AD294" s="1">
        <v>0.120009043715585</v>
      </c>
      <c r="AE294" s="1">
        <v>-0.296</v>
      </c>
      <c r="AF294" s="1">
        <v>0.9313</v>
      </c>
      <c r="AG294" s="1">
        <v>6.337</v>
      </c>
      <c r="AH294" s="1">
        <v>6.781</v>
      </c>
      <c r="AI294" s="1" t="b">
        <v>0</v>
      </c>
      <c r="AJ294" s="1" t="b">
        <v>0</v>
      </c>
      <c r="AK294" s="1">
        <v>94.182</v>
      </c>
      <c r="AL294" s="1">
        <v>96.508</v>
      </c>
      <c r="AM294" s="1" t="b">
        <v>0</v>
      </c>
      <c r="AN294" s="1" t="b">
        <v>0</v>
      </c>
      <c r="AO294" s="1">
        <v>8.05</v>
      </c>
      <c r="AP294" s="1">
        <v>8.53399999999999</v>
      </c>
      <c r="AQ294" s="1" t="b">
        <v>0</v>
      </c>
      <c r="AR294" s="1" t="b">
        <v>0</v>
      </c>
      <c r="AS294" s="1">
        <v>86.9179999999999</v>
      </c>
      <c r="AT294" s="1">
        <v>87.152</v>
      </c>
      <c r="AU294" s="1" t="b">
        <v>0</v>
      </c>
      <c r="AV294" s="1" t="b">
        <v>0</v>
      </c>
      <c r="AW294" s="1">
        <v>9.61399999999999</v>
      </c>
      <c r="AX294" s="1">
        <v>11.026</v>
      </c>
      <c r="AY294" s="1" t="b">
        <v>0</v>
      </c>
      <c r="AZ294" s="1" t="b">
        <v>0</v>
      </c>
      <c r="BA294" s="1">
        <v>81.25</v>
      </c>
      <c r="BB294" s="1">
        <v>77.78</v>
      </c>
      <c r="BC294" s="1" t="b">
        <v>1</v>
      </c>
      <c r="BD294" s="1" t="b">
        <v>1</v>
      </c>
      <c r="BE294" s="1">
        <v>11.34</v>
      </c>
      <c r="BF294" s="1">
        <v>13.285</v>
      </c>
      <c r="BG294" s="1" t="b">
        <v>0</v>
      </c>
      <c r="BH294" s="1" t="b">
        <v>0</v>
      </c>
      <c r="BI294" s="1">
        <v>77.78</v>
      </c>
      <c r="BJ294" s="1">
        <v>75.0</v>
      </c>
      <c r="BK294" s="1" t="b">
        <v>1</v>
      </c>
      <c r="BL294" s="1" t="b">
        <v>1</v>
      </c>
      <c r="BM294" s="1">
        <v>13.121</v>
      </c>
      <c r="BN294" s="1">
        <v>14.568</v>
      </c>
      <c r="BO294" s="1" t="b">
        <v>0</v>
      </c>
      <c r="BP294" s="1" t="b">
        <v>0</v>
      </c>
      <c r="BQ294" s="1">
        <v>75.0</v>
      </c>
      <c r="BR294" s="1">
        <v>72.027</v>
      </c>
      <c r="BS294" s="1" t="b">
        <v>1</v>
      </c>
      <c r="BT294" s="1" t="b">
        <v>1</v>
      </c>
      <c r="BU294" s="1" t="s">
        <v>105</v>
      </c>
      <c r="BV294" s="1" t="s">
        <v>105</v>
      </c>
      <c r="BW294" s="1" t="s">
        <v>105</v>
      </c>
      <c r="BX294" s="1" t="s">
        <v>105</v>
      </c>
      <c r="BY294" s="1" t="s">
        <v>105</v>
      </c>
      <c r="BZ294" s="1" t="s">
        <v>104</v>
      </c>
      <c r="CA294" s="1" t="s">
        <v>105</v>
      </c>
      <c r="CB294" s="1" t="s">
        <v>104</v>
      </c>
      <c r="CC294" s="1" t="s">
        <v>105</v>
      </c>
      <c r="CD294" s="1" t="s">
        <v>104</v>
      </c>
      <c r="CE294" s="4"/>
      <c r="CF294" s="4"/>
    </row>
    <row r="295" hidden="1">
      <c r="A295" s="1" t="s">
        <v>82</v>
      </c>
      <c r="B295" s="1" t="s">
        <v>333</v>
      </c>
      <c r="C295" s="1">
        <v>16.0</v>
      </c>
      <c r="D295" s="5" t="s">
        <v>1377</v>
      </c>
      <c r="E295" s="1" t="s">
        <v>1378</v>
      </c>
      <c r="F295" s="1">
        <v>49.0</v>
      </c>
      <c r="G295" s="1">
        <v>-0.9468</v>
      </c>
      <c r="H295" s="1" t="s">
        <v>1379</v>
      </c>
      <c r="I295" s="4" t="b">
        <f>IFERROR(__xludf.DUMMYFUNCTION("IF(H295="""",,REGEXMATCH(H295,""[א-ת]""))"),FALSE)</f>
        <v>0</v>
      </c>
      <c r="J295" s="4"/>
      <c r="K295" s="4"/>
      <c r="L295" s="1">
        <v>-0.9701</v>
      </c>
      <c r="M295" s="1">
        <v>17.59</v>
      </c>
      <c r="N295" s="1">
        <v>65.31</v>
      </c>
      <c r="O295" s="1">
        <v>1.332857143</v>
      </c>
      <c r="P295" s="4"/>
      <c r="Q295" s="4"/>
      <c r="R295" s="1" t="s">
        <v>89</v>
      </c>
      <c r="S295" s="1" t="s">
        <v>1378</v>
      </c>
      <c r="T295" s="1" t="s">
        <v>333</v>
      </c>
      <c r="U295" s="1">
        <v>17.0</v>
      </c>
      <c r="V295" s="5" t="s">
        <v>1377</v>
      </c>
      <c r="W295" s="1" t="s">
        <v>1378</v>
      </c>
      <c r="X295" s="1" t="s">
        <v>1380</v>
      </c>
      <c r="Y295" s="4"/>
      <c r="Z295" s="4"/>
      <c r="AA295" s="4" t="b">
        <f>IFERROR(__xludf.DUMMYFUNCTION("IF(X295="""",,REGEXMATCH(X295,""[א-ת]""))"),FALSE)</f>
        <v>0</v>
      </c>
      <c r="AB295" s="1">
        <v>11.16</v>
      </c>
      <c r="AC295" s="1">
        <v>71.43</v>
      </c>
      <c r="AD295" s="1">
        <v>0.604115707973229</v>
      </c>
      <c r="AE295" s="1">
        <v>-0.9533</v>
      </c>
      <c r="AF295" s="1">
        <v>-0.9468</v>
      </c>
      <c r="AG295" s="1">
        <v>6.337</v>
      </c>
      <c r="AH295" s="1">
        <v>6.781</v>
      </c>
      <c r="AI295" s="1" t="b">
        <v>0</v>
      </c>
      <c r="AJ295" s="1" t="b">
        <v>0</v>
      </c>
      <c r="AK295" s="1">
        <v>94.182</v>
      </c>
      <c r="AL295" s="1">
        <v>96.508</v>
      </c>
      <c r="AM295" s="1" t="b">
        <v>0</v>
      </c>
      <c r="AN295" s="1" t="b">
        <v>0</v>
      </c>
      <c r="AO295" s="1">
        <v>8.05</v>
      </c>
      <c r="AP295" s="1">
        <v>8.53399999999999</v>
      </c>
      <c r="AQ295" s="1" t="b">
        <v>0</v>
      </c>
      <c r="AR295" s="1" t="b">
        <v>0</v>
      </c>
      <c r="AS295" s="1">
        <v>86.9179999999999</v>
      </c>
      <c r="AT295" s="1">
        <v>87.152</v>
      </c>
      <c r="AU295" s="1" t="b">
        <v>0</v>
      </c>
      <c r="AV295" s="1" t="b">
        <v>0</v>
      </c>
      <c r="AW295" s="1">
        <v>9.61399999999999</v>
      </c>
      <c r="AX295" s="1">
        <v>11.026</v>
      </c>
      <c r="AY295" s="1" t="b">
        <v>0</v>
      </c>
      <c r="AZ295" s="1" t="b">
        <v>0</v>
      </c>
      <c r="BA295" s="1">
        <v>81.25</v>
      </c>
      <c r="BB295" s="1">
        <v>77.78</v>
      </c>
      <c r="BC295" s="1" t="b">
        <v>0</v>
      </c>
      <c r="BD295" s="1" t="b">
        <v>0</v>
      </c>
      <c r="BE295" s="1">
        <v>11.34</v>
      </c>
      <c r="BF295" s="1">
        <v>13.285</v>
      </c>
      <c r="BG295" s="1" t="b">
        <v>0</v>
      </c>
      <c r="BH295" s="1" t="b">
        <v>1</v>
      </c>
      <c r="BI295" s="1">
        <v>77.78</v>
      </c>
      <c r="BJ295" s="1">
        <v>75.0</v>
      </c>
      <c r="BK295" s="1" t="b">
        <v>0</v>
      </c>
      <c r="BL295" s="1" t="b">
        <v>0</v>
      </c>
      <c r="BM295" s="1">
        <v>13.121</v>
      </c>
      <c r="BN295" s="1">
        <v>14.568</v>
      </c>
      <c r="BO295" s="1" t="b">
        <v>0</v>
      </c>
      <c r="BP295" s="1" t="b">
        <v>1</v>
      </c>
      <c r="BQ295" s="1">
        <v>75.0</v>
      </c>
      <c r="BR295" s="1">
        <v>72.027</v>
      </c>
      <c r="BS295" s="1" t="b">
        <v>0</v>
      </c>
      <c r="BT295" s="1" t="b">
        <v>0</v>
      </c>
      <c r="BU295" s="1" t="s">
        <v>105</v>
      </c>
      <c r="BV295" s="1" t="s">
        <v>105</v>
      </c>
      <c r="BW295" s="1" t="s">
        <v>105</v>
      </c>
      <c r="BX295" s="1" t="s">
        <v>105</v>
      </c>
      <c r="BY295" s="1" t="s">
        <v>105</v>
      </c>
      <c r="BZ295" s="1" t="s">
        <v>105</v>
      </c>
      <c r="CA295" s="1" t="s">
        <v>157</v>
      </c>
      <c r="CB295" s="1" t="s">
        <v>105</v>
      </c>
      <c r="CC295" s="1" t="s">
        <v>157</v>
      </c>
      <c r="CD295" s="1" t="s">
        <v>105</v>
      </c>
      <c r="CE295" s="4"/>
      <c r="CF295" s="4"/>
    </row>
    <row r="296" hidden="1">
      <c r="A296" s="1" t="s">
        <v>82</v>
      </c>
      <c r="B296" s="1" t="s">
        <v>176</v>
      </c>
      <c r="C296" s="1">
        <v>11.0</v>
      </c>
      <c r="D296" s="5" t="s">
        <v>1381</v>
      </c>
      <c r="E296" s="1" t="s">
        <v>1382</v>
      </c>
      <c r="F296" s="1">
        <v>45.0</v>
      </c>
      <c r="G296" s="1">
        <v>0.4588</v>
      </c>
      <c r="H296" s="1" t="s">
        <v>1383</v>
      </c>
      <c r="I296" s="4" t="b">
        <f>IFERROR(__xludf.DUMMYFUNCTION("IF(H296="""",,REGEXMATCH(H296,""[א-ת]""))"),FALSE)</f>
        <v>0</v>
      </c>
      <c r="J296" s="4"/>
      <c r="K296" s="4"/>
      <c r="L296" s="1">
        <v>0.0772</v>
      </c>
      <c r="M296" s="1">
        <v>17.64</v>
      </c>
      <c r="N296" s="1">
        <v>64.44</v>
      </c>
      <c r="O296" s="1">
        <v>1.432</v>
      </c>
      <c r="P296" s="4"/>
      <c r="Q296" s="4"/>
      <c r="R296" s="1" t="s">
        <v>89</v>
      </c>
      <c r="S296" s="1" t="s">
        <v>1382</v>
      </c>
      <c r="T296" s="1" t="s">
        <v>176</v>
      </c>
      <c r="U296" s="1">
        <v>12.0</v>
      </c>
      <c r="V296" s="5" t="s">
        <v>1381</v>
      </c>
      <c r="W296" s="1" t="s">
        <v>1382</v>
      </c>
      <c r="X296" s="1" t="s">
        <v>1384</v>
      </c>
      <c r="Y296" s="4"/>
      <c r="Z296" s="4"/>
      <c r="AA296" s="4" t="b">
        <f>IFERROR(__xludf.DUMMYFUNCTION("IF(X296="""",,REGEXMATCH(X296,""[א-ת]""))"),FALSE)</f>
        <v>0</v>
      </c>
      <c r="AB296" s="1">
        <v>27.4</v>
      </c>
      <c r="AC296" s="1">
        <v>57.78</v>
      </c>
      <c r="AD296" s="1">
        <v>0.775624196570145</v>
      </c>
      <c r="AE296" s="1">
        <v>0.0772</v>
      </c>
      <c r="AF296" s="1">
        <v>0.4588</v>
      </c>
      <c r="AG296" s="1">
        <v>6.337</v>
      </c>
      <c r="AH296" s="1">
        <v>6.781</v>
      </c>
      <c r="AI296" s="1" t="b">
        <v>0</v>
      </c>
      <c r="AJ296" s="1" t="b">
        <v>0</v>
      </c>
      <c r="AK296" s="1">
        <v>94.182</v>
      </c>
      <c r="AL296" s="1">
        <v>96.508</v>
      </c>
      <c r="AM296" s="1" t="b">
        <v>0</v>
      </c>
      <c r="AN296" s="1" t="b">
        <v>0</v>
      </c>
      <c r="AO296" s="1">
        <v>8.05</v>
      </c>
      <c r="AP296" s="1">
        <v>8.53399999999999</v>
      </c>
      <c r="AQ296" s="1" t="b">
        <v>0</v>
      </c>
      <c r="AR296" s="1" t="b">
        <v>0</v>
      </c>
      <c r="AS296" s="1">
        <v>86.9179999999999</v>
      </c>
      <c r="AT296" s="1">
        <v>87.152</v>
      </c>
      <c r="AU296" s="1" t="b">
        <v>0</v>
      </c>
      <c r="AV296" s="1" t="b">
        <v>0</v>
      </c>
      <c r="AW296" s="1">
        <v>9.61399999999999</v>
      </c>
      <c r="AX296" s="1">
        <v>11.026</v>
      </c>
      <c r="AY296" s="1" t="b">
        <v>0</v>
      </c>
      <c r="AZ296" s="1" t="b">
        <v>0</v>
      </c>
      <c r="BA296" s="1">
        <v>81.25</v>
      </c>
      <c r="BB296" s="1">
        <v>77.78</v>
      </c>
      <c r="BC296" s="1" t="b">
        <v>0</v>
      </c>
      <c r="BD296" s="1" t="b">
        <v>0</v>
      </c>
      <c r="BE296" s="1">
        <v>11.34</v>
      </c>
      <c r="BF296" s="1">
        <v>13.285</v>
      </c>
      <c r="BG296" s="1" t="b">
        <v>0</v>
      </c>
      <c r="BH296" s="1" t="b">
        <v>0</v>
      </c>
      <c r="BI296" s="1">
        <v>77.78</v>
      </c>
      <c r="BJ296" s="1">
        <v>75.0</v>
      </c>
      <c r="BK296" s="1" t="b">
        <v>0</v>
      </c>
      <c r="BL296" s="1" t="b">
        <v>0</v>
      </c>
      <c r="BM296" s="1">
        <v>13.121</v>
      </c>
      <c r="BN296" s="1">
        <v>14.568</v>
      </c>
      <c r="BO296" s="1" t="b">
        <v>0</v>
      </c>
      <c r="BP296" s="1" t="b">
        <v>0</v>
      </c>
      <c r="BQ296" s="1">
        <v>75.0</v>
      </c>
      <c r="BR296" s="1">
        <v>72.027</v>
      </c>
      <c r="BS296" s="1" t="b">
        <v>0</v>
      </c>
      <c r="BT296" s="1" t="b">
        <v>0</v>
      </c>
      <c r="BU296" s="1" t="s">
        <v>105</v>
      </c>
      <c r="BV296" s="1" t="s">
        <v>105</v>
      </c>
      <c r="BW296" s="1" t="s">
        <v>105</v>
      </c>
      <c r="BX296" s="1" t="s">
        <v>105</v>
      </c>
      <c r="BY296" s="1" t="s">
        <v>105</v>
      </c>
      <c r="BZ296" s="1" t="s">
        <v>105</v>
      </c>
      <c r="CA296" s="1" t="s">
        <v>105</v>
      </c>
      <c r="CB296" s="1" t="s">
        <v>105</v>
      </c>
      <c r="CC296" s="1" t="s">
        <v>105</v>
      </c>
      <c r="CD296" s="1" t="s">
        <v>105</v>
      </c>
      <c r="CE296" s="4"/>
      <c r="CF296" s="4"/>
    </row>
    <row r="297" hidden="1">
      <c r="A297" s="1" t="s">
        <v>82</v>
      </c>
      <c r="B297" s="1" t="s">
        <v>152</v>
      </c>
      <c r="C297" s="1">
        <v>2.0</v>
      </c>
      <c r="D297" s="5" t="s">
        <v>1385</v>
      </c>
      <c r="E297" s="1" t="s">
        <v>1386</v>
      </c>
      <c r="F297" s="1">
        <v>39.0</v>
      </c>
      <c r="G297" s="1">
        <v>-0.09</v>
      </c>
      <c r="H297" s="1" t="s">
        <v>1387</v>
      </c>
      <c r="I297" s="4" t="b">
        <f>IFERROR(__xludf.DUMMYFUNCTION("IF(H297="""",,REGEXMATCH(H297,""[א-ת]""))"),FALSE)</f>
        <v>0</v>
      </c>
      <c r="J297" s="4"/>
      <c r="K297" s="4"/>
      <c r="L297" s="1">
        <v>0.0</v>
      </c>
      <c r="M297" s="1">
        <v>17.79</v>
      </c>
      <c r="N297" s="1">
        <v>64.1</v>
      </c>
      <c r="O297" s="1">
        <v>1.643589744</v>
      </c>
      <c r="P297" s="4"/>
      <c r="Q297" s="4"/>
      <c r="R297" s="1" t="s">
        <v>89</v>
      </c>
      <c r="S297" s="1" t="s">
        <v>1386</v>
      </c>
      <c r="T297" s="1" t="s">
        <v>152</v>
      </c>
      <c r="U297" s="1">
        <v>3.0</v>
      </c>
      <c r="V297" s="5" t="s">
        <v>1385</v>
      </c>
      <c r="W297" s="1" t="s">
        <v>1386</v>
      </c>
      <c r="X297" s="1" t="s">
        <v>1388</v>
      </c>
      <c r="Y297" s="4"/>
      <c r="Z297" s="4"/>
      <c r="AA297" s="4" t="b">
        <f>IFERROR(__xludf.DUMMYFUNCTION("IF(X297="""",,REGEXMATCH(X297,""[א-ת]""))"),TRUE)</f>
        <v>1</v>
      </c>
      <c r="AB297" s="1">
        <v>17.3</v>
      </c>
      <c r="AC297" s="1">
        <v>97.44</v>
      </c>
      <c r="AD297" s="1">
        <v>0.634522396311841</v>
      </c>
      <c r="AE297" s="1">
        <v>0.0</v>
      </c>
      <c r="AF297" s="1">
        <v>-0.09</v>
      </c>
      <c r="AG297" s="1">
        <v>6.337</v>
      </c>
      <c r="AH297" s="1">
        <v>6.781</v>
      </c>
      <c r="AI297" s="1" t="b">
        <v>0</v>
      </c>
      <c r="AJ297" s="1" t="b">
        <v>0</v>
      </c>
      <c r="AK297" s="1">
        <v>94.182</v>
      </c>
      <c r="AL297" s="1">
        <v>96.508</v>
      </c>
      <c r="AM297" s="1" t="b">
        <v>0</v>
      </c>
      <c r="AN297" s="1" t="b">
        <v>1</v>
      </c>
      <c r="AO297" s="1">
        <v>8.05</v>
      </c>
      <c r="AP297" s="1">
        <v>8.53399999999999</v>
      </c>
      <c r="AQ297" s="1" t="b">
        <v>0</v>
      </c>
      <c r="AR297" s="1" t="b">
        <v>0</v>
      </c>
      <c r="AS297" s="1">
        <v>86.9179999999999</v>
      </c>
      <c r="AT297" s="1">
        <v>87.152</v>
      </c>
      <c r="AU297" s="1" t="b">
        <v>0</v>
      </c>
      <c r="AV297" s="1" t="b">
        <v>1</v>
      </c>
      <c r="AW297" s="1">
        <v>9.61399999999999</v>
      </c>
      <c r="AX297" s="1">
        <v>11.026</v>
      </c>
      <c r="AY297" s="1" t="b">
        <v>0</v>
      </c>
      <c r="AZ297" s="1" t="b">
        <v>0</v>
      </c>
      <c r="BA297" s="1">
        <v>81.25</v>
      </c>
      <c r="BB297" s="1">
        <v>77.78</v>
      </c>
      <c r="BC297" s="1" t="b">
        <v>0</v>
      </c>
      <c r="BD297" s="1" t="b">
        <v>1</v>
      </c>
      <c r="BE297" s="1">
        <v>11.34</v>
      </c>
      <c r="BF297" s="1">
        <v>13.285</v>
      </c>
      <c r="BG297" s="1" t="b">
        <v>0</v>
      </c>
      <c r="BH297" s="1" t="b">
        <v>0</v>
      </c>
      <c r="BI297" s="1">
        <v>77.78</v>
      </c>
      <c r="BJ297" s="1">
        <v>75.0</v>
      </c>
      <c r="BK297" s="1" t="b">
        <v>0</v>
      </c>
      <c r="BL297" s="1" t="b">
        <v>1</v>
      </c>
      <c r="BM297" s="1">
        <v>13.121</v>
      </c>
      <c r="BN297" s="1">
        <v>14.568</v>
      </c>
      <c r="BO297" s="1" t="b">
        <v>0</v>
      </c>
      <c r="BP297" s="1" t="b">
        <v>0</v>
      </c>
      <c r="BQ297" s="1">
        <v>75.0</v>
      </c>
      <c r="BR297" s="1">
        <v>72.027</v>
      </c>
      <c r="BS297" s="1" t="b">
        <v>0</v>
      </c>
      <c r="BT297" s="1" t="b">
        <v>1</v>
      </c>
      <c r="BU297" s="1" t="s">
        <v>105</v>
      </c>
      <c r="BV297" s="1" t="s">
        <v>157</v>
      </c>
      <c r="BW297" s="1" t="s">
        <v>105</v>
      </c>
      <c r="BX297" s="1" t="s">
        <v>157</v>
      </c>
      <c r="BY297" s="1" t="s">
        <v>105</v>
      </c>
      <c r="BZ297" s="1" t="s">
        <v>157</v>
      </c>
      <c r="CA297" s="1" t="s">
        <v>105</v>
      </c>
      <c r="CB297" s="1" t="s">
        <v>157</v>
      </c>
      <c r="CC297" s="1" t="s">
        <v>105</v>
      </c>
      <c r="CD297" s="1" t="s">
        <v>157</v>
      </c>
      <c r="CE297" s="4"/>
      <c r="CF297" s="4"/>
    </row>
    <row r="298" hidden="1">
      <c r="A298" s="1" t="s">
        <v>82</v>
      </c>
      <c r="B298" s="1" t="s">
        <v>111</v>
      </c>
      <c r="C298" s="1">
        <v>65.0</v>
      </c>
      <c r="D298" s="5" t="s">
        <v>1389</v>
      </c>
      <c r="E298" s="1" t="s">
        <v>1390</v>
      </c>
      <c r="F298" s="1">
        <v>66.0</v>
      </c>
      <c r="G298" s="1">
        <v>-0.0772</v>
      </c>
      <c r="H298" s="1" t="s">
        <v>1391</v>
      </c>
      <c r="I298" s="4" t="b">
        <f>IFERROR(__xludf.DUMMYFUNCTION("IF(H298="""",,REGEXMATCH(H298,""[א-ת]""))"),FALSE)</f>
        <v>0</v>
      </c>
      <c r="J298" s="4"/>
      <c r="K298" s="4"/>
      <c r="L298" s="1">
        <v>-0.5267</v>
      </c>
      <c r="M298" s="1">
        <v>17.86</v>
      </c>
      <c r="N298" s="1">
        <v>65.15</v>
      </c>
      <c r="O298" s="1">
        <v>0.9871212121</v>
      </c>
      <c r="P298" s="4"/>
      <c r="Q298" s="4"/>
      <c r="R298" s="1" t="s">
        <v>89</v>
      </c>
      <c r="S298" s="1" t="s">
        <v>1390</v>
      </c>
      <c r="T298" s="1" t="s">
        <v>111</v>
      </c>
      <c r="U298" s="1">
        <v>66.0</v>
      </c>
      <c r="V298" s="5" t="s">
        <v>1392</v>
      </c>
      <c r="W298" s="1" t="s">
        <v>1390</v>
      </c>
      <c r="X298" s="1" t="s">
        <v>1393</v>
      </c>
      <c r="Y298" s="4"/>
      <c r="Z298" s="4"/>
      <c r="AA298" s="4" t="b">
        <f>IFERROR(__xludf.DUMMYFUNCTION("IF(X298="""",,REGEXMATCH(X298,""[א-ת]""))"),FALSE)</f>
        <v>0</v>
      </c>
      <c r="AB298" s="1">
        <v>48.47</v>
      </c>
      <c r="AC298" s="1">
        <v>31.82</v>
      </c>
      <c r="AD298" s="1">
        <v>0.913548812842449</v>
      </c>
      <c r="AE298" s="1">
        <v>-0.0772</v>
      </c>
      <c r="AF298" s="1">
        <v>-0.0772</v>
      </c>
      <c r="AG298" s="1">
        <v>6.337</v>
      </c>
      <c r="AH298" s="1">
        <v>6.781</v>
      </c>
      <c r="AI298" s="1" t="b">
        <v>0</v>
      </c>
      <c r="AJ298" s="1" t="b">
        <v>0</v>
      </c>
      <c r="AK298" s="1">
        <v>94.182</v>
      </c>
      <c r="AL298" s="1">
        <v>96.508</v>
      </c>
      <c r="AM298" s="1" t="b">
        <v>0</v>
      </c>
      <c r="AN298" s="1" t="b">
        <v>0</v>
      </c>
      <c r="AO298" s="1">
        <v>8.05</v>
      </c>
      <c r="AP298" s="1">
        <v>8.53399999999999</v>
      </c>
      <c r="AQ298" s="1" t="b">
        <v>0</v>
      </c>
      <c r="AR298" s="1" t="b">
        <v>0</v>
      </c>
      <c r="AS298" s="1">
        <v>86.9179999999999</v>
      </c>
      <c r="AT298" s="1">
        <v>87.152</v>
      </c>
      <c r="AU298" s="1" t="b">
        <v>0</v>
      </c>
      <c r="AV298" s="1" t="b">
        <v>0</v>
      </c>
      <c r="AW298" s="1">
        <v>9.61399999999999</v>
      </c>
      <c r="AX298" s="1">
        <v>11.026</v>
      </c>
      <c r="AY298" s="1" t="b">
        <v>0</v>
      </c>
      <c r="AZ298" s="1" t="b">
        <v>0</v>
      </c>
      <c r="BA298" s="1">
        <v>81.25</v>
      </c>
      <c r="BB298" s="1">
        <v>77.78</v>
      </c>
      <c r="BC298" s="1" t="b">
        <v>0</v>
      </c>
      <c r="BD298" s="1" t="b">
        <v>0</v>
      </c>
      <c r="BE298" s="1">
        <v>11.34</v>
      </c>
      <c r="BF298" s="1">
        <v>13.285</v>
      </c>
      <c r="BG298" s="1" t="b">
        <v>0</v>
      </c>
      <c r="BH298" s="1" t="b">
        <v>0</v>
      </c>
      <c r="BI298" s="1">
        <v>77.78</v>
      </c>
      <c r="BJ298" s="1">
        <v>75.0</v>
      </c>
      <c r="BK298" s="1" t="b">
        <v>0</v>
      </c>
      <c r="BL298" s="1" t="b">
        <v>0</v>
      </c>
      <c r="BM298" s="1">
        <v>13.121</v>
      </c>
      <c r="BN298" s="1">
        <v>14.568</v>
      </c>
      <c r="BO298" s="1" t="b">
        <v>0</v>
      </c>
      <c r="BP298" s="1" t="b">
        <v>0</v>
      </c>
      <c r="BQ298" s="1">
        <v>75.0</v>
      </c>
      <c r="BR298" s="1">
        <v>72.027</v>
      </c>
      <c r="BS298" s="1" t="b">
        <v>0</v>
      </c>
      <c r="BT298" s="1" t="b">
        <v>0</v>
      </c>
      <c r="BU298" s="1" t="s">
        <v>105</v>
      </c>
      <c r="BV298" s="1" t="s">
        <v>105</v>
      </c>
      <c r="BW298" s="1" t="s">
        <v>105</v>
      </c>
      <c r="BX298" s="1" t="s">
        <v>105</v>
      </c>
      <c r="BY298" s="1" t="s">
        <v>105</v>
      </c>
      <c r="BZ298" s="1" t="s">
        <v>105</v>
      </c>
      <c r="CA298" s="1" t="s">
        <v>105</v>
      </c>
      <c r="CB298" s="1" t="s">
        <v>105</v>
      </c>
      <c r="CC298" s="1" t="s">
        <v>105</v>
      </c>
      <c r="CD298" s="1" t="s">
        <v>105</v>
      </c>
      <c r="CE298" s="4"/>
      <c r="CF298" s="4"/>
    </row>
    <row r="299" hidden="1">
      <c r="A299" s="1" t="s">
        <v>82</v>
      </c>
      <c r="B299" s="1" t="s">
        <v>197</v>
      </c>
      <c r="C299" s="1">
        <v>8.0</v>
      </c>
      <c r="D299" s="5" t="s">
        <v>1394</v>
      </c>
      <c r="E299" s="1" t="s">
        <v>1395</v>
      </c>
      <c r="F299" s="1">
        <v>37.0</v>
      </c>
      <c r="G299" s="1">
        <v>0.6046</v>
      </c>
      <c r="H299" s="1" t="s">
        <v>1396</v>
      </c>
      <c r="I299" s="4" t="b">
        <f>IFERROR(__xludf.DUMMYFUNCTION("IF(H299="""",,REGEXMATCH(H299,""[א-ת]""))"),FALSE)</f>
        <v>0</v>
      </c>
      <c r="J299" s="4"/>
      <c r="K299" s="4"/>
      <c r="L299" s="1">
        <v>-0.6435</v>
      </c>
      <c r="M299" s="1">
        <v>17.87</v>
      </c>
      <c r="N299" s="1">
        <v>81.08</v>
      </c>
      <c r="O299" s="1">
        <v>2.191351351</v>
      </c>
      <c r="P299" s="4"/>
      <c r="Q299" s="4"/>
      <c r="R299" s="1" t="s">
        <v>89</v>
      </c>
      <c r="S299" s="1" t="s">
        <v>1395</v>
      </c>
      <c r="T299" s="1" t="s">
        <v>197</v>
      </c>
      <c r="U299" s="1">
        <v>9.0</v>
      </c>
      <c r="V299" s="5" t="s">
        <v>1394</v>
      </c>
      <c r="W299" s="1" t="s">
        <v>1395</v>
      </c>
      <c r="X299" s="1" t="s">
        <v>1397</v>
      </c>
      <c r="Y299" s="4"/>
      <c r="Z299" s="4"/>
      <c r="AA299" s="4" t="b">
        <f>IFERROR(__xludf.DUMMYFUNCTION("IF(X299="""",,REGEXMATCH(X299,""[א-ת]""))"),TRUE)</f>
        <v>1</v>
      </c>
      <c r="AB299" s="1">
        <v>27.16</v>
      </c>
      <c r="AC299" s="1">
        <v>64.86</v>
      </c>
      <c r="AD299" s="1">
        <v>0.753613031740793</v>
      </c>
      <c r="AE299" s="1">
        <v>0.6046</v>
      </c>
      <c r="AF299" s="1">
        <v>0.6046</v>
      </c>
      <c r="AG299" s="1">
        <v>6.337</v>
      </c>
      <c r="AH299" s="1">
        <v>6.781</v>
      </c>
      <c r="AI299" s="1" t="b">
        <v>0</v>
      </c>
      <c r="AJ299" s="1" t="b">
        <v>0</v>
      </c>
      <c r="AK299" s="1">
        <v>94.182</v>
      </c>
      <c r="AL299" s="1">
        <v>96.508</v>
      </c>
      <c r="AM299" s="1" t="b">
        <v>0</v>
      </c>
      <c r="AN299" s="1" t="b">
        <v>0</v>
      </c>
      <c r="AO299" s="1">
        <v>8.05</v>
      </c>
      <c r="AP299" s="1">
        <v>8.53399999999999</v>
      </c>
      <c r="AQ299" s="1" t="b">
        <v>0</v>
      </c>
      <c r="AR299" s="1" t="b">
        <v>0</v>
      </c>
      <c r="AS299" s="1">
        <v>86.9179999999999</v>
      </c>
      <c r="AT299" s="1">
        <v>87.152</v>
      </c>
      <c r="AU299" s="1" t="b">
        <v>0</v>
      </c>
      <c r="AV299" s="1" t="b">
        <v>0</v>
      </c>
      <c r="AW299" s="1">
        <v>9.61399999999999</v>
      </c>
      <c r="AX299" s="1">
        <v>11.026</v>
      </c>
      <c r="AY299" s="1" t="b">
        <v>0</v>
      </c>
      <c r="AZ299" s="1" t="b">
        <v>0</v>
      </c>
      <c r="BA299" s="1">
        <v>81.25</v>
      </c>
      <c r="BB299" s="1">
        <v>77.78</v>
      </c>
      <c r="BC299" s="1" t="b">
        <v>0</v>
      </c>
      <c r="BD299" s="1" t="b">
        <v>0</v>
      </c>
      <c r="BE299" s="1">
        <v>11.34</v>
      </c>
      <c r="BF299" s="1">
        <v>13.285</v>
      </c>
      <c r="BG299" s="1" t="b">
        <v>0</v>
      </c>
      <c r="BH299" s="1" t="b">
        <v>0</v>
      </c>
      <c r="BI299" s="1">
        <v>77.78</v>
      </c>
      <c r="BJ299" s="1">
        <v>75.0</v>
      </c>
      <c r="BK299" s="1" t="b">
        <v>1</v>
      </c>
      <c r="BL299" s="1" t="b">
        <v>0</v>
      </c>
      <c r="BM299" s="1">
        <v>13.121</v>
      </c>
      <c r="BN299" s="1">
        <v>14.568</v>
      </c>
      <c r="BO299" s="1" t="b">
        <v>0</v>
      </c>
      <c r="BP299" s="1" t="b">
        <v>0</v>
      </c>
      <c r="BQ299" s="1">
        <v>75.0</v>
      </c>
      <c r="BR299" s="1">
        <v>72.027</v>
      </c>
      <c r="BS299" s="1" t="b">
        <v>1</v>
      </c>
      <c r="BT299" s="1" t="b">
        <v>0</v>
      </c>
      <c r="BU299" s="1" t="s">
        <v>105</v>
      </c>
      <c r="BV299" s="1" t="s">
        <v>105</v>
      </c>
      <c r="BW299" s="1" t="s">
        <v>105</v>
      </c>
      <c r="BX299" s="1" t="s">
        <v>105</v>
      </c>
      <c r="BY299" s="1" t="s">
        <v>105</v>
      </c>
      <c r="BZ299" s="1" t="s">
        <v>105</v>
      </c>
      <c r="CA299" s="1" t="s">
        <v>105</v>
      </c>
      <c r="CB299" s="1" t="s">
        <v>91</v>
      </c>
      <c r="CC299" s="1" t="s">
        <v>105</v>
      </c>
      <c r="CD299" s="1" t="s">
        <v>91</v>
      </c>
      <c r="CE299" s="4"/>
      <c r="CF299" s="4"/>
    </row>
    <row r="300" hidden="1">
      <c r="A300" s="1" t="s">
        <v>82</v>
      </c>
      <c r="B300" s="1" t="s">
        <v>123</v>
      </c>
      <c r="C300" s="1">
        <v>0.0</v>
      </c>
      <c r="D300" s="5" t="s">
        <v>1398</v>
      </c>
      <c r="E300" s="1" t="s">
        <v>1399</v>
      </c>
      <c r="F300" s="1">
        <v>50.0</v>
      </c>
      <c r="G300" s="1">
        <v>-0.7351</v>
      </c>
      <c r="H300" s="1" t="s">
        <v>1400</v>
      </c>
      <c r="I300" s="4" t="b">
        <f>IFERROR(__xludf.DUMMYFUNCTION("IF(H300="""",,REGEXMATCH(H300,""[א-ת]""))"),FALSE)</f>
        <v>0</v>
      </c>
      <c r="J300" s="4"/>
      <c r="K300" s="4"/>
      <c r="L300" s="1">
        <v>-0.8402</v>
      </c>
      <c r="M300" s="1">
        <v>17.89</v>
      </c>
      <c r="N300" s="1">
        <v>84.0</v>
      </c>
      <c r="O300" s="1">
        <v>1.68</v>
      </c>
      <c r="P300" s="4"/>
      <c r="Q300" s="4"/>
      <c r="R300" s="1" t="s">
        <v>127</v>
      </c>
      <c r="S300" s="1" t="s">
        <v>1399</v>
      </c>
      <c r="T300" s="1" t="s">
        <v>123</v>
      </c>
      <c r="U300" s="1">
        <v>1.0</v>
      </c>
      <c r="V300" s="5" t="s">
        <v>1398</v>
      </c>
      <c r="W300" s="1" t="s">
        <v>1399</v>
      </c>
      <c r="X300" s="1" t="s">
        <v>1401</v>
      </c>
      <c r="Y300" s="4"/>
      <c r="Z300" s="4"/>
      <c r="AA300" s="4" t="b">
        <f>IFERROR(__xludf.DUMMYFUNCTION("IF(X300="""",,REGEXMATCH(X300,""[א-ת]""))"),FALSE)</f>
        <v>0</v>
      </c>
      <c r="AB300" s="1">
        <v>13.0</v>
      </c>
      <c r="AC300" s="1">
        <v>76.0</v>
      </c>
      <c r="AD300" s="1">
        <v>0.382878707029263</v>
      </c>
      <c r="AE300" s="1">
        <v>-0.296</v>
      </c>
      <c r="AF300" s="1">
        <v>-0.7351</v>
      </c>
      <c r="AG300" s="1">
        <v>6.337</v>
      </c>
      <c r="AH300" s="1">
        <v>6.781</v>
      </c>
      <c r="AI300" s="1" t="b">
        <v>0</v>
      </c>
      <c r="AJ300" s="1" t="b">
        <v>0</v>
      </c>
      <c r="AK300" s="1">
        <v>94.182</v>
      </c>
      <c r="AL300" s="1">
        <v>96.508</v>
      </c>
      <c r="AM300" s="1" t="b">
        <v>0</v>
      </c>
      <c r="AN300" s="1" t="b">
        <v>0</v>
      </c>
      <c r="AO300" s="1">
        <v>8.05</v>
      </c>
      <c r="AP300" s="1">
        <v>8.53399999999999</v>
      </c>
      <c r="AQ300" s="1" t="b">
        <v>0</v>
      </c>
      <c r="AR300" s="1" t="b">
        <v>0</v>
      </c>
      <c r="AS300" s="1">
        <v>86.9179999999999</v>
      </c>
      <c r="AT300" s="1">
        <v>87.152</v>
      </c>
      <c r="AU300" s="1" t="b">
        <v>0</v>
      </c>
      <c r="AV300" s="1" t="b">
        <v>0</v>
      </c>
      <c r="AW300" s="1">
        <v>9.61399999999999</v>
      </c>
      <c r="AX300" s="1">
        <v>11.026</v>
      </c>
      <c r="AY300" s="1" t="b">
        <v>0</v>
      </c>
      <c r="AZ300" s="1" t="b">
        <v>0</v>
      </c>
      <c r="BA300" s="1">
        <v>81.25</v>
      </c>
      <c r="BB300" s="1">
        <v>77.78</v>
      </c>
      <c r="BC300" s="1" t="b">
        <v>1</v>
      </c>
      <c r="BD300" s="1" t="b">
        <v>0</v>
      </c>
      <c r="BE300" s="1">
        <v>11.34</v>
      </c>
      <c r="BF300" s="1">
        <v>13.285</v>
      </c>
      <c r="BG300" s="1" t="b">
        <v>0</v>
      </c>
      <c r="BH300" s="1" t="b">
        <v>1</v>
      </c>
      <c r="BI300" s="1">
        <v>77.78</v>
      </c>
      <c r="BJ300" s="1">
        <v>75.0</v>
      </c>
      <c r="BK300" s="1" t="b">
        <v>1</v>
      </c>
      <c r="BL300" s="1" t="b">
        <v>1</v>
      </c>
      <c r="BM300" s="1">
        <v>13.121</v>
      </c>
      <c r="BN300" s="1">
        <v>14.568</v>
      </c>
      <c r="BO300" s="1" t="b">
        <v>0</v>
      </c>
      <c r="BP300" s="1" t="b">
        <v>1</v>
      </c>
      <c r="BQ300" s="1">
        <v>75.0</v>
      </c>
      <c r="BR300" s="1">
        <v>72.027</v>
      </c>
      <c r="BS300" s="1" t="b">
        <v>1</v>
      </c>
      <c r="BT300" s="1" t="b">
        <v>1</v>
      </c>
      <c r="BU300" s="1" t="s">
        <v>105</v>
      </c>
      <c r="BV300" s="1" t="s">
        <v>105</v>
      </c>
      <c r="BW300" s="1" t="s">
        <v>105</v>
      </c>
      <c r="BX300" s="1" t="s">
        <v>105</v>
      </c>
      <c r="BY300" s="1" t="s">
        <v>105</v>
      </c>
      <c r="BZ300" s="1" t="s">
        <v>91</v>
      </c>
      <c r="CA300" s="1" t="s">
        <v>157</v>
      </c>
      <c r="CB300" s="1" t="s">
        <v>104</v>
      </c>
      <c r="CC300" s="1" t="s">
        <v>157</v>
      </c>
      <c r="CD300" s="1" t="s">
        <v>104</v>
      </c>
      <c r="CE300" s="4"/>
      <c r="CF300" s="4"/>
    </row>
    <row r="301" hidden="1">
      <c r="A301" s="1" t="s">
        <v>82</v>
      </c>
      <c r="B301" s="1" t="s">
        <v>251</v>
      </c>
      <c r="C301" s="1">
        <v>36.0</v>
      </c>
      <c r="D301" s="5" t="s">
        <v>1402</v>
      </c>
      <c r="E301" s="1" t="s">
        <v>1403</v>
      </c>
      <c r="F301" s="1">
        <v>24.0</v>
      </c>
      <c r="G301" s="1">
        <v>0.2023</v>
      </c>
      <c r="H301" s="1" t="s">
        <v>1404</v>
      </c>
      <c r="I301" s="4" t="b">
        <f>IFERROR(__xludf.DUMMYFUNCTION("IF(H301="""",,REGEXMATCH(H301,""[א-ת]""))"),FALSE)</f>
        <v>0</v>
      </c>
      <c r="J301" s="4"/>
      <c r="K301" s="4"/>
      <c r="L301" s="1">
        <v>0.0</v>
      </c>
      <c r="M301" s="1">
        <v>17.9</v>
      </c>
      <c r="N301" s="1">
        <v>45.83</v>
      </c>
      <c r="O301" s="1">
        <v>1.909583333</v>
      </c>
      <c r="P301" s="4"/>
      <c r="Q301" s="4"/>
      <c r="R301" s="1" t="s">
        <v>89</v>
      </c>
      <c r="S301" s="1" t="s">
        <v>1403</v>
      </c>
      <c r="T301" s="1" t="s">
        <v>251</v>
      </c>
      <c r="U301" s="1">
        <v>37.0</v>
      </c>
      <c r="V301" s="5" t="s">
        <v>1402</v>
      </c>
      <c r="W301" s="1" t="s">
        <v>1403</v>
      </c>
      <c r="X301" s="1" t="s">
        <v>1405</v>
      </c>
      <c r="Y301" s="4"/>
      <c r="Z301" s="4"/>
      <c r="AA301" s="4" t="b">
        <f>IFERROR(__xludf.DUMMYFUNCTION("IF(X301="""",,REGEXMATCH(X301,""[א-ת]""))"),FALSE)</f>
        <v>0</v>
      </c>
      <c r="AB301" s="1">
        <v>16.54</v>
      </c>
      <c r="AC301" s="1">
        <v>41.67</v>
      </c>
      <c r="AD301" s="1">
        <v>0.348060272613588</v>
      </c>
      <c r="AE301" s="1">
        <v>0.0</v>
      </c>
      <c r="AF301" s="1">
        <v>0.2023</v>
      </c>
      <c r="AG301" s="1">
        <v>6.337</v>
      </c>
      <c r="AH301" s="1">
        <v>6.781</v>
      </c>
      <c r="AI301" s="1" t="b">
        <v>0</v>
      </c>
      <c r="AJ301" s="1" t="b">
        <v>0</v>
      </c>
      <c r="AK301" s="1">
        <v>94.182</v>
      </c>
      <c r="AL301" s="1">
        <v>96.508</v>
      </c>
      <c r="AM301" s="1" t="b">
        <v>0</v>
      </c>
      <c r="AN301" s="1" t="b">
        <v>0</v>
      </c>
      <c r="AO301" s="1">
        <v>8.05</v>
      </c>
      <c r="AP301" s="1">
        <v>8.53399999999999</v>
      </c>
      <c r="AQ301" s="1" t="b">
        <v>0</v>
      </c>
      <c r="AR301" s="1" t="b">
        <v>0</v>
      </c>
      <c r="AS301" s="1">
        <v>86.9179999999999</v>
      </c>
      <c r="AT301" s="1">
        <v>87.152</v>
      </c>
      <c r="AU301" s="1" t="b">
        <v>0</v>
      </c>
      <c r="AV301" s="1" t="b">
        <v>0</v>
      </c>
      <c r="AW301" s="1">
        <v>9.61399999999999</v>
      </c>
      <c r="AX301" s="1">
        <v>11.026</v>
      </c>
      <c r="AY301" s="1" t="b">
        <v>0</v>
      </c>
      <c r="AZ301" s="1" t="b">
        <v>0</v>
      </c>
      <c r="BA301" s="1">
        <v>81.25</v>
      </c>
      <c r="BB301" s="1">
        <v>77.78</v>
      </c>
      <c r="BC301" s="1" t="b">
        <v>0</v>
      </c>
      <c r="BD301" s="1" t="b">
        <v>0</v>
      </c>
      <c r="BE301" s="1">
        <v>11.34</v>
      </c>
      <c r="BF301" s="1">
        <v>13.285</v>
      </c>
      <c r="BG301" s="1" t="b">
        <v>0</v>
      </c>
      <c r="BH301" s="1" t="b">
        <v>0</v>
      </c>
      <c r="BI301" s="1">
        <v>77.78</v>
      </c>
      <c r="BJ301" s="1">
        <v>75.0</v>
      </c>
      <c r="BK301" s="1" t="b">
        <v>0</v>
      </c>
      <c r="BL301" s="1" t="b">
        <v>0</v>
      </c>
      <c r="BM301" s="1">
        <v>13.121</v>
      </c>
      <c r="BN301" s="1">
        <v>14.568</v>
      </c>
      <c r="BO301" s="1" t="b">
        <v>0</v>
      </c>
      <c r="BP301" s="1" t="b">
        <v>0</v>
      </c>
      <c r="BQ301" s="1">
        <v>75.0</v>
      </c>
      <c r="BR301" s="1">
        <v>72.027</v>
      </c>
      <c r="BS301" s="1" t="b">
        <v>0</v>
      </c>
      <c r="BT301" s="1" t="b">
        <v>0</v>
      </c>
      <c r="BU301" s="1" t="s">
        <v>105</v>
      </c>
      <c r="BV301" s="1" t="s">
        <v>105</v>
      </c>
      <c r="BW301" s="1" t="s">
        <v>105</v>
      </c>
      <c r="BX301" s="1" t="s">
        <v>105</v>
      </c>
      <c r="BY301" s="1" t="s">
        <v>105</v>
      </c>
      <c r="BZ301" s="1" t="s">
        <v>105</v>
      </c>
      <c r="CA301" s="1" t="s">
        <v>105</v>
      </c>
      <c r="CB301" s="1" t="s">
        <v>105</v>
      </c>
      <c r="CC301" s="1" t="s">
        <v>105</v>
      </c>
      <c r="CD301" s="1" t="s">
        <v>105</v>
      </c>
      <c r="CE301" s="4"/>
      <c r="CF301" s="4"/>
    </row>
    <row r="302" hidden="1">
      <c r="A302" s="1" t="s">
        <v>82</v>
      </c>
      <c r="B302" s="1" t="s">
        <v>251</v>
      </c>
      <c r="C302" s="1">
        <v>29.0</v>
      </c>
      <c r="D302" s="5" t="s">
        <v>1406</v>
      </c>
      <c r="E302" s="1" t="s">
        <v>1407</v>
      </c>
      <c r="F302" s="1">
        <v>127.0</v>
      </c>
      <c r="G302" s="1">
        <v>0.8225</v>
      </c>
      <c r="H302" s="1" t="s">
        <v>1408</v>
      </c>
      <c r="I302" s="4" t="b">
        <f>IFERROR(__xludf.DUMMYFUNCTION("IF(H302="""",,REGEXMATCH(H302,""[א-ת]""))"),FALSE)</f>
        <v>0</v>
      </c>
      <c r="J302" s="4"/>
      <c r="K302" s="4"/>
      <c r="L302" s="1">
        <v>-0.0516</v>
      </c>
      <c r="M302" s="1">
        <v>17.98</v>
      </c>
      <c r="N302" s="1">
        <v>61.42</v>
      </c>
      <c r="O302" s="1">
        <v>0.4836220472</v>
      </c>
      <c r="P302" s="4"/>
      <c r="Q302" s="4"/>
      <c r="R302" s="1" t="s">
        <v>89</v>
      </c>
      <c r="S302" s="1" t="s">
        <v>1407</v>
      </c>
      <c r="T302" s="1" t="s">
        <v>251</v>
      </c>
      <c r="U302" s="1">
        <v>30.0</v>
      </c>
      <c r="V302" s="5" t="s">
        <v>1406</v>
      </c>
      <c r="W302" s="1" t="s">
        <v>1407</v>
      </c>
      <c r="X302" s="1" t="s">
        <v>1409</v>
      </c>
      <c r="Y302" s="4"/>
      <c r="Z302" s="4"/>
      <c r="AA302" s="4" t="b">
        <f>IFERROR(__xludf.DUMMYFUNCTION("IF(X302="""",,REGEXMATCH(X302,""[א-ת]""))"),FALSE)</f>
        <v>0</v>
      </c>
      <c r="AB302" s="1">
        <v>18.45</v>
      </c>
      <c r="AC302" s="1">
        <v>59.84</v>
      </c>
      <c r="AD302" s="1">
        <v>0.282269615016525</v>
      </c>
      <c r="AE302" s="1">
        <v>0.0</v>
      </c>
      <c r="AF302" s="1">
        <v>0.8225</v>
      </c>
      <c r="AG302" s="1">
        <v>6.337</v>
      </c>
      <c r="AH302" s="1">
        <v>6.781</v>
      </c>
      <c r="AI302" s="1" t="b">
        <v>0</v>
      </c>
      <c r="AJ302" s="1" t="b">
        <v>0</v>
      </c>
      <c r="AK302" s="1">
        <v>94.182</v>
      </c>
      <c r="AL302" s="1">
        <v>96.508</v>
      </c>
      <c r="AM302" s="1" t="b">
        <v>0</v>
      </c>
      <c r="AN302" s="1" t="b">
        <v>0</v>
      </c>
      <c r="AO302" s="1">
        <v>8.05</v>
      </c>
      <c r="AP302" s="1">
        <v>8.53399999999999</v>
      </c>
      <c r="AQ302" s="1" t="b">
        <v>0</v>
      </c>
      <c r="AR302" s="1" t="b">
        <v>0</v>
      </c>
      <c r="AS302" s="1">
        <v>86.9179999999999</v>
      </c>
      <c r="AT302" s="1">
        <v>87.152</v>
      </c>
      <c r="AU302" s="1" t="b">
        <v>0</v>
      </c>
      <c r="AV302" s="1" t="b">
        <v>0</v>
      </c>
      <c r="AW302" s="1">
        <v>9.61399999999999</v>
      </c>
      <c r="AX302" s="1">
        <v>11.026</v>
      </c>
      <c r="AY302" s="1" t="b">
        <v>0</v>
      </c>
      <c r="AZ302" s="1" t="b">
        <v>0</v>
      </c>
      <c r="BA302" s="1">
        <v>81.25</v>
      </c>
      <c r="BB302" s="1">
        <v>77.78</v>
      </c>
      <c r="BC302" s="1" t="b">
        <v>0</v>
      </c>
      <c r="BD302" s="1" t="b">
        <v>0</v>
      </c>
      <c r="BE302" s="1">
        <v>11.34</v>
      </c>
      <c r="BF302" s="1">
        <v>13.285</v>
      </c>
      <c r="BG302" s="1" t="b">
        <v>0</v>
      </c>
      <c r="BH302" s="1" t="b">
        <v>0</v>
      </c>
      <c r="BI302" s="1">
        <v>77.78</v>
      </c>
      <c r="BJ302" s="1">
        <v>75.0</v>
      </c>
      <c r="BK302" s="1" t="b">
        <v>0</v>
      </c>
      <c r="BL302" s="1" t="b">
        <v>0</v>
      </c>
      <c r="BM302" s="1">
        <v>13.121</v>
      </c>
      <c r="BN302" s="1">
        <v>14.568</v>
      </c>
      <c r="BO302" s="1" t="b">
        <v>0</v>
      </c>
      <c r="BP302" s="1" t="b">
        <v>0</v>
      </c>
      <c r="BQ302" s="1">
        <v>75.0</v>
      </c>
      <c r="BR302" s="1">
        <v>72.027</v>
      </c>
      <c r="BS302" s="1" t="b">
        <v>0</v>
      </c>
      <c r="BT302" s="1" t="b">
        <v>0</v>
      </c>
      <c r="BU302" s="1" t="s">
        <v>105</v>
      </c>
      <c r="BV302" s="1" t="s">
        <v>105</v>
      </c>
      <c r="BW302" s="1" t="s">
        <v>105</v>
      </c>
      <c r="BX302" s="1" t="s">
        <v>105</v>
      </c>
      <c r="BY302" s="1" t="s">
        <v>105</v>
      </c>
      <c r="BZ302" s="1" t="s">
        <v>105</v>
      </c>
      <c r="CA302" s="1" t="s">
        <v>105</v>
      </c>
      <c r="CB302" s="1" t="s">
        <v>105</v>
      </c>
      <c r="CC302" s="1" t="s">
        <v>105</v>
      </c>
      <c r="CD302" s="1" t="s">
        <v>105</v>
      </c>
      <c r="CE302" s="4"/>
      <c r="CF302" s="4"/>
    </row>
    <row r="303" hidden="1">
      <c r="A303" s="1" t="s">
        <v>82</v>
      </c>
      <c r="B303" s="1" t="s">
        <v>304</v>
      </c>
      <c r="C303" s="1">
        <v>11.0</v>
      </c>
      <c r="D303" s="5" t="s">
        <v>1410</v>
      </c>
      <c r="E303" s="1" t="s">
        <v>1411</v>
      </c>
      <c r="F303" s="1">
        <v>37.0</v>
      </c>
      <c r="G303" s="1">
        <v>0.2023</v>
      </c>
      <c r="H303" s="1" t="s">
        <v>1412</v>
      </c>
      <c r="I303" s="4" t="b">
        <f>IFERROR(__xludf.DUMMYFUNCTION("IF(H303="""",,REGEXMATCH(H303,""[א-ת]""))"),FALSE)</f>
        <v>0</v>
      </c>
      <c r="J303" s="4"/>
      <c r="K303" s="4"/>
      <c r="L303" s="1">
        <v>-0.5106</v>
      </c>
      <c r="M303" s="1">
        <v>18.02</v>
      </c>
      <c r="N303" s="1">
        <v>91.89</v>
      </c>
      <c r="O303" s="1">
        <v>2.483513514</v>
      </c>
      <c r="P303" s="4"/>
      <c r="Q303" s="4"/>
      <c r="R303" s="1" t="s">
        <v>89</v>
      </c>
      <c r="S303" s="1" t="s">
        <v>1411</v>
      </c>
      <c r="T303" s="1" t="s">
        <v>304</v>
      </c>
      <c r="U303" s="1">
        <v>12.0</v>
      </c>
      <c r="V303" s="5" t="s">
        <v>1410</v>
      </c>
      <c r="W303" s="1" t="s">
        <v>1411</v>
      </c>
      <c r="X303" s="1" t="s">
        <v>1413</v>
      </c>
      <c r="Y303" s="4"/>
      <c r="Z303" s="4"/>
      <c r="AA303" s="4" t="b">
        <f>IFERROR(__xludf.DUMMYFUNCTION("IF(X303="""",,REGEXMATCH(X303,""[א-ת]""))"),FALSE)</f>
        <v>0</v>
      </c>
      <c r="AB303" s="1">
        <v>27.04</v>
      </c>
      <c r="AC303" s="1">
        <v>59.46</v>
      </c>
      <c r="AD303" s="1">
        <v>0.544052114587083</v>
      </c>
      <c r="AE303" s="1">
        <v>-0.1027</v>
      </c>
      <c r="AF303" s="1">
        <v>0.2023</v>
      </c>
      <c r="AG303" s="1">
        <v>6.337</v>
      </c>
      <c r="AH303" s="1">
        <v>6.781</v>
      </c>
      <c r="AI303" s="1" t="b">
        <v>0</v>
      </c>
      <c r="AJ303" s="1" t="b">
        <v>0</v>
      </c>
      <c r="AK303" s="1">
        <v>94.182</v>
      </c>
      <c r="AL303" s="1">
        <v>96.508</v>
      </c>
      <c r="AM303" s="1" t="b">
        <v>0</v>
      </c>
      <c r="AN303" s="1" t="b">
        <v>0</v>
      </c>
      <c r="AO303" s="1">
        <v>8.05</v>
      </c>
      <c r="AP303" s="1">
        <v>8.53399999999999</v>
      </c>
      <c r="AQ303" s="1" t="b">
        <v>0</v>
      </c>
      <c r="AR303" s="1" t="b">
        <v>0</v>
      </c>
      <c r="AS303" s="1">
        <v>86.9179999999999</v>
      </c>
      <c r="AT303" s="1">
        <v>87.152</v>
      </c>
      <c r="AU303" s="1" t="b">
        <v>1</v>
      </c>
      <c r="AV303" s="1" t="b">
        <v>0</v>
      </c>
      <c r="AW303" s="1">
        <v>9.61399999999999</v>
      </c>
      <c r="AX303" s="1">
        <v>11.026</v>
      </c>
      <c r="AY303" s="1" t="b">
        <v>0</v>
      </c>
      <c r="AZ303" s="1" t="b">
        <v>0</v>
      </c>
      <c r="BA303" s="1">
        <v>81.25</v>
      </c>
      <c r="BB303" s="1">
        <v>77.78</v>
      </c>
      <c r="BC303" s="1" t="b">
        <v>1</v>
      </c>
      <c r="BD303" s="1" t="b">
        <v>0</v>
      </c>
      <c r="BE303" s="1">
        <v>11.34</v>
      </c>
      <c r="BF303" s="1">
        <v>13.285</v>
      </c>
      <c r="BG303" s="1" t="b">
        <v>0</v>
      </c>
      <c r="BH303" s="1" t="b">
        <v>0</v>
      </c>
      <c r="BI303" s="1">
        <v>77.78</v>
      </c>
      <c r="BJ303" s="1">
        <v>75.0</v>
      </c>
      <c r="BK303" s="1" t="b">
        <v>1</v>
      </c>
      <c r="BL303" s="1" t="b">
        <v>0</v>
      </c>
      <c r="BM303" s="1">
        <v>13.121</v>
      </c>
      <c r="BN303" s="1">
        <v>14.568</v>
      </c>
      <c r="BO303" s="1" t="b">
        <v>0</v>
      </c>
      <c r="BP303" s="1" t="b">
        <v>0</v>
      </c>
      <c r="BQ303" s="1">
        <v>75.0</v>
      </c>
      <c r="BR303" s="1">
        <v>72.027</v>
      </c>
      <c r="BS303" s="1" t="b">
        <v>1</v>
      </c>
      <c r="BT303" s="1" t="b">
        <v>0</v>
      </c>
      <c r="BU303" s="1" t="s">
        <v>105</v>
      </c>
      <c r="BV303" s="1" t="s">
        <v>105</v>
      </c>
      <c r="BW303" s="1" t="s">
        <v>105</v>
      </c>
      <c r="BX303" s="1" t="s">
        <v>91</v>
      </c>
      <c r="BY303" s="1" t="s">
        <v>105</v>
      </c>
      <c r="BZ303" s="1" t="s">
        <v>91</v>
      </c>
      <c r="CA303" s="1" t="s">
        <v>105</v>
      </c>
      <c r="CB303" s="1" t="s">
        <v>91</v>
      </c>
      <c r="CC303" s="1" t="s">
        <v>105</v>
      </c>
      <c r="CD303" s="1" t="s">
        <v>91</v>
      </c>
      <c r="CE303" s="4"/>
      <c r="CF303" s="4"/>
    </row>
    <row r="304" hidden="1">
      <c r="A304" s="1" t="s">
        <v>82</v>
      </c>
      <c r="B304" s="1" t="s">
        <v>176</v>
      </c>
      <c r="C304" s="1">
        <v>4.0</v>
      </c>
      <c r="D304" s="5" t="s">
        <v>1414</v>
      </c>
      <c r="E304" s="1" t="s">
        <v>1415</v>
      </c>
      <c r="F304" s="1">
        <v>51.0</v>
      </c>
      <c r="G304" s="1">
        <v>0.25</v>
      </c>
      <c r="H304" s="1" t="s">
        <v>1416</v>
      </c>
      <c r="I304" s="4" t="b">
        <f>IFERROR(__xludf.DUMMYFUNCTION("IF(H304="""",,REGEXMATCH(H304,""[א-ת]""))"),FALSE)</f>
        <v>0</v>
      </c>
      <c r="J304" s="4"/>
      <c r="K304" s="4"/>
      <c r="L304" s="1">
        <v>0.6249</v>
      </c>
      <c r="M304" s="1">
        <v>18.03</v>
      </c>
      <c r="N304" s="1">
        <v>78.43</v>
      </c>
      <c r="O304" s="1">
        <v>1.537843137</v>
      </c>
      <c r="P304" s="4"/>
      <c r="Q304" s="4"/>
      <c r="R304" s="1" t="s">
        <v>89</v>
      </c>
      <c r="S304" s="1" t="s">
        <v>1415</v>
      </c>
      <c r="T304" s="1" t="s">
        <v>176</v>
      </c>
      <c r="U304" s="1">
        <v>5.0</v>
      </c>
      <c r="V304" s="5" t="s">
        <v>1414</v>
      </c>
      <c r="W304" s="1" t="s">
        <v>1415</v>
      </c>
      <c r="X304" s="1" t="s">
        <v>1417</v>
      </c>
      <c r="Y304" s="4"/>
      <c r="Z304" s="4"/>
      <c r="AA304" s="4" t="b">
        <f>IFERROR(__xludf.DUMMYFUNCTION("IF(X304="""",,REGEXMATCH(X304,""[א-ת]""))"),TRUE)</f>
        <v>1</v>
      </c>
      <c r="AB304" s="1">
        <v>28.1</v>
      </c>
      <c r="AC304" s="1">
        <v>54.9</v>
      </c>
      <c r="AD304" s="1">
        <v>0.763976230239343</v>
      </c>
      <c r="AE304" s="1">
        <v>0.0</v>
      </c>
      <c r="AF304" s="1">
        <v>0.25</v>
      </c>
      <c r="AG304" s="1">
        <v>6.337</v>
      </c>
      <c r="AH304" s="1">
        <v>6.781</v>
      </c>
      <c r="AI304" s="1" t="b">
        <v>0</v>
      </c>
      <c r="AJ304" s="1" t="b">
        <v>0</v>
      </c>
      <c r="AK304" s="1">
        <v>94.182</v>
      </c>
      <c r="AL304" s="1">
        <v>96.508</v>
      </c>
      <c r="AM304" s="1" t="b">
        <v>0</v>
      </c>
      <c r="AN304" s="1" t="b">
        <v>0</v>
      </c>
      <c r="AO304" s="1">
        <v>8.05</v>
      </c>
      <c r="AP304" s="1">
        <v>8.53399999999999</v>
      </c>
      <c r="AQ304" s="1" t="b">
        <v>0</v>
      </c>
      <c r="AR304" s="1" t="b">
        <v>0</v>
      </c>
      <c r="AS304" s="1">
        <v>86.9179999999999</v>
      </c>
      <c r="AT304" s="1">
        <v>87.152</v>
      </c>
      <c r="AU304" s="1" t="b">
        <v>0</v>
      </c>
      <c r="AV304" s="1" t="b">
        <v>0</v>
      </c>
      <c r="AW304" s="1">
        <v>9.61399999999999</v>
      </c>
      <c r="AX304" s="1">
        <v>11.026</v>
      </c>
      <c r="AY304" s="1" t="b">
        <v>0</v>
      </c>
      <c r="AZ304" s="1" t="b">
        <v>0</v>
      </c>
      <c r="BA304" s="1">
        <v>81.25</v>
      </c>
      <c r="BB304" s="1">
        <v>77.78</v>
      </c>
      <c r="BC304" s="1" t="b">
        <v>0</v>
      </c>
      <c r="BD304" s="1" t="b">
        <v>0</v>
      </c>
      <c r="BE304" s="1">
        <v>11.34</v>
      </c>
      <c r="BF304" s="1">
        <v>13.285</v>
      </c>
      <c r="BG304" s="1" t="b">
        <v>0</v>
      </c>
      <c r="BH304" s="1" t="b">
        <v>0</v>
      </c>
      <c r="BI304" s="1">
        <v>77.78</v>
      </c>
      <c r="BJ304" s="1">
        <v>75.0</v>
      </c>
      <c r="BK304" s="1" t="b">
        <v>1</v>
      </c>
      <c r="BL304" s="1" t="b">
        <v>0</v>
      </c>
      <c r="BM304" s="1">
        <v>13.121</v>
      </c>
      <c r="BN304" s="1">
        <v>14.568</v>
      </c>
      <c r="BO304" s="1" t="b">
        <v>0</v>
      </c>
      <c r="BP304" s="1" t="b">
        <v>0</v>
      </c>
      <c r="BQ304" s="1">
        <v>75.0</v>
      </c>
      <c r="BR304" s="1">
        <v>72.027</v>
      </c>
      <c r="BS304" s="1" t="b">
        <v>1</v>
      </c>
      <c r="BT304" s="1" t="b">
        <v>0</v>
      </c>
      <c r="BU304" s="1" t="s">
        <v>105</v>
      </c>
      <c r="BV304" s="1" t="s">
        <v>105</v>
      </c>
      <c r="BW304" s="1" t="s">
        <v>105</v>
      </c>
      <c r="BX304" s="1" t="s">
        <v>105</v>
      </c>
      <c r="BY304" s="1" t="s">
        <v>105</v>
      </c>
      <c r="BZ304" s="1" t="s">
        <v>105</v>
      </c>
      <c r="CA304" s="1" t="s">
        <v>105</v>
      </c>
      <c r="CB304" s="1" t="s">
        <v>91</v>
      </c>
      <c r="CC304" s="1" t="s">
        <v>105</v>
      </c>
      <c r="CD304" s="1" t="s">
        <v>91</v>
      </c>
      <c r="CE304" s="4"/>
      <c r="CF304" s="4"/>
    </row>
    <row r="305" hidden="1">
      <c r="A305" s="1" t="s">
        <v>82</v>
      </c>
      <c r="B305" s="1" t="s">
        <v>111</v>
      </c>
      <c r="C305" s="1">
        <v>21.0</v>
      </c>
      <c r="D305" s="5" t="s">
        <v>1418</v>
      </c>
      <c r="E305" s="1" t="s">
        <v>1419</v>
      </c>
      <c r="F305" s="1">
        <v>63.0</v>
      </c>
      <c r="G305" s="1">
        <v>-0.2732</v>
      </c>
      <c r="H305" s="1" t="s">
        <v>1420</v>
      </c>
      <c r="I305" s="4" t="b">
        <f>IFERROR(__xludf.DUMMYFUNCTION("IF(H305="""",,REGEXMATCH(H305,""[א-ת]""))"),FALSE)</f>
        <v>0</v>
      </c>
      <c r="J305" s="4"/>
      <c r="K305" s="4"/>
      <c r="L305" s="1">
        <v>0.0</v>
      </c>
      <c r="M305" s="1">
        <v>18.05</v>
      </c>
      <c r="N305" s="1">
        <v>76.19</v>
      </c>
      <c r="O305" s="1">
        <v>1.209365079</v>
      </c>
      <c r="P305" s="4"/>
      <c r="Q305" s="4"/>
      <c r="R305" s="1" t="s">
        <v>89</v>
      </c>
      <c r="S305" s="1" t="s">
        <v>1419</v>
      </c>
      <c r="T305" s="1" t="s">
        <v>111</v>
      </c>
      <c r="U305" s="1">
        <v>22.0</v>
      </c>
      <c r="V305" s="5" t="s">
        <v>1418</v>
      </c>
      <c r="W305" s="1" t="s">
        <v>1419</v>
      </c>
      <c r="X305" s="1" t="s">
        <v>1421</v>
      </c>
      <c r="Y305" s="4"/>
      <c r="Z305" s="4"/>
      <c r="AA305" s="4" t="b">
        <f>IFERROR(__xludf.DUMMYFUNCTION("IF(X305="""",,REGEXMATCH(X305,""[א-ת]""))"),FALSE)</f>
        <v>0</v>
      </c>
      <c r="AB305" s="1">
        <v>12.29</v>
      </c>
      <c r="AC305" s="1">
        <v>77.78</v>
      </c>
      <c r="AD305" s="1">
        <v>0.546071046919651</v>
      </c>
      <c r="AE305" s="1">
        <v>0.1326</v>
      </c>
      <c r="AF305" s="1">
        <v>-0.2732</v>
      </c>
      <c r="AG305" s="1">
        <v>6.337</v>
      </c>
      <c r="AH305" s="1">
        <v>6.781</v>
      </c>
      <c r="AI305" s="1" t="b">
        <v>0</v>
      </c>
      <c r="AJ305" s="1" t="b">
        <v>0</v>
      </c>
      <c r="AK305" s="1">
        <v>94.182</v>
      </c>
      <c r="AL305" s="1">
        <v>96.508</v>
      </c>
      <c r="AM305" s="1" t="b">
        <v>0</v>
      </c>
      <c r="AN305" s="1" t="b">
        <v>0</v>
      </c>
      <c r="AO305" s="1">
        <v>8.05</v>
      </c>
      <c r="AP305" s="1">
        <v>8.53399999999999</v>
      </c>
      <c r="AQ305" s="1" t="b">
        <v>0</v>
      </c>
      <c r="AR305" s="1" t="b">
        <v>0</v>
      </c>
      <c r="AS305" s="1">
        <v>86.9179999999999</v>
      </c>
      <c r="AT305" s="1">
        <v>87.152</v>
      </c>
      <c r="AU305" s="1" t="b">
        <v>0</v>
      </c>
      <c r="AV305" s="1" t="b">
        <v>0</v>
      </c>
      <c r="AW305" s="1">
        <v>9.61399999999999</v>
      </c>
      <c r="AX305" s="1">
        <v>11.026</v>
      </c>
      <c r="AY305" s="1" t="b">
        <v>0</v>
      </c>
      <c r="AZ305" s="1" t="b">
        <v>0</v>
      </c>
      <c r="BA305" s="1">
        <v>81.25</v>
      </c>
      <c r="BB305" s="1">
        <v>77.78</v>
      </c>
      <c r="BC305" s="1" t="b">
        <v>0</v>
      </c>
      <c r="BD305" s="1" t="b">
        <v>1</v>
      </c>
      <c r="BE305" s="1">
        <v>11.34</v>
      </c>
      <c r="BF305" s="1">
        <v>13.285</v>
      </c>
      <c r="BG305" s="1" t="b">
        <v>0</v>
      </c>
      <c r="BH305" s="1" t="b">
        <v>1</v>
      </c>
      <c r="BI305" s="1">
        <v>77.78</v>
      </c>
      <c r="BJ305" s="1">
        <v>75.0</v>
      </c>
      <c r="BK305" s="1" t="b">
        <v>0</v>
      </c>
      <c r="BL305" s="1" t="b">
        <v>1</v>
      </c>
      <c r="BM305" s="1">
        <v>13.121</v>
      </c>
      <c r="BN305" s="1">
        <v>14.568</v>
      </c>
      <c r="BO305" s="1" t="b">
        <v>0</v>
      </c>
      <c r="BP305" s="1" t="b">
        <v>1</v>
      </c>
      <c r="BQ305" s="1">
        <v>75.0</v>
      </c>
      <c r="BR305" s="1">
        <v>72.027</v>
      </c>
      <c r="BS305" s="1" t="b">
        <v>1</v>
      </c>
      <c r="BT305" s="1" t="b">
        <v>1</v>
      </c>
      <c r="BU305" s="1" t="s">
        <v>105</v>
      </c>
      <c r="BV305" s="1" t="s">
        <v>105</v>
      </c>
      <c r="BW305" s="1" t="s">
        <v>105</v>
      </c>
      <c r="BX305" s="1" t="s">
        <v>105</v>
      </c>
      <c r="BY305" s="1" t="s">
        <v>105</v>
      </c>
      <c r="BZ305" s="1" t="s">
        <v>157</v>
      </c>
      <c r="CA305" s="1" t="s">
        <v>157</v>
      </c>
      <c r="CB305" s="1" t="s">
        <v>157</v>
      </c>
      <c r="CC305" s="1" t="s">
        <v>157</v>
      </c>
      <c r="CD305" s="1" t="s">
        <v>104</v>
      </c>
      <c r="CE305" s="4"/>
      <c r="CF305" s="4"/>
    </row>
    <row r="306" hidden="1">
      <c r="A306" s="1" t="s">
        <v>82</v>
      </c>
      <c r="B306" s="1" t="s">
        <v>98</v>
      </c>
      <c r="C306" s="1">
        <v>22.0</v>
      </c>
      <c r="D306" s="5" t="s">
        <v>1422</v>
      </c>
      <c r="E306" s="1" t="s">
        <v>1423</v>
      </c>
      <c r="F306" s="1">
        <v>19.0</v>
      </c>
      <c r="G306" s="1">
        <v>0.0</v>
      </c>
      <c r="H306" s="1" t="s">
        <v>1424</v>
      </c>
      <c r="I306" s="4" t="b">
        <f>IFERROR(__xludf.DUMMYFUNCTION("IF(H306="""",,REGEXMATCH(H306,""[א-ת]""))"),FALSE)</f>
        <v>0</v>
      </c>
      <c r="J306" s="4"/>
      <c r="K306" s="4"/>
      <c r="L306" s="1">
        <v>-0.4137</v>
      </c>
      <c r="M306" s="1">
        <v>18.1</v>
      </c>
      <c r="N306" s="1">
        <v>68.42</v>
      </c>
      <c r="O306" s="1">
        <v>3.601052632</v>
      </c>
      <c r="P306" s="4"/>
      <c r="Q306" s="4"/>
      <c r="R306" s="1" t="s">
        <v>89</v>
      </c>
      <c r="S306" s="1" t="s">
        <v>1423</v>
      </c>
      <c r="T306" s="1" t="s">
        <v>98</v>
      </c>
      <c r="U306" s="1">
        <v>23.0</v>
      </c>
      <c r="V306" s="5" t="s">
        <v>1422</v>
      </c>
      <c r="W306" s="1" t="s">
        <v>1423</v>
      </c>
      <c r="X306" s="5" t="s">
        <v>1425</v>
      </c>
      <c r="Y306" s="4"/>
      <c r="Z306" s="4"/>
      <c r="AA306" s="4" t="b">
        <f>IFERROR(__xludf.DUMMYFUNCTION("IF(X306="""",,REGEXMATCH(X306,""[א-ת]""))"),TRUE)</f>
        <v>1</v>
      </c>
      <c r="AB306" s="1">
        <v>12.21</v>
      </c>
      <c r="AC306" s="1">
        <v>142.11</v>
      </c>
      <c r="AD306" s="1">
        <v>0.506611765448816</v>
      </c>
      <c r="AE306" s="1">
        <v>0.0</v>
      </c>
      <c r="AF306" s="1">
        <v>0.0</v>
      </c>
      <c r="AG306" s="1">
        <v>6.337</v>
      </c>
      <c r="AH306" s="1">
        <v>6.781</v>
      </c>
      <c r="AI306" s="1" t="b">
        <v>0</v>
      </c>
      <c r="AJ306" s="1" t="b">
        <v>0</v>
      </c>
      <c r="AK306" s="1">
        <v>94.182</v>
      </c>
      <c r="AL306" s="1">
        <v>96.508</v>
      </c>
      <c r="AM306" s="1" t="b">
        <v>0</v>
      </c>
      <c r="AN306" s="1" t="b">
        <v>1</v>
      </c>
      <c r="AO306" s="1">
        <v>8.05</v>
      </c>
      <c r="AP306" s="1">
        <v>8.53399999999999</v>
      </c>
      <c r="AQ306" s="1" t="b">
        <v>0</v>
      </c>
      <c r="AR306" s="1" t="b">
        <v>0</v>
      </c>
      <c r="AS306" s="1">
        <v>86.9179999999999</v>
      </c>
      <c r="AT306" s="1">
        <v>87.152</v>
      </c>
      <c r="AU306" s="1" t="b">
        <v>0</v>
      </c>
      <c r="AV306" s="1" t="b">
        <v>1</v>
      </c>
      <c r="AW306" s="1">
        <v>9.61399999999999</v>
      </c>
      <c r="AX306" s="1">
        <v>11.026</v>
      </c>
      <c r="AY306" s="1" t="b">
        <v>0</v>
      </c>
      <c r="AZ306" s="1" t="b">
        <v>0</v>
      </c>
      <c r="BA306" s="1">
        <v>81.25</v>
      </c>
      <c r="BB306" s="1">
        <v>77.78</v>
      </c>
      <c r="BC306" s="1" t="b">
        <v>0</v>
      </c>
      <c r="BD306" s="1" t="b">
        <v>1</v>
      </c>
      <c r="BE306" s="1">
        <v>11.34</v>
      </c>
      <c r="BF306" s="1">
        <v>13.285</v>
      </c>
      <c r="BG306" s="1" t="b">
        <v>0</v>
      </c>
      <c r="BH306" s="1" t="b">
        <v>1</v>
      </c>
      <c r="BI306" s="1">
        <v>77.78</v>
      </c>
      <c r="BJ306" s="1">
        <v>75.0</v>
      </c>
      <c r="BK306" s="1" t="b">
        <v>0</v>
      </c>
      <c r="BL306" s="1" t="b">
        <v>1</v>
      </c>
      <c r="BM306" s="1">
        <v>13.121</v>
      </c>
      <c r="BN306" s="1">
        <v>14.568</v>
      </c>
      <c r="BO306" s="1" t="b">
        <v>0</v>
      </c>
      <c r="BP306" s="1" t="b">
        <v>1</v>
      </c>
      <c r="BQ306" s="1">
        <v>75.0</v>
      </c>
      <c r="BR306" s="1">
        <v>72.027</v>
      </c>
      <c r="BS306" s="1" t="b">
        <v>0</v>
      </c>
      <c r="BT306" s="1" t="b">
        <v>1</v>
      </c>
      <c r="BU306" s="1" t="s">
        <v>105</v>
      </c>
      <c r="BV306" s="1" t="s">
        <v>157</v>
      </c>
      <c r="BW306" s="1" t="s">
        <v>105</v>
      </c>
      <c r="BX306" s="1" t="s">
        <v>157</v>
      </c>
      <c r="BY306" s="1" t="s">
        <v>105</v>
      </c>
      <c r="BZ306" s="1" t="s">
        <v>157</v>
      </c>
      <c r="CA306" s="1" t="s">
        <v>157</v>
      </c>
      <c r="CB306" s="1" t="s">
        <v>157</v>
      </c>
      <c r="CC306" s="1" t="s">
        <v>157</v>
      </c>
      <c r="CD306" s="1" t="s">
        <v>157</v>
      </c>
      <c r="CE306" s="4"/>
      <c r="CF306" s="4"/>
    </row>
    <row r="307" hidden="1">
      <c r="A307" s="1" t="s">
        <v>82</v>
      </c>
      <c r="B307" s="1" t="s">
        <v>116</v>
      </c>
      <c r="C307" s="1">
        <v>10.0</v>
      </c>
      <c r="D307" s="5" t="s">
        <v>1426</v>
      </c>
      <c r="E307" s="1" t="s">
        <v>1427</v>
      </c>
      <c r="F307" s="1">
        <v>20.0</v>
      </c>
      <c r="G307" s="1">
        <v>-0.5023</v>
      </c>
      <c r="H307" s="1" t="s">
        <v>1428</v>
      </c>
      <c r="I307" s="4" t="b">
        <f>IFERROR(__xludf.DUMMYFUNCTION("IF(H307="""",,REGEXMATCH(H307,""[א-ת]""))"),FALSE)</f>
        <v>0</v>
      </c>
      <c r="J307" s="4"/>
      <c r="K307" s="4"/>
      <c r="L307" s="1">
        <v>0.0</v>
      </c>
      <c r="M307" s="1">
        <v>18.11</v>
      </c>
      <c r="N307" s="1">
        <v>90.0</v>
      </c>
      <c r="O307" s="1">
        <v>4.5</v>
      </c>
      <c r="P307" s="4"/>
      <c r="Q307" s="4"/>
      <c r="R307" s="1" t="s">
        <v>89</v>
      </c>
      <c r="S307" s="1" t="s">
        <v>1427</v>
      </c>
      <c r="T307" s="1" t="s">
        <v>116</v>
      </c>
      <c r="U307" s="1">
        <v>11.0</v>
      </c>
      <c r="V307" s="5" t="s">
        <v>1426</v>
      </c>
      <c r="W307" s="1" t="s">
        <v>1427</v>
      </c>
      <c r="X307" s="1" t="s">
        <v>1429</v>
      </c>
      <c r="Y307" s="4"/>
      <c r="Z307" s="4"/>
      <c r="AA307" s="4" t="b">
        <f>IFERROR(__xludf.DUMMYFUNCTION("IF(X307="""",,REGEXMATCH(X307,""[א-ת]""))"),FALSE)</f>
        <v>0</v>
      </c>
      <c r="AB307" s="1">
        <v>11.04</v>
      </c>
      <c r="AC307" s="1">
        <v>75.0</v>
      </c>
      <c r="AD307" s="1">
        <v>0.443204671268031</v>
      </c>
      <c r="AE307" s="1">
        <v>0.0</v>
      </c>
      <c r="AF307" s="1">
        <v>-0.5023</v>
      </c>
      <c r="AG307" s="1">
        <v>6.337</v>
      </c>
      <c r="AH307" s="1">
        <v>6.781</v>
      </c>
      <c r="AI307" s="1" t="b">
        <v>0</v>
      </c>
      <c r="AJ307" s="1" t="b">
        <v>0</v>
      </c>
      <c r="AK307" s="1">
        <v>94.182</v>
      </c>
      <c r="AL307" s="1">
        <v>96.508</v>
      </c>
      <c r="AM307" s="1" t="b">
        <v>0</v>
      </c>
      <c r="AN307" s="1" t="b">
        <v>0</v>
      </c>
      <c r="AO307" s="1">
        <v>8.05</v>
      </c>
      <c r="AP307" s="1">
        <v>8.53399999999999</v>
      </c>
      <c r="AQ307" s="1" t="b">
        <v>0</v>
      </c>
      <c r="AR307" s="1" t="b">
        <v>0</v>
      </c>
      <c r="AS307" s="1">
        <v>86.9179999999999</v>
      </c>
      <c r="AT307" s="1">
        <v>87.152</v>
      </c>
      <c r="AU307" s="1" t="b">
        <v>1</v>
      </c>
      <c r="AV307" s="1" t="b">
        <v>0</v>
      </c>
      <c r="AW307" s="1">
        <v>9.61399999999999</v>
      </c>
      <c r="AX307" s="1">
        <v>11.026</v>
      </c>
      <c r="AY307" s="1" t="b">
        <v>0</v>
      </c>
      <c r="AZ307" s="1" t="b">
        <v>0</v>
      </c>
      <c r="BA307" s="1">
        <v>81.25</v>
      </c>
      <c r="BB307" s="1">
        <v>77.78</v>
      </c>
      <c r="BC307" s="1" t="b">
        <v>1</v>
      </c>
      <c r="BD307" s="1" t="b">
        <v>0</v>
      </c>
      <c r="BE307" s="1">
        <v>11.34</v>
      </c>
      <c r="BF307" s="1">
        <v>13.285</v>
      </c>
      <c r="BG307" s="1" t="b">
        <v>0</v>
      </c>
      <c r="BH307" s="1" t="b">
        <v>1</v>
      </c>
      <c r="BI307" s="1">
        <v>77.78</v>
      </c>
      <c r="BJ307" s="1">
        <v>75.0</v>
      </c>
      <c r="BK307" s="1" t="b">
        <v>1</v>
      </c>
      <c r="BL307" s="1" t="b">
        <v>1</v>
      </c>
      <c r="BM307" s="1">
        <v>13.121</v>
      </c>
      <c r="BN307" s="1">
        <v>14.568</v>
      </c>
      <c r="BO307" s="1" t="b">
        <v>0</v>
      </c>
      <c r="BP307" s="1" t="b">
        <v>1</v>
      </c>
      <c r="BQ307" s="1">
        <v>75.0</v>
      </c>
      <c r="BR307" s="1">
        <v>72.027</v>
      </c>
      <c r="BS307" s="1" t="b">
        <v>1</v>
      </c>
      <c r="BT307" s="1" t="b">
        <v>1</v>
      </c>
      <c r="BU307" s="1" t="s">
        <v>105</v>
      </c>
      <c r="BV307" s="1" t="s">
        <v>105</v>
      </c>
      <c r="BW307" s="1" t="s">
        <v>105</v>
      </c>
      <c r="BX307" s="1" t="s">
        <v>91</v>
      </c>
      <c r="BY307" s="1" t="s">
        <v>105</v>
      </c>
      <c r="BZ307" s="1" t="s">
        <v>91</v>
      </c>
      <c r="CA307" s="1" t="s">
        <v>157</v>
      </c>
      <c r="CB307" s="1" t="s">
        <v>104</v>
      </c>
      <c r="CC307" s="1" t="s">
        <v>157</v>
      </c>
      <c r="CD307" s="1" t="s">
        <v>104</v>
      </c>
      <c r="CE307" s="4"/>
      <c r="CF307" s="4"/>
    </row>
    <row r="308" hidden="1">
      <c r="A308" s="1" t="s">
        <v>82</v>
      </c>
      <c r="B308" s="1" t="s">
        <v>111</v>
      </c>
      <c r="C308" s="1">
        <v>32.0</v>
      </c>
      <c r="D308" s="5" t="s">
        <v>1430</v>
      </c>
      <c r="E308" s="1" t="s">
        <v>1431</v>
      </c>
      <c r="F308" s="1">
        <v>81.0</v>
      </c>
      <c r="G308" s="1">
        <v>-0.6261</v>
      </c>
      <c r="H308" s="1" t="s">
        <v>1432</v>
      </c>
      <c r="I308" s="4" t="b">
        <f>IFERROR(__xludf.DUMMYFUNCTION("IF(H308="""",,REGEXMATCH(H308,""[א-ת]""))"),FALSE)</f>
        <v>0</v>
      </c>
      <c r="J308" s="4"/>
      <c r="K308" s="4"/>
      <c r="L308" s="1">
        <v>0.092</v>
      </c>
      <c r="M308" s="1">
        <v>18.12</v>
      </c>
      <c r="N308" s="1">
        <v>71.6</v>
      </c>
      <c r="O308" s="1">
        <v>0.8839506173</v>
      </c>
      <c r="P308" s="4"/>
      <c r="Q308" s="4"/>
      <c r="R308" s="1" t="s">
        <v>89</v>
      </c>
      <c r="S308" s="1" t="s">
        <v>1431</v>
      </c>
      <c r="T308" s="1" t="s">
        <v>111</v>
      </c>
      <c r="U308" s="1">
        <v>33.0</v>
      </c>
      <c r="V308" s="5" t="s">
        <v>1430</v>
      </c>
      <c r="W308" s="1" t="s">
        <v>1431</v>
      </c>
      <c r="X308" s="1" t="s">
        <v>1433</v>
      </c>
      <c r="Y308" s="4"/>
      <c r="Z308" s="4"/>
      <c r="AA308" s="4" t="b">
        <f>IFERROR(__xludf.DUMMYFUNCTION("IF(X308="""",,REGEXMATCH(X308,""[א-ת]""))"),FALSE)</f>
        <v>0</v>
      </c>
      <c r="AB308" s="1">
        <v>20.66</v>
      </c>
      <c r="AC308" s="1">
        <v>58.02</v>
      </c>
      <c r="AD308" s="1">
        <v>0.528884147024504</v>
      </c>
      <c r="AE308" s="1">
        <v>0.2235</v>
      </c>
      <c r="AF308" s="1">
        <v>-0.6261</v>
      </c>
      <c r="AG308" s="1">
        <v>6.337</v>
      </c>
      <c r="AH308" s="1">
        <v>6.781</v>
      </c>
      <c r="AI308" s="1" t="b">
        <v>0</v>
      </c>
      <c r="AJ308" s="1" t="b">
        <v>0</v>
      </c>
      <c r="AK308" s="1">
        <v>94.182</v>
      </c>
      <c r="AL308" s="1">
        <v>96.508</v>
      </c>
      <c r="AM308" s="1" t="b">
        <v>0</v>
      </c>
      <c r="AN308" s="1" t="b">
        <v>0</v>
      </c>
      <c r="AO308" s="1">
        <v>8.05</v>
      </c>
      <c r="AP308" s="1">
        <v>8.53399999999999</v>
      </c>
      <c r="AQ308" s="1" t="b">
        <v>0</v>
      </c>
      <c r="AR308" s="1" t="b">
        <v>0</v>
      </c>
      <c r="AS308" s="1">
        <v>86.9179999999999</v>
      </c>
      <c r="AT308" s="1">
        <v>87.152</v>
      </c>
      <c r="AU308" s="1" t="b">
        <v>0</v>
      </c>
      <c r="AV308" s="1" t="b">
        <v>0</v>
      </c>
      <c r="AW308" s="1">
        <v>9.61399999999999</v>
      </c>
      <c r="AX308" s="1">
        <v>11.026</v>
      </c>
      <c r="AY308" s="1" t="b">
        <v>0</v>
      </c>
      <c r="AZ308" s="1" t="b">
        <v>0</v>
      </c>
      <c r="BA308" s="1">
        <v>81.25</v>
      </c>
      <c r="BB308" s="1">
        <v>77.78</v>
      </c>
      <c r="BC308" s="1" t="b">
        <v>0</v>
      </c>
      <c r="BD308" s="1" t="b">
        <v>0</v>
      </c>
      <c r="BE308" s="1">
        <v>11.34</v>
      </c>
      <c r="BF308" s="1">
        <v>13.285</v>
      </c>
      <c r="BG308" s="1" t="b">
        <v>0</v>
      </c>
      <c r="BH308" s="1" t="b">
        <v>0</v>
      </c>
      <c r="BI308" s="1">
        <v>77.78</v>
      </c>
      <c r="BJ308" s="1">
        <v>75.0</v>
      </c>
      <c r="BK308" s="1" t="b">
        <v>0</v>
      </c>
      <c r="BL308" s="1" t="b">
        <v>0</v>
      </c>
      <c r="BM308" s="1">
        <v>13.121</v>
      </c>
      <c r="BN308" s="1">
        <v>14.568</v>
      </c>
      <c r="BO308" s="1" t="b">
        <v>0</v>
      </c>
      <c r="BP308" s="1" t="b">
        <v>0</v>
      </c>
      <c r="BQ308" s="1">
        <v>75.0</v>
      </c>
      <c r="BR308" s="1">
        <v>72.027</v>
      </c>
      <c r="BS308" s="1" t="b">
        <v>0</v>
      </c>
      <c r="BT308" s="1" t="b">
        <v>0</v>
      </c>
      <c r="BU308" s="1" t="s">
        <v>105</v>
      </c>
      <c r="BV308" s="1" t="s">
        <v>105</v>
      </c>
      <c r="BW308" s="1" t="s">
        <v>105</v>
      </c>
      <c r="BX308" s="1" t="s">
        <v>105</v>
      </c>
      <c r="BY308" s="1" t="s">
        <v>105</v>
      </c>
      <c r="BZ308" s="1" t="s">
        <v>105</v>
      </c>
      <c r="CA308" s="1" t="s">
        <v>105</v>
      </c>
      <c r="CB308" s="1" t="s">
        <v>105</v>
      </c>
      <c r="CC308" s="1" t="s">
        <v>105</v>
      </c>
      <c r="CD308" s="1" t="s">
        <v>105</v>
      </c>
      <c r="CE308" s="4"/>
      <c r="CF308" s="4"/>
    </row>
    <row r="309" hidden="1">
      <c r="A309" s="1" t="s">
        <v>82</v>
      </c>
      <c r="B309" s="1" t="s">
        <v>123</v>
      </c>
      <c r="C309" s="1">
        <v>13.0</v>
      </c>
      <c r="D309" s="5" t="s">
        <v>1434</v>
      </c>
      <c r="E309" s="1" t="s">
        <v>1435</v>
      </c>
      <c r="F309" s="1">
        <v>49.0</v>
      </c>
      <c r="G309" s="1">
        <v>0.0</v>
      </c>
      <c r="H309" s="1" t="s">
        <v>1436</v>
      </c>
      <c r="I309" s="4" t="b">
        <f>IFERROR(__xludf.DUMMYFUNCTION("IF(H309="""",,REGEXMATCH(H309,""[א-ת]""))"),FALSE)</f>
        <v>0</v>
      </c>
      <c r="J309" s="4"/>
      <c r="K309" s="4"/>
      <c r="L309" s="1">
        <v>0.0</v>
      </c>
      <c r="M309" s="1">
        <v>18.31</v>
      </c>
      <c r="N309" s="1">
        <v>69.39</v>
      </c>
      <c r="O309" s="1">
        <v>1.416122449</v>
      </c>
      <c r="P309" s="4"/>
      <c r="Q309" s="4"/>
      <c r="R309" s="1" t="s">
        <v>127</v>
      </c>
      <c r="S309" s="1" t="s">
        <v>1435</v>
      </c>
      <c r="T309" s="1" t="s">
        <v>123</v>
      </c>
      <c r="U309" s="1">
        <v>14.0</v>
      </c>
      <c r="V309" s="5" t="s">
        <v>1434</v>
      </c>
      <c r="W309" s="1" t="s">
        <v>1435</v>
      </c>
      <c r="X309" s="1" t="s">
        <v>1437</v>
      </c>
      <c r="Y309" s="4"/>
      <c r="Z309" s="4"/>
      <c r="AA309" s="4" t="b">
        <f>IFERROR(__xludf.DUMMYFUNCTION("IF(X309="""",,REGEXMATCH(X309,""[א-ת]""))"),FALSE)</f>
        <v>0</v>
      </c>
      <c r="AB309" s="1">
        <v>24.38</v>
      </c>
      <c r="AC309" s="1">
        <v>65.31</v>
      </c>
      <c r="AD309" s="1">
        <v>0.535410584254804</v>
      </c>
      <c r="AE309" s="1">
        <v>0.0</v>
      </c>
      <c r="AF309" s="1">
        <v>0.0</v>
      </c>
      <c r="AG309" s="1">
        <v>6.337</v>
      </c>
      <c r="AH309" s="1">
        <v>6.781</v>
      </c>
      <c r="AI309" s="1" t="b">
        <v>0</v>
      </c>
      <c r="AJ309" s="1" t="b">
        <v>0</v>
      </c>
      <c r="AK309" s="1">
        <v>94.182</v>
      </c>
      <c r="AL309" s="1">
        <v>96.508</v>
      </c>
      <c r="AM309" s="1" t="b">
        <v>0</v>
      </c>
      <c r="AN309" s="1" t="b">
        <v>0</v>
      </c>
      <c r="AO309" s="1">
        <v>8.05</v>
      </c>
      <c r="AP309" s="1">
        <v>8.53399999999999</v>
      </c>
      <c r="AQ309" s="1" t="b">
        <v>0</v>
      </c>
      <c r="AR309" s="1" t="b">
        <v>0</v>
      </c>
      <c r="AS309" s="1">
        <v>86.9179999999999</v>
      </c>
      <c r="AT309" s="1">
        <v>87.152</v>
      </c>
      <c r="AU309" s="1" t="b">
        <v>0</v>
      </c>
      <c r="AV309" s="1" t="b">
        <v>0</v>
      </c>
      <c r="AW309" s="1">
        <v>9.61399999999999</v>
      </c>
      <c r="AX309" s="1">
        <v>11.026</v>
      </c>
      <c r="AY309" s="1" t="b">
        <v>0</v>
      </c>
      <c r="AZ309" s="1" t="b">
        <v>0</v>
      </c>
      <c r="BA309" s="1">
        <v>81.25</v>
      </c>
      <c r="BB309" s="1">
        <v>77.78</v>
      </c>
      <c r="BC309" s="1" t="b">
        <v>0</v>
      </c>
      <c r="BD309" s="1" t="b">
        <v>0</v>
      </c>
      <c r="BE309" s="1">
        <v>11.34</v>
      </c>
      <c r="BF309" s="1">
        <v>13.285</v>
      </c>
      <c r="BG309" s="1" t="b">
        <v>0</v>
      </c>
      <c r="BH309" s="1" t="b">
        <v>0</v>
      </c>
      <c r="BI309" s="1">
        <v>77.78</v>
      </c>
      <c r="BJ309" s="1">
        <v>75.0</v>
      </c>
      <c r="BK309" s="1" t="b">
        <v>0</v>
      </c>
      <c r="BL309" s="1" t="b">
        <v>0</v>
      </c>
      <c r="BM309" s="1">
        <v>13.121</v>
      </c>
      <c r="BN309" s="1">
        <v>14.568</v>
      </c>
      <c r="BO309" s="1" t="b">
        <v>0</v>
      </c>
      <c r="BP309" s="1" t="b">
        <v>0</v>
      </c>
      <c r="BQ309" s="1">
        <v>75.0</v>
      </c>
      <c r="BR309" s="1">
        <v>72.027</v>
      </c>
      <c r="BS309" s="1" t="b">
        <v>0</v>
      </c>
      <c r="BT309" s="1" t="b">
        <v>0</v>
      </c>
      <c r="BU309" s="1" t="s">
        <v>105</v>
      </c>
      <c r="BV309" s="1" t="s">
        <v>105</v>
      </c>
      <c r="BW309" s="1" t="s">
        <v>105</v>
      </c>
      <c r="BX309" s="1" t="s">
        <v>105</v>
      </c>
      <c r="BY309" s="1" t="s">
        <v>105</v>
      </c>
      <c r="BZ309" s="1" t="s">
        <v>105</v>
      </c>
      <c r="CA309" s="1" t="s">
        <v>105</v>
      </c>
      <c r="CB309" s="1" t="s">
        <v>105</v>
      </c>
      <c r="CC309" s="1" t="s">
        <v>105</v>
      </c>
      <c r="CD309" s="1" t="s">
        <v>105</v>
      </c>
      <c r="CE309" s="4"/>
      <c r="CF309" s="4"/>
    </row>
    <row r="310" hidden="1">
      <c r="A310" s="1" t="s">
        <v>82</v>
      </c>
      <c r="B310" s="1" t="s">
        <v>167</v>
      </c>
      <c r="C310" s="1">
        <v>14.0</v>
      </c>
      <c r="D310" s="5" t="s">
        <v>1438</v>
      </c>
      <c r="E310" s="1" t="s">
        <v>1439</v>
      </c>
      <c r="F310" s="1">
        <v>45.0</v>
      </c>
      <c r="G310" s="1">
        <v>-0.5994</v>
      </c>
      <c r="H310" s="1" t="s">
        <v>1440</v>
      </c>
      <c r="I310" s="4" t="b">
        <f>IFERROR(__xludf.DUMMYFUNCTION("IF(H310="""",,REGEXMATCH(H310,""[א-ת]""))"),FALSE)</f>
        <v>0</v>
      </c>
      <c r="J310" s="4"/>
      <c r="K310" s="4"/>
      <c r="L310" s="1">
        <v>-0.3182</v>
      </c>
      <c r="M310" s="1">
        <v>18.33</v>
      </c>
      <c r="N310" s="1">
        <v>77.78</v>
      </c>
      <c r="O310" s="1">
        <v>1.728444444</v>
      </c>
      <c r="P310" s="4"/>
      <c r="Q310" s="4"/>
      <c r="R310" s="1" t="s">
        <v>127</v>
      </c>
      <c r="S310" s="1" t="s">
        <v>1439</v>
      </c>
      <c r="T310" s="1" t="s">
        <v>167</v>
      </c>
      <c r="U310" s="1">
        <v>15.0</v>
      </c>
      <c r="V310" s="5" t="s">
        <v>1438</v>
      </c>
      <c r="W310" s="1" t="s">
        <v>1439</v>
      </c>
      <c r="X310" s="1" t="s">
        <v>1441</v>
      </c>
      <c r="Y310" s="4"/>
      <c r="Z310" s="4"/>
      <c r="AA310" s="4" t="b">
        <f>IFERROR(__xludf.DUMMYFUNCTION("IF(X310="""",,REGEXMATCH(X310,""[א-ת]""))"),TRUE)</f>
        <v>1</v>
      </c>
      <c r="AB310" s="1">
        <v>13.31</v>
      </c>
      <c r="AC310" s="1">
        <v>71.11</v>
      </c>
      <c r="AD310" s="1">
        <v>0.675749136699798</v>
      </c>
      <c r="AE310" s="1">
        <v>-0.6369</v>
      </c>
      <c r="AF310" s="1">
        <v>-0.5994</v>
      </c>
      <c r="AG310" s="1">
        <v>6.337</v>
      </c>
      <c r="AH310" s="1">
        <v>6.781</v>
      </c>
      <c r="AI310" s="1" t="b">
        <v>0</v>
      </c>
      <c r="AJ310" s="1" t="b">
        <v>0</v>
      </c>
      <c r="AK310" s="1">
        <v>94.182</v>
      </c>
      <c r="AL310" s="1">
        <v>96.508</v>
      </c>
      <c r="AM310" s="1" t="b">
        <v>0</v>
      </c>
      <c r="AN310" s="1" t="b">
        <v>0</v>
      </c>
      <c r="AO310" s="1">
        <v>8.05</v>
      </c>
      <c r="AP310" s="1">
        <v>8.53399999999999</v>
      </c>
      <c r="AQ310" s="1" t="b">
        <v>0</v>
      </c>
      <c r="AR310" s="1" t="b">
        <v>0</v>
      </c>
      <c r="AS310" s="1">
        <v>86.9179999999999</v>
      </c>
      <c r="AT310" s="1">
        <v>87.152</v>
      </c>
      <c r="AU310" s="1" t="b">
        <v>0</v>
      </c>
      <c r="AV310" s="1" t="b">
        <v>0</v>
      </c>
      <c r="AW310" s="1">
        <v>9.61399999999999</v>
      </c>
      <c r="AX310" s="1">
        <v>11.026</v>
      </c>
      <c r="AY310" s="1" t="b">
        <v>0</v>
      </c>
      <c r="AZ310" s="1" t="b">
        <v>0</v>
      </c>
      <c r="BA310" s="1">
        <v>81.25</v>
      </c>
      <c r="BB310" s="1">
        <v>77.78</v>
      </c>
      <c r="BC310" s="1" t="b">
        <v>0</v>
      </c>
      <c r="BD310" s="1" t="b">
        <v>0</v>
      </c>
      <c r="BE310" s="1">
        <v>11.34</v>
      </c>
      <c r="BF310" s="1">
        <v>13.285</v>
      </c>
      <c r="BG310" s="1" t="b">
        <v>0</v>
      </c>
      <c r="BH310" s="1" t="b">
        <v>0</v>
      </c>
      <c r="BI310" s="1">
        <v>77.78</v>
      </c>
      <c r="BJ310" s="1">
        <v>75.0</v>
      </c>
      <c r="BK310" s="1" t="b">
        <v>1</v>
      </c>
      <c r="BL310" s="1" t="b">
        <v>0</v>
      </c>
      <c r="BM310" s="1">
        <v>13.121</v>
      </c>
      <c r="BN310" s="1">
        <v>14.568</v>
      </c>
      <c r="BO310" s="1" t="b">
        <v>0</v>
      </c>
      <c r="BP310" s="1" t="b">
        <v>1</v>
      </c>
      <c r="BQ310" s="1">
        <v>75.0</v>
      </c>
      <c r="BR310" s="1">
        <v>72.027</v>
      </c>
      <c r="BS310" s="1" t="b">
        <v>1</v>
      </c>
      <c r="BT310" s="1" t="b">
        <v>0</v>
      </c>
      <c r="BU310" s="1" t="s">
        <v>105</v>
      </c>
      <c r="BV310" s="1" t="s">
        <v>105</v>
      </c>
      <c r="BW310" s="1" t="s">
        <v>105</v>
      </c>
      <c r="BX310" s="1" t="s">
        <v>105</v>
      </c>
      <c r="BY310" s="1" t="s">
        <v>105</v>
      </c>
      <c r="BZ310" s="1" t="s">
        <v>105</v>
      </c>
      <c r="CA310" s="1" t="s">
        <v>105</v>
      </c>
      <c r="CB310" s="1" t="s">
        <v>91</v>
      </c>
      <c r="CC310" s="1" t="s">
        <v>157</v>
      </c>
      <c r="CD310" s="1" t="s">
        <v>91</v>
      </c>
      <c r="CE310" s="4"/>
      <c r="CF310" s="4"/>
    </row>
    <row r="311" hidden="1">
      <c r="A311" s="1" t="s">
        <v>82</v>
      </c>
      <c r="B311" s="1" t="s">
        <v>427</v>
      </c>
      <c r="C311" s="1">
        <v>12.0</v>
      </c>
      <c r="D311" s="5" t="s">
        <v>1442</v>
      </c>
      <c r="E311" s="1" t="s">
        <v>1443</v>
      </c>
      <c r="F311" s="1">
        <v>86.0</v>
      </c>
      <c r="G311" s="1">
        <v>0.7096</v>
      </c>
      <c r="H311" s="1" t="s">
        <v>1444</v>
      </c>
      <c r="I311" s="4" t="b">
        <f>IFERROR(__xludf.DUMMYFUNCTION("IF(H311="""",,REGEXMATCH(H311,""[א-ת]""))"),FALSE)</f>
        <v>0</v>
      </c>
      <c r="J311" s="4"/>
      <c r="K311" s="4"/>
      <c r="L311" s="1">
        <v>0.7635</v>
      </c>
      <c r="M311" s="1">
        <v>18.39</v>
      </c>
      <c r="N311" s="1">
        <v>113.95</v>
      </c>
      <c r="O311" s="1">
        <v>1.325</v>
      </c>
      <c r="P311" s="4"/>
      <c r="Q311" s="4"/>
      <c r="R311" s="1" t="s">
        <v>96</v>
      </c>
      <c r="S311" s="1" t="s">
        <v>1443</v>
      </c>
      <c r="T311" s="1" t="s">
        <v>427</v>
      </c>
      <c r="U311" s="1">
        <v>13.0</v>
      </c>
      <c r="V311" s="5" t="s">
        <v>1442</v>
      </c>
      <c r="W311" s="1" t="s">
        <v>1443</v>
      </c>
      <c r="X311" s="1" t="s">
        <v>1445</v>
      </c>
      <c r="Y311" s="4"/>
      <c r="Z311" s="4"/>
      <c r="AA311" s="4" t="b">
        <f>IFERROR(__xludf.DUMMYFUNCTION("IF(X311="""",,REGEXMATCH(X311,""[א-ת]""))"),FALSE)</f>
        <v>0</v>
      </c>
      <c r="AB311" s="1">
        <v>20.16</v>
      </c>
      <c r="AC311" s="1">
        <v>60.47</v>
      </c>
      <c r="AD311" s="1">
        <v>0.645087908169931</v>
      </c>
      <c r="AE311" s="1">
        <v>-0.3911</v>
      </c>
      <c r="AF311" s="1">
        <v>0.7096</v>
      </c>
      <c r="AG311" s="1">
        <v>6.337</v>
      </c>
      <c r="AH311" s="1">
        <v>6.781</v>
      </c>
      <c r="AI311" s="1" t="b">
        <v>0</v>
      </c>
      <c r="AJ311" s="1" t="b">
        <v>0</v>
      </c>
      <c r="AK311" s="1">
        <v>94.182</v>
      </c>
      <c r="AL311" s="1">
        <v>96.508</v>
      </c>
      <c r="AM311" s="1" t="b">
        <v>1</v>
      </c>
      <c r="AN311" s="1" t="b">
        <v>0</v>
      </c>
      <c r="AO311" s="1">
        <v>8.05</v>
      </c>
      <c r="AP311" s="1">
        <v>8.53399999999999</v>
      </c>
      <c r="AQ311" s="1" t="b">
        <v>0</v>
      </c>
      <c r="AR311" s="1" t="b">
        <v>0</v>
      </c>
      <c r="AS311" s="1">
        <v>86.9179999999999</v>
      </c>
      <c r="AT311" s="1">
        <v>87.152</v>
      </c>
      <c r="AU311" s="1" t="b">
        <v>1</v>
      </c>
      <c r="AV311" s="1" t="b">
        <v>0</v>
      </c>
      <c r="AW311" s="1">
        <v>9.61399999999999</v>
      </c>
      <c r="AX311" s="1">
        <v>11.026</v>
      </c>
      <c r="AY311" s="1" t="b">
        <v>0</v>
      </c>
      <c r="AZ311" s="1" t="b">
        <v>0</v>
      </c>
      <c r="BA311" s="1">
        <v>81.25</v>
      </c>
      <c r="BB311" s="1">
        <v>77.78</v>
      </c>
      <c r="BC311" s="1" t="b">
        <v>1</v>
      </c>
      <c r="BD311" s="1" t="b">
        <v>0</v>
      </c>
      <c r="BE311" s="1">
        <v>11.34</v>
      </c>
      <c r="BF311" s="1">
        <v>13.285</v>
      </c>
      <c r="BG311" s="1" t="b">
        <v>0</v>
      </c>
      <c r="BH311" s="1" t="b">
        <v>0</v>
      </c>
      <c r="BI311" s="1">
        <v>77.78</v>
      </c>
      <c r="BJ311" s="1">
        <v>75.0</v>
      </c>
      <c r="BK311" s="1" t="b">
        <v>1</v>
      </c>
      <c r="BL311" s="1" t="b">
        <v>0</v>
      </c>
      <c r="BM311" s="1">
        <v>13.121</v>
      </c>
      <c r="BN311" s="1">
        <v>14.568</v>
      </c>
      <c r="BO311" s="1" t="b">
        <v>0</v>
      </c>
      <c r="BP311" s="1" t="b">
        <v>0</v>
      </c>
      <c r="BQ311" s="1">
        <v>75.0</v>
      </c>
      <c r="BR311" s="1">
        <v>72.027</v>
      </c>
      <c r="BS311" s="1" t="b">
        <v>1</v>
      </c>
      <c r="BT311" s="1" t="b">
        <v>0</v>
      </c>
      <c r="BU311" s="1" t="s">
        <v>105</v>
      </c>
      <c r="BV311" s="1" t="s">
        <v>91</v>
      </c>
      <c r="BW311" s="1" t="s">
        <v>105</v>
      </c>
      <c r="BX311" s="1" t="s">
        <v>91</v>
      </c>
      <c r="BY311" s="1" t="s">
        <v>105</v>
      </c>
      <c r="BZ311" s="1" t="s">
        <v>91</v>
      </c>
      <c r="CA311" s="1" t="s">
        <v>105</v>
      </c>
      <c r="CB311" s="1" t="s">
        <v>91</v>
      </c>
      <c r="CC311" s="1" t="s">
        <v>105</v>
      </c>
      <c r="CD311" s="1" t="s">
        <v>91</v>
      </c>
      <c r="CE311" s="4"/>
      <c r="CF311" s="4"/>
    </row>
    <row r="312" hidden="1">
      <c r="A312" s="1" t="s">
        <v>82</v>
      </c>
      <c r="B312" s="1" t="s">
        <v>92</v>
      </c>
      <c r="C312" s="1">
        <v>10.0</v>
      </c>
      <c r="D312" s="5" t="s">
        <v>1446</v>
      </c>
      <c r="E312" s="1" t="s">
        <v>1447</v>
      </c>
      <c r="F312" s="1">
        <v>84.0</v>
      </c>
      <c r="G312" s="1">
        <v>0.0</v>
      </c>
      <c r="H312" s="1" t="s">
        <v>1448</v>
      </c>
      <c r="I312" s="4" t="b">
        <f>IFERROR(__xludf.DUMMYFUNCTION("IF(H312="""",,REGEXMATCH(H312,""[א-ת]""))"),FALSE)</f>
        <v>0</v>
      </c>
      <c r="J312" s="4"/>
      <c r="K312" s="4"/>
      <c r="L312" s="1">
        <v>-0.6868</v>
      </c>
      <c r="M312" s="1">
        <v>18.41</v>
      </c>
      <c r="N312" s="1">
        <v>116.67</v>
      </c>
      <c r="O312" s="1">
        <v>1.388928571</v>
      </c>
      <c r="P312" s="4"/>
      <c r="Q312" s="4"/>
      <c r="R312" s="1" t="s">
        <v>96</v>
      </c>
      <c r="S312" s="1" t="s">
        <v>1447</v>
      </c>
      <c r="T312" s="1" t="s">
        <v>92</v>
      </c>
      <c r="U312" s="1">
        <v>11.0</v>
      </c>
      <c r="V312" s="5" t="s">
        <v>1446</v>
      </c>
      <c r="W312" s="1" t="s">
        <v>1447</v>
      </c>
      <c r="X312" s="1" t="s">
        <v>1449</v>
      </c>
      <c r="Y312" s="4"/>
      <c r="Z312" s="4"/>
      <c r="AA312" s="4" t="b">
        <f>IFERROR(__xludf.DUMMYFUNCTION("IF(X312="""",,REGEXMATCH(X312,""[א-ת]""))"),FALSE)</f>
        <v>0</v>
      </c>
      <c r="AB312" s="1">
        <v>29.28</v>
      </c>
      <c r="AC312" s="1">
        <v>46.43</v>
      </c>
      <c r="AD312" s="1">
        <v>0.752255595675392</v>
      </c>
      <c r="AE312" s="1">
        <v>0.0387</v>
      </c>
      <c r="AF312" s="1">
        <v>0.0</v>
      </c>
      <c r="AG312" s="1">
        <v>6.337</v>
      </c>
      <c r="AH312" s="1">
        <v>6.781</v>
      </c>
      <c r="AI312" s="1" t="b">
        <v>0</v>
      </c>
      <c r="AJ312" s="1" t="b">
        <v>0</v>
      </c>
      <c r="AK312" s="1">
        <v>94.182</v>
      </c>
      <c r="AL312" s="1">
        <v>96.508</v>
      </c>
      <c r="AM312" s="1" t="b">
        <v>1</v>
      </c>
      <c r="AN312" s="1" t="b">
        <v>0</v>
      </c>
      <c r="AO312" s="1">
        <v>8.05</v>
      </c>
      <c r="AP312" s="1">
        <v>8.53399999999999</v>
      </c>
      <c r="AQ312" s="1" t="b">
        <v>0</v>
      </c>
      <c r="AR312" s="1" t="b">
        <v>0</v>
      </c>
      <c r="AS312" s="1">
        <v>86.9179999999999</v>
      </c>
      <c r="AT312" s="1">
        <v>87.152</v>
      </c>
      <c r="AU312" s="1" t="b">
        <v>1</v>
      </c>
      <c r="AV312" s="1" t="b">
        <v>0</v>
      </c>
      <c r="AW312" s="1">
        <v>9.61399999999999</v>
      </c>
      <c r="AX312" s="1">
        <v>11.026</v>
      </c>
      <c r="AY312" s="1" t="b">
        <v>0</v>
      </c>
      <c r="AZ312" s="1" t="b">
        <v>0</v>
      </c>
      <c r="BA312" s="1">
        <v>81.25</v>
      </c>
      <c r="BB312" s="1">
        <v>77.78</v>
      </c>
      <c r="BC312" s="1" t="b">
        <v>1</v>
      </c>
      <c r="BD312" s="1" t="b">
        <v>0</v>
      </c>
      <c r="BE312" s="1">
        <v>11.34</v>
      </c>
      <c r="BF312" s="1">
        <v>13.285</v>
      </c>
      <c r="BG312" s="1" t="b">
        <v>0</v>
      </c>
      <c r="BH312" s="1" t="b">
        <v>0</v>
      </c>
      <c r="BI312" s="1">
        <v>77.78</v>
      </c>
      <c r="BJ312" s="1">
        <v>75.0</v>
      </c>
      <c r="BK312" s="1" t="b">
        <v>1</v>
      </c>
      <c r="BL312" s="1" t="b">
        <v>0</v>
      </c>
      <c r="BM312" s="1">
        <v>13.121</v>
      </c>
      <c r="BN312" s="1">
        <v>14.568</v>
      </c>
      <c r="BO312" s="1" t="b">
        <v>0</v>
      </c>
      <c r="BP312" s="1" t="b">
        <v>0</v>
      </c>
      <c r="BQ312" s="1">
        <v>75.0</v>
      </c>
      <c r="BR312" s="1">
        <v>72.027</v>
      </c>
      <c r="BS312" s="1" t="b">
        <v>1</v>
      </c>
      <c r="BT312" s="1" t="b">
        <v>0</v>
      </c>
      <c r="BU312" s="1" t="s">
        <v>105</v>
      </c>
      <c r="BV312" s="1" t="s">
        <v>91</v>
      </c>
      <c r="BW312" s="1" t="s">
        <v>105</v>
      </c>
      <c r="BX312" s="1" t="s">
        <v>91</v>
      </c>
      <c r="BY312" s="1" t="s">
        <v>105</v>
      </c>
      <c r="BZ312" s="1" t="s">
        <v>91</v>
      </c>
      <c r="CA312" s="1" t="s">
        <v>105</v>
      </c>
      <c r="CB312" s="1" t="s">
        <v>91</v>
      </c>
      <c r="CC312" s="1" t="s">
        <v>105</v>
      </c>
      <c r="CD312" s="1" t="s">
        <v>91</v>
      </c>
      <c r="CE312" s="4"/>
      <c r="CF312" s="4"/>
    </row>
    <row r="313" hidden="1">
      <c r="A313" s="1" t="s">
        <v>82</v>
      </c>
      <c r="B313" s="1" t="s">
        <v>123</v>
      </c>
      <c r="C313" s="1">
        <v>41.0</v>
      </c>
      <c r="D313" s="5" t="s">
        <v>1450</v>
      </c>
      <c r="E313" s="1" t="s">
        <v>1451</v>
      </c>
      <c r="F313" s="1">
        <v>53.0</v>
      </c>
      <c r="G313" s="1">
        <v>-0.9022</v>
      </c>
      <c r="H313" s="1" t="s">
        <v>1452</v>
      </c>
      <c r="I313" s="4" t="b">
        <f>IFERROR(__xludf.DUMMYFUNCTION("IF(H313="""",,REGEXMATCH(H313,""[א-ת]""))"),FALSE)</f>
        <v>0</v>
      </c>
      <c r="J313" s="4"/>
      <c r="K313" s="4"/>
      <c r="L313" s="1">
        <v>-0.7906</v>
      </c>
      <c r="M313" s="1">
        <v>18.46</v>
      </c>
      <c r="N313" s="1">
        <v>64.15</v>
      </c>
      <c r="O313" s="1">
        <v>1.210377358</v>
      </c>
      <c r="P313" s="4"/>
      <c r="Q313" s="4"/>
      <c r="R313" s="1" t="s">
        <v>127</v>
      </c>
      <c r="S313" s="1" t="s">
        <v>1451</v>
      </c>
      <c r="T313" s="1" t="s">
        <v>123</v>
      </c>
      <c r="U313" s="1">
        <v>42.0</v>
      </c>
      <c r="V313" s="5" t="s">
        <v>1450</v>
      </c>
      <c r="W313" s="1" t="s">
        <v>1451</v>
      </c>
      <c r="X313" s="1" t="s">
        <v>1453</v>
      </c>
      <c r="Y313" s="4"/>
      <c r="Z313" s="4"/>
      <c r="AA313" s="4" t="b">
        <f>IFERROR(__xludf.DUMMYFUNCTION("IF(X313="""",,REGEXMATCH(X313,""[א-ת]""))"),FALSE)</f>
        <v>0</v>
      </c>
      <c r="AB313" s="1">
        <v>18.08</v>
      </c>
      <c r="AC313" s="1">
        <v>66.04</v>
      </c>
      <c r="AD313" s="1">
        <v>0.404088513149321</v>
      </c>
      <c r="AE313" s="1">
        <v>-0.6808</v>
      </c>
      <c r="AF313" s="1">
        <v>-0.9022</v>
      </c>
      <c r="AG313" s="1">
        <v>6.337</v>
      </c>
      <c r="AH313" s="1">
        <v>6.781</v>
      </c>
      <c r="AI313" s="1" t="b">
        <v>0</v>
      </c>
      <c r="AJ313" s="1" t="b">
        <v>0</v>
      </c>
      <c r="AK313" s="1">
        <v>94.182</v>
      </c>
      <c r="AL313" s="1">
        <v>96.508</v>
      </c>
      <c r="AM313" s="1" t="b">
        <v>0</v>
      </c>
      <c r="AN313" s="1" t="b">
        <v>0</v>
      </c>
      <c r="AO313" s="1">
        <v>8.05</v>
      </c>
      <c r="AP313" s="1">
        <v>8.53399999999999</v>
      </c>
      <c r="AQ313" s="1" t="b">
        <v>0</v>
      </c>
      <c r="AR313" s="1" t="b">
        <v>0</v>
      </c>
      <c r="AS313" s="1">
        <v>86.9179999999999</v>
      </c>
      <c r="AT313" s="1">
        <v>87.152</v>
      </c>
      <c r="AU313" s="1" t="b">
        <v>0</v>
      </c>
      <c r="AV313" s="1" t="b">
        <v>0</v>
      </c>
      <c r="AW313" s="1">
        <v>9.61399999999999</v>
      </c>
      <c r="AX313" s="1">
        <v>11.026</v>
      </c>
      <c r="AY313" s="1" t="b">
        <v>0</v>
      </c>
      <c r="AZ313" s="1" t="b">
        <v>0</v>
      </c>
      <c r="BA313" s="1">
        <v>81.25</v>
      </c>
      <c r="BB313" s="1">
        <v>77.78</v>
      </c>
      <c r="BC313" s="1" t="b">
        <v>0</v>
      </c>
      <c r="BD313" s="1" t="b">
        <v>0</v>
      </c>
      <c r="BE313" s="1">
        <v>11.34</v>
      </c>
      <c r="BF313" s="1">
        <v>13.285</v>
      </c>
      <c r="BG313" s="1" t="b">
        <v>0</v>
      </c>
      <c r="BH313" s="1" t="b">
        <v>0</v>
      </c>
      <c r="BI313" s="1">
        <v>77.78</v>
      </c>
      <c r="BJ313" s="1">
        <v>75.0</v>
      </c>
      <c r="BK313" s="1" t="b">
        <v>0</v>
      </c>
      <c r="BL313" s="1" t="b">
        <v>0</v>
      </c>
      <c r="BM313" s="1">
        <v>13.121</v>
      </c>
      <c r="BN313" s="1">
        <v>14.568</v>
      </c>
      <c r="BO313" s="1" t="b">
        <v>0</v>
      </c>
      <c r="BP313" s="1" t="b">
        <v>0</v>
      </c>
      <c r="BQ313" s="1">
        <v>75.0</v>
      </c>
      <c r="BR313" s="1">
        <v>72.027</v>
      </c>
      <c r="BS313" s="1" t="b">
        <v>0</v>
      </c>
      <c r="BT313" s="1" t="b">
        <v>0</v>
      </c>
      <c r="BU313" s="1" t="s">
        <v>105</v>
      </c>
      <c r="BV313" s="1" t="s">
        <v>105</v>
      </c>
      <c r="BW313" s="1" t="s">
        <v>105</v>
      </c>
      <c r="BX313" s="1" t="s">
        <v>105</v>
      </c>
      <c r="BY313" s="1" t="s">
        <v>105</v>
      </c>
      <c r="BZ313" s="1" t="s">
        <v>105</v>
      </c>
      <c r="CA313" s="1" t="s">
        <v>105</v>
      </c>
      <c r="CB313" s="1" t="s">
        <v>105</v>
      </c>
      <c r="CC313" s="1" t="s">
        <v>105</v>
      </c>
      <c r="CD313" s="1" t="s">
        <v>105</v>
      </c>
      <c r="CE313" s="4"/>
      <c r="CF313" s="4"/>
    </row>
    <row r="314" hidden="1">
      <c r="A314" s="1" t="s">
        <v>82</v>
      </c>
      <c r="B314" s="1" t="s">
        <v>304</v>
      </c>
      <c r="C314" s="1">
        <v>6.0</v>
      </c>
      <c r="D314" s="5" t="s">
        <v>1454</v>
      </c>
      <c r="E314" s="1" t="s">
        <v>1455</v>
      </c>
      <c r="F314" s="1">
        <v>12.0</v>
      </c>
      <c r="G314" s="1">
        <v>-0.3818</v>
      </c>
      <c r="H314" s="1" t="s">
        <v>1456</v>
      </c>
      <c r="I314" s="4" t="b">
        <f>IFERROR(__xludf.DUMMYFUNCTION("IF(H314="""",,REGEXMATCH(H314,""[א-ת]""))"),FALSE)</f>
        <v>0</v>
      </c>
      <c r="J314" s="4"/>
      <c r="K314" s="4"/>
      <c r="L314" s="1">
        <v>-0.296</v>
      </c>
      <c r="M314" s="1">
        <v>18.48</v>
      </c>
      <c r="N314" s="1">
        <v>66.67</v>
      </c>
      <c r="O314" s="1">
        <v>5.555833333</v>
      </c>
      <c r="P314" s="4"/>
      <c r="Q314" s="4"/>
      <c r="R314" s="1" t="s">
        <v>89</v>
      </c>
      <c r="S314" s="1" t="s">
        <v>1455</v>
      </c>
      <c r="T314" s="1" t="s">
        <v>304</v>
      </c>
      <c r="U314" s="1">
        <v>7.0</v>
      </c>
      <c r="V314" s="5" t="s">
        <v>1454</v>
      </c>
      <c r="W314" s="1" t="s">
        <v>1455</v>
      </c>
      <c r="X314" s="1" t="s">
        <v>1457</v>
      </c>
      <c r="Y314" s="4"/>
      <c r="Z314" s="4"/>
      <c r="AA314" s="4" t="b">
        <f>IFERROR(__xludf.DUMMYFUNCTION("IF(X314="""",,REGEXMATCH(X314,""[א-ת]""))"),FALSE)</f>
        <v>0</v>
      </c>
      <c r="AB314" s="1">
        <v>51.5</v>
      </c>
      <c r="AC314" s="1">
        <v>33.33</v>
      </c>
      <c r="AD314" s="1">
        <v>1.0</v>
      </c>
      <c r="AE314" s="1">
        <v>-0.3818</v>
      </c>
      <c r="AF314" s="1">
        <v>-0.3818</v>
      </c>
      <c r="AG314" s="1">
        <v>6.337</v>
      </c>
      <c r="AH314" s="1">
        <v>6.781</v>
      </c>
      <c r="AI314" s="1" t="b">
        <v>0</v>
      </c>
      <c r="AJ314" s="1" t="b">
        <v>0</v>
      </c>
      <c r="AK314" s="1">
        <v>94.182</v>
      </c>
      <c r="AL314" s="1">
        <v>96.508</v>
      </c>
      <c r="AM314" s="1" t="b">
        <v>0</v>
      </c>
      <c r="AN314" s="1" t="b">
        <v>0</v>
      </c>
      <c r="AO314" s="1">
        <v>8.05</v>
      </c>
      <c r="AP314" s="1">
        <v>8.53399999999999</v>
      </c>
      <c r="AQ314" s="1" t="b">
        <v>0</v>
      </c>
      <c r="AR314" s="1" t="b">
        <v>0</v>
      </c>
      <c r="AS314" s="1">
        <v>86.9179999999999</v>
      </c>
      <c r="AT314" s="1">
        <v>87.152</v>
      </c>
      <c r="AU314" s="1" t="b">
        <v>0</v>
      </c>
      <c r="AV314" s="1" t="b">
        <v>0</v>
      </c>
      <c r="AW314" s="1">
        <v>9.61399999999999</v>
      </c>
      <c r="AX314" s="1">
        <v>11.026</v>
      </c>
      <c r="AY314" s="1" t="b">
        <v>0</v>
      </c>
      <c r="AZ314" s="1" t="b">
        <v>0</v>
      </c>
      <c r="BA314" s="1">
        <v>81.25</v>
      </c>
      <c r="BB314" s="1">
        <v>77.78</v>
      </c>
      <c r="BC314" s="1" t="b">
        <v>0</v>
      </c>
      <c r="BD314" s="1" t="b">
        <v>0</v>
      </c>
      <c r="BE314" s="1">
        <v>11.34</v>
      </c>
      <c r="BF314" s="1">
        <v>13.285</v>
      </c>
      <c r="BG314" s="1" t="b">
        <v>0</v>
      </c>
      <c r="BH314" s="1" t="b">
        <v>0</v>
      </c>
      <c r="BI314" s="1">
        <v>77.78</v>
      </c>
      <c r="BJ314" s="1">
        <v>75.0</v>
      </c>
      <c r="BK314" s="1" t="b">
        <v>0</v>
      </c>
      <c r="BL314" s="1" t="b">
        <v>0</v>
      </c>
      <c r="BM314" s="1">
        <v>13.121</v>
      </c>
      <c r="BN314" s="1">
        <v>14.568</v>
      </c>
      <c r="BO314" s="1" t="b">
        <v>0</v>
      </c>
      <c r="BP314" s="1" t="b">
        <v>0</v>
      </c>
      <c r="BQ314" s="1">
        <v>75.0</v>
      </c>
      <c r="BR314" s="1">
        <v>72.027</v>
      </c>
      <c r="BS314" s="1" t="b">
        <v>0</v>
      </c>
      <c r="BT314" s="1" t="b">
        <v>0</v>
      </c>
      <c r="BU314" s="1" t="s">
        <v>105</v>
      </c>
      <c r="BV314" s="1" t="s">
        <v>105</v>
      </c>
      <c r="BW314" s="1" t="s">
        <v>105</v>
      </c>
      <c r="BX314" s="1" t="s">
        <v>105</v>
      </c>
      <c r="BY314" s="1" t="s">
        <v>105</v>
      </c>
      <c r="BZ314" s="1" t="s">
        <v>105</v>
      </c>
      <c r="CA314" s="1" t="s">
        <v>105</v>
      </c>
      <c r="CB314" s="1" t="s">
        <v>105</v>
      </c>
      <c r="CC314" s="1" t="s">
        <v>105</v>
      </c>
      <c r="CD314" s="1" t="s">
        <v>105</v>
      </c>
      <c r="CE314" s="4"/>
      <c r="CF314" s="4"/>
    </row>
    <row r="315" hidden="1">
      <c r="A315" s="1" t="s">
        <v>82</v>
      </c>
      <c r="B315" s="1" t="s">
        <v>427</v>
      </c>
      <c r="C315" s="1">
        <v>4.0</v>
      </c>
      <c r="D315" s="5" t="s">
        <v>1458</v>
      </c>
      <c r="E315" s="1" t="s">
        <v>1459</v>
      </c>
      <c r="F315" s="1">
        <v>112.0</v>
      </c>
      <c r="G315" s="1">
        <v>0.9081</v>
      </c>
      <c r="H315" s="1" t="s">
        <v>1460</v>
      </c>
      <c r="I315" s="4" t="b">
        <f>IFERROR(__xludf.DUMMYFUNCTION("IF(H315="""",,REGEXMATCH(H315,""[א-ת]""))"),FALSE)</f>
        <v>0</v>
      </c>
      <c r="J315" s="4"/>
      <c r="K315" s="4"/>
      <c r="L315" s="1">
        <v>0.5423</v>
      </c>
      <c r="M315" s="1">
        <v>18.55</v>
      </c>
      <c r="N315" s="1">
        <v>67.86</v>
      </c>
      <c r="O315" s="1">
        <v>0.6058928571</v>
      </c>
      <c r="P315" s="4"/>
      <c r="Q315" s="4"/>
      <c r="R315" s="1" t="s">
        <v>96</v>
      </c>
      <c r="S315" s="1" t="s">
        <v>1459</v>
      </c>
      <c r="T315" s="1" t="s">
        <v>427</v>
      </c>
      <c r="U315" s="1">
        <v>5.0</v>
      </c>
      <c r="V315" s="5" t="s">
        <v>1458</v>
      </c>
      <c r="W315" s="1" t="s">
        <v>1459</v>
      </c>
      <c r="X315" s="1" t="s">
        <v>1461</v>
      </c>
      <c r="Y315" s="4"/>
      <c r="Z315" s="4"/>
      <c r="AA315" s="4" t="b">
        <f>IFERROR(__xludf.DUMMYFUNCTION("IF(X315="""",,REGEXMATCH(X315,""[א-ת]""))"),TRUE)</f>
        <v>1</v>
      </c>
      <c r="AB315" s="1">
        <v>19.32</v>
      </c>
      <c r="AC315" s="1">
        <v>63.39</v>
      </c>
      <c r="AD315" s="1">
        <v>0.650695868182627</v>
      </c>
      <c r="AE315" s="1">
        <v>0.6369</v>
      </c>
      <c r="AF315" s="1">
        <v>0.9081</v>
      </c>
      <c r="AG315" s="1">
        <v>6.337</v>
      </c>
      <c r="AH315" s="1">
        <v>6.781</v>
      </c>
      <c r="AI315" s="1" t="b">
        <v>0</v>
      </c>
      <c r="AJ315" s="1" t="b">
        <v>0</v>
      </c>
      <c r="AK315" s="1">
        <v>94.182</v>
      </c>
      <c r="AL315" s="1">
        <v>96.508</v>
      </c>
      <c r="AM315" s="1" t="b">
        <v>0</v>
      </c>
      <c r="AN315" s="1" t="b">
        <v>0</v>
      </c>
      <c r="AO315" s="1">
        <v>8.05</v>
      </c>
      <c r="AP315" s="1">
        <v>8.53399999999999</v>
      </c>
      <c r="AQ315" s="1" t="b">
        <v>0</v>
      </c>
      <c r="AR315" s="1" t="b">
        <v>0</v>
      </c>
      <c r="AS315" s="1">
        <v>86.9179999999999</v>
      </c>
      <c r="AT315" s="1">
        <v>87.152</v>
      </c>
      <c r="AU315" s="1" t="b">
        <v>0</v>
      </c>
      <c r="AV315" s="1" t="b">
        <v>0</v>
      </c>
      <c r="AW315" s="1">
        <v>9.61399999999999</v>
      </c>
      <c r="AX315" s="1">
        <v>11.026</v>
      </c>
      <c r="AY315" s="1" t="b">
        <v>0</v>
      </c>
      <c r="AZ315" s="1" t="b">
        <v>0</v>
      </c>
      <c r="BA315" s="1">
        <v>81.25</v>
      </c>
      <c r="BB315" s="1">
        <v>77.78</v>
      </c>
      <c r="BC315" s="1" t="b">
        <v>0</v>
      </c>
      <c r="BD315" s="1" t="b">
        <v>0</v>
      </c>
      <c r="BE315" s="1">
        <v>11.34</v>
      </c>
      <c r="BF315" s="1">
        <v>13.285</v>
      </c>
      <c r="BG315" s="1" t="b">
        <v>0</v>
      </c>
      <c r="BH315" s="1" t="b">
        <v>0</v>
      </c>
      <c r="BI315" s="1">
        <v>77.78</v>
      </c>
      <c r="BJ315" s="1">
        <v>75.0</v>
      </c>
      <c r="BK315" s="1" t="b">
        <v>0</v>
      </c>
      <c r="BL315" s="1" t="b">
        <v>0</v>
      </c>
      <c r="BM315" s="1">
        <v>13.121</v>
      </c>
      <c r="BN315" s="1">
        <v>14.568</v>
      </c>
      <c r="BO315" s="1" t="b">
        <v>0</v>
      </c>
      <c r="BP315" s="1" t="b">
        <v>0</v>
      </c>
      <c r="BQ315" s="1">
        <v>75.0</v>
      </c>
      <c r="BR315" s="1">
        <v>72.027</v>
      </c>
      <c r="BS315" s="1" t="b">
        <v>0</v>
      </c>
      <c r="BT315" s="1" t="b">
        <v>0</v>
      </c>
      <c r="BU315" s="1" t="s">
        <v>105</v>
      </c>
      <c r="BV315" s="1" t="s">
        <v>105</v>
      </c>
      <c r="BW315" s="1" t="s">
        <v>105</v>
      </c>
      <c r="BX315" s="1" t="s">
        <v>105</v>
      </c>
      <c r="BY315" s="1" t="s">
        <v>105</v>
      </c>
      <c r="BZ315" s="1" t="s">
        <v>105</v>
      </c>
      <c r="CA315" s="1" t="s">
        <v>105</v>
      </c>
      <c r="CB315" s="1" t="s">
        <v>105</v>
      </c>
      <c r="CC315" s="1" t="s">
        <v>105</v>
      </c>
      <c r="CD315" s="1" t="s">
        <v>105</v>
      </c>
      <c r="CE315" s="4"/>
      <c r="CF315" s="4"/>
    </row>
    <row r="316" hidden="1">
      <c r="A316" s="1" t="s">
        <v>82</v>
      </c>
      <c r="B316" s="1" t="s">
        <v>92</v>
      </c>
      <c r="C316" s="1">
        <v>32.0</v>
      </c>
      <c r="D316" s="5" t="s">
        <v>1462</v>
      </c>
      <c r="E316" s="1" t="s">
        <v>1463</v>
      </c>
      <c r="F316" s="1">
        <v>50.0</v>
      </c>
      <c r="G316" s="1">
        <v>0.2732</v>
      </c>
      <c r="H316" s="1" t="s">
        <v>1464</v>
      </c>
      <c r="I316" s="4" t="b">
        <f>IFERROR(__xludf.DUMMYFUNCTION("IF(H316="""",,REGEXMATCH(H316,""[א-ת]""))"),FALSE)</f>
        <v>0</v>
      </c>
      <c r="J316" s="4"/>
      <c r="K316" s="4"/>
      <c r="L316" s="1">
        <v>0.6369</v>
      </c>
      <c r="M316" s="1">
        <v>18.63</v>
      </c>
      <c r="N316" s="1">
        <v>70.0</v>
      </c>
      <c r="O316" s="1">
        <v>1.4</v>
      </c>
      <c r="P316" s="4"/>
      <c r="Q316" s="4"/>
      <c r="R316" s="1" t="s">
        <v>96</v>
      </c>
      <c r="S316" s="1" t="s">
        <v>1463</v>
      </c>
      <c r="T316" s="1" t="s">
        <v>92</v>
      </c>
      <c r="U316" s="1">
        <v>33.0</v>
      </c>
      <c r="V316" s="5" t="s">
        <v>1462</v>
      </c>
      <c r="W316" s="1" t="s">
        <v>1463</v>
      </c>
      <c r="X316" s="1" t="s">
        <v>1465</v>
      </c>
      <c r="Y316" s="4"/>
      <c r="Z316" s="4"/>
      <c r="AA316" s="4" t="b">
        <f>IFERROR(__xludf.DUMMYFUNCTION("IF(X316="""",,REGEXMATCH(X316,""[א-ת]""))"),FALSE)</f>
        <v>0</v>
      </c>
      <c r="AB316" s="1">
        <v>16.69</v>
      </c>
      <c r="AC316" s="1">
        <v>66.0</v>
      </c>
      <c r="AD316" s="1">
        <v>0.338688676658491</v>
      </c>
      <c r="AE316" s="1">
        <v>0.4404</v>
      </c>
      <c r="AF316" s="1">
        <v>0.2732</v>
      </c>
      <c r="AG316" s="1">
        <v>6.337</v>
      </c>
      <c r="AH316" s="1">
        <v>6.781</v>
      </c>
      <c r="AI316" s="1" t="b">
        <v>0</v>
      </c>
      <c r="AJ316" s="1" t="b">
        <v>0</v>
      </c>
      <c r="AK316" s="1">
        <v>94.182</v>
      </c>
      <c r="AL316" s="1">
        <v>96.508</v>
      </c>
      <c r="AM316" s="1" t="b">
        <v>0</v>
      </c>
      <c r="AN316" s="1" t="b">
        <v>0</v>
      </c>
      <c r="AO316" s="1">
        <v>8.05</v>
      </c>
      <c r="AP316" s="1">
        <v>8.53399999999999</v>
      </c>
      <c r="AQ316" s="1" t="b">
        <v>0</v>
      </c>
      <c r="AR316" s="1" t="b">
        <v>0</v>
      </c>
      <c r="AS316" s="1">
        <v>86.9179999999999</v>
      </c>
      <c r="AT316" s="1">
        <v>87.152</v>
      </c>
      <c r="AU316" s="1" t="b">
        <v>0</v>
      </c>
      <c r="AV316" s="1" t="b">
        <v>0</v>
      </c>
      <c r="AW316" s="1">
        <v>9.61399999999999</v>
      </c>
      <c r="AX316" s="1">
        <v>11.026</v>
      </c>
      <c r="AY316" s="1" t="b">
        <v>0</v>
      </c>
      <c r="AZ316" s="1" t="b">
        <v>0</v>
      </c>
      <c r="BA316" s="1">
        <v>81.25</v>
      </c>
      <c r="BB316" s="1">
        <v>77.78</v>
      </c>
      <c r="BC316" s="1" t="b">
        <v>0</v>
      </c>
      <c r="BD316" s="1" t="b">
        <v>0</v>
      </c>
      <c r="BE316" s="1">
        <v>11.34</v>
      </c>
      <c r="BF316" s="1">
        <v>13.285</v>
      </c>
      <c r="BG316" s="1" t="b">
        <v>0</v>
      </c>
      <c r="BH316" s="1" t="b">
        <v>0</v>
      </c>
      <c r="BI316" s="1">
        <v>77.78</v>
      </c>
      <c r="BJ316" s="1">
        <v>75.0</v>
      </c>
      <c r="BK316" s="1" t="b">
        <v>0</v>
      </c>
      <c r="BL316" s="1" t="b">
        <v>0</v>
      </c>
      <c r="BM316" s="1">
        <v>13.121</v>
      </c>
      <c r="BN316" s="1">
        <v>14.568</v>
      </c>
      <c r="BO316" s="1" t="b">
        <v>0</v>
      </c>
      <c r="BP316" s="1" t="b">
        <v>0</v>
      </c>
      <c r="BQ316" s="1">
        <v>75.0</v>
      </c>
      <c r="BR316" s="1">
        <v>72.027</v>
      </c>
      <c r="BS316" s="1" t="b">
        <v>0</v>
      </c>
      <c r="BT316" s="1" t="b">
        <v>0</v>
      </c>
      <c r="BU316" s="1" t="s">
        <v>105</v>
      </c>
      <c r="BV316" s="1" t="s">
        <v>105</v>
      </c>
      <c r="BW316" s="1" t="s">
        <v>105</v>
      </c>
      <c r="BX316" s="1" t="s">
        <v>105</v>
      </c>
      <c r="BY316" s="1" t="s">
        <v>105</v>
      </c>
      <c r="BZ316" s="1" t="s">
        <v>105</v>
      </c>
      <c r="CA316" s="1" t="s">
        <v>105</v>
      </c>
      <c r="CB316" s="1" t="s">
        <v>105</v>
      </c>
      <c r="CC316" s="1" t="s">
        <v>105</v>
      </c>
      <c r="CD316" s="1" t="s">
        <v>105</v>
      </c>
      <c r="CE316" s="4"/>
      <c r="CF316" s="4"/>
    </row>
    <row r="317" hidden="1">
      <c r="A317" s="1" t="s">
        <v>82</v>
      </c>
      <c r="B317" s="1" t="s">
        <v>158</v>
      </c>
      <c r="C317" s="1">
        <v>17.0</v>
      </c>
      <c r="D317" s="5" t="s">
        <v>1466</v>
      </c>
      <c r="E317" s="1" t="s">
        <v>1467</v>
      </c>
      <c r="F317" s="1">
        <v>52.0</v>
      </c>
      <c r="G317" s="1">
        <v>-0.25</v>
      </c>
      <c r="H317" s="1" t="s">
        <v>1468</v>
      </c>
      <c r="I317" s="4" t="b">
        <f>IFERROR(__xludf.DUMMYFUNCTION("IF(H317="""",,REGEXMATCH(H317,""[א-ת]""))"),FALSE)</f>
        <v>0</v>
      </c>
      <c r="J317" s="4"/>
      <c r="K317" s="4"/>
      <c r="L317" s="1">
        <v>0.0</v>
      </c>
      <c r="M317" s="1">
        <v>18.74</v>
      </c>
      <c r="N317" s="1">
        <v>103.85</v>
      </c>
      <c r="O317" s="1">
        <v>1.997115385</v>
      </c>
      <c r="P317" s="4"/>
      <c r="Q317" s="4"/>
      <c r="R317" s="1" t="s">
        <v>89</v>
      </c>
      <c r="S317" s="1" t="s">
        <v>1467</v>
      </c>
      <c r="T317" s="1" t="s">
        <v>158</v>
      </c>
      <c r="U317" s="1">
        <v>18.0</v>
      </c>
      <c r="V317" s="5" t="s">
        <v>1466</v>
      </c>
      <c r="W317" s="1" t="s">
        <v>1467</v>
      </c>
      <c r="X317" s="1" t="s">
        <v>1469</v>
      </c>
      <c r="Y317" s="4"/>
      <c r="Z317" s="4"/>
      <c r="AA317" s="4" t="b">
        <f>IFERROR(__xludf.DUMMYFUNCTION("IF(X317="""",,REGEXMATCH(X317,""[א-ת]""))"),FALSE)</f>
        <v>0</v>
      </c>
      <c r="AB317" s="1">
        <v>21.52</v>
      </c>
      <c r="AC317" s="1">
        <v>76.92</v>
      </c>
      <c r="AD317" s="1">
        <v>0.740581134886282</v>
      </c>
      <c r="AE317" s="1">
        <v>0.0</v>
      </c>
      <c r="AF317" s="1">
        <v>-0.25</v>
      </c>
      <c r="AG317" s="1">
        <v>6.337</v>
      </c>
      <c r="AH317" s="1">
        <v>6.781</v>
      </c>
      <c r="AI317" s="1" t="b">
        <v>0</v>
      </c>
      <c r="AJ317" s="1" t="b">
        <v>0</v>
      </c>
      <c r="AK317" s="1">
        <v>94.182</v>
      </c>
      <c r="AL317" s="1">
        <v>96.508</v>
      </c>
      <c r="AM317" s="1" t="b">
        <v>1</v>
      </c>
      <c r="AN317" s="1" t="b">
        <v>0</v>
      </c>
      <c r="AO317" s="1">
        <v>8.05</v>
      </c>
      <c r="AP317" s="1">
        <v>8.53399999999999</v>
      </c>
      <c r="AQ317" s="1" t="b">
        <v>0</v>
      </c>
      <c r="AR317" s="1" t="b">
        <v>0</v>
      </c>
      <c r="AS317" s="1">
        <v>86.9179999999999</v>
      </c>
      <c r="AT317" s="1">
        <v>87.152</v>
      </c>
      <c r="AU317" s="1" t="b">
        <v>1</v>
      </c>
      <c r="AV317" s="1" t="b">
        <v>0</v>
      </c>
      <c r="AW317" s="1">
        <v>9.61399999999999</v>
      </c>
      <c r="AX317" s="1">
        <v>11.026</v>
      </c>
      <c r="AY317" s="1" t="b">
        <v>0</v>
      </c>
      <c r="AZ317" s="1" t="b">
        <v>0</v>
      </c>
      <c r="BA317" s="1">
        <v>81.25</v>
      </c>
      <c r="BB317" s="1">
        <v>77.78</v>
      </c>
      <c r="BC317" s="1" t="b">
        <v>1</v>
      </c>
      <c r="BD317" s="1" t="b">
        <v>0</v>
      </c>
      <c r="BE317" s="1">
        <v>11.34</v>
      </c>
      <c r="BF317" s="1">
        <v>13.285</v>
      </c>
      <c r="BG317" s="1" t="b">
        <v>0</v>
      </c>
      <c r="BH317" s="1" t="b">
        <v>0</v>
      </c>
      <c r="BI317" s="1">
        <v>77.78</v>
      </c>
      <c r="BJ317" s="1">
        <v>75.0</v>
      </c>
      <c r="BK317" s="1" t="b">
        <v>1</v>
      </c>
      <c r="BL317" s="1" t="b">
        <v>1</v>
      </c>
      <c r="BM317" s="1">
        <v>13.121</v>
      </c>
      <c r="BN317" s="1">
        <v>14.568</v>
      </c>
      <c r="BO317" s="1" t="b">
        <v>0</v>
      </c>
      <c r="BP317" s="1" t="b">
        <v>0</v>
      </c>
      <c r="BQ317" s="1">
        <v>75.0</v>
      </c>
      <c r="BR317" s="1">
        <v>72.027</v>
      </c>
      <c r="BS317" s="1" t="b">
        <v>1</v>
      </c>
      <c r="BT317" s="1" t="b">
        <v>1</v>
      </c>
      <c r="BU317" s="1" t="s">
        <v>105</v>
      </c>
      <c r="BV317" s="1" t="s">
        <v>91</v>
      </c>
      <c r="BW317" s="1" t="s">
        <v>105</v>
      </c>
      <c r="BX317" s="1" t="s">
        <v>91</v>
      </c>
      <c r="BY317" s="1" t="s">
        <v>105</v>
      </c>
      <c r="BZ317" s="1" t="s">
        <v>91</v>
      </c>
      <c r="CA317" s="1" t="s">
        <v>105</v>
      </c>
      <c r="CB317" s="1" t="s">
        <v>104</v>
      </c>
      <c r="CC317" s="1" t="s">
        <v>105</v>
      </c>
      <c r="CD317" s="1" t="s">
        <v>104</v>
      </c>
      <c r="CE317" s="4"/>
      <c r="CF317" s="4"/>
    </row>
    <row r="318" hidden="1">
      <c r="A318" s="1" t="s">
        <v>82</v>
      </c>
      <c r="B318" s="1" t="s">
        <v>111</v>
      </c>
      <c r="C318" s="1">
        <v>28.0</v>
      </c>
      <c r="D318" s="5" t="s">
        <v>1470</v>
      </c>
      <c r="E318" s="1" t="s">
        <v>1471</v>
      </c>
      <c r="F318" s="1">
        <v>19.0</v>
      </c>
      <c r="G318" s="1">
        <v>-0.2263</v>
      </c>
      <c r="H318" s="1" t="s">
        <v>1472</v>
      </c>
      <c r="I318" s="4" t="b">
        <f>IFERROR(__xludf.DUMMYFUNCTION("IF(H318="""",,REGEXMATCH(H318,""[א-ת]""))"),FALSE)</f>
        <v>0</v>
      </c>
      <c r="J318" s="4"/>
      <c r="K318" s="4"/>
      <c r="L318" s="1">
        <v>-0.4003</v>
      </c>
      <c r="M318" s="1">
        <v>18.8</v>
      </c>
      <c r="N318" s="1">
        <v>57.89</v>
      </c>
      <c r="O318" s="1">
        <v>3.046842105</v>
      </c>
      <c r="P318" s="4"/>
      <c r="Q318" s="4"/>
      <c r="R318" s="1" t="s">
        <v>89</v>
      </c>
      <c r="S318" s="1" t="s">
        <v>1471</v>
      </c>
      <c r="T318" s="1" t="s">
        <v>111</v>
      </c>
      <c r="U318" s="1">
        <v>29.0</v>
      </c>
      <c r="V318" s="5" t="s">
        <v>1470</v>
      </c>
      <c r="W318" s="1" t="s">
        <v>1471</v>
      </c>
      <c r="X318" s="1" t="s">
        <v>1473</v>
      </c>
      <c r="Y318" s="4"/>
      <c r="Z318" s="4"/>
      <c r="AA318" s="4" t="b">
        <f>IFERROR(__xludf.DUMMYFUNCTION("IF(X318="""",,REGEXMATCH(X318,""[א-ת]""))"),FALSE)</f>
        <v>0</v>
      </c>
      <c r="AB318" s="1">
        <v>13.97</v>
      </c>
      <c r="AC318" s="1">
        <v>73.68</v>
      </c>
      <c r="AD318" s="1">
        <v>0.283672076363735</v>
      </c>
      <c r="AE318" s="1">
        <v>-0.4003</v>
      </c>
      <c r="AF318" s="1">
        <v>-0.2263</v>
      </c>
      <c r="AG318" s="1">
        <v>6.337</v>
      </c>
      <c r="AH318" s="1">
        <v>6.781</v>
      </c>
      <c r="AI318" s="1" t="b">
        <v>0</v>
      </c>
      <c r="AJ318" s="1" t="b">
        <v>0</v>
      </c>
      <c r="AK318" s="1">
        <v>94.182</v>
      </c>
      <c r="AL318" s="1">
        <v>96.508</v>
      </c>
      <c r="AM318" s="1" t="b">
        <v>0</v>
      </c>
      <c r="AN318" s="1" t="b">
        <v>0</v>
      </c>
      <c r="AO318" s="1">
        <v>8.05</v>
      </c>
      <c r="AP318" s="1">
        <v>8.53399999999999</v>
      </c>
      <c r="AQ318" s="1" t="b">
        <v>0</v>
      </c>
      <c r="AR318" s="1" t="b">
        <v>0</v>
      </c>
      <c r="AS318" s="1">
        <v>86.9179999999999</v>
      </c>
      <c r="AT318" s="1">
        <v>87.152</v>
      </c>
      <c r="AU318" s="1" t="b">
        <v>0</v>
      </c>
      <c r="AV318" s="1" t="b">
        <v>0</v>
      </c>
      <c r="AW318" s="1">
        <v>9.61399999999999</v>
      </c>
      <c r="AX318" s="1">
        <v>11.026</v>
      </c>
      <c r="AY318" s="1" t="b">
        <v>0</v>
      </c>
      <c r="AZ318" s="1" t="b">
        <v>0</v>
      </c>
      <c r="BA318" s="1">
        <v>81.25</v>
      </c>
      <c r="BB318" s="1">
        <v>77.78</v>
      </c>
      <c r="BC318" s="1" t="b">
        <v>0</v>
      </c>
      <c r="BD318" s="1" t="b">
        <v>0</v>
      </c>
      <c r="BE318" s="1">
        <v>11.34</v>
      </c>
      <c r="BF318" s="1">
        <v>13.285</v>
      </c>
      <c r="BG318" s="1" t="b">
        <v>0</v>
      </c>
      <c r="BH318" s="1" t="b">
        <v>0</v>
      </c>
      <c r="BI318" s="1">
        <v>77.78</v>
      </c>
      <c r="BJ318" s="1">
        <v>75.0</v>
      </c>
      <c r="BK318" s="1" t="b">
        <v>0</v>
      </c>
      <c r="BL318" s="1" t="b">
        <v>0</v>
      </c>
      <c r="BM318" s="1">
        <v>13.121</v>
      </c>
      <c r="BN318" s="1">
        <v>14.568</v>
      </c>
      <c r="BO318" s="1" t="b">
        <v>0</v>
      </c>
      <c r="BP318" s="1" t="b">
        <v>1</v>
      </c>
      <c r="BQ318" s="1">
        <v>75.0</v>
      </c>
      <c r="BR318" s="1">
        <v>72.027</v>
      </c>
      <c r="BS318" s="1" t="b">
        <v>0</v>
      </c>
      <c r="BT318" s="1" t="b">
        <v>1</v>
      </c>
      <c r="BU318" s="1" t="s">
        <v>105</v>
      </c>
      <c r="BV318" s="1" t="s">
        <v>105</v>
      </c>
      <c r="BW318" s="1" t="s">
        <v>105</v>
      </c>
      <c r="BX318" s="1" t="s">
        <v>105</v>
      </c>
      <c r="BY318" s="1" t="s">
        <v>105</v>
      </c>
      <c r="BZ318" s="1" t="s">
        <v>105</v>
      </c>
      <c r="CA318" s="1" t="s">
        <v>105</v>
      </c>
      <c r="CB318" s="1" t="s">
        <v>105</v>
      </c>
      <c r="CC318" s="1" t="s">
        <v>157</v>
      </c>
      <c r="CD318" s="1" t="s">
        <v>157</v>
      </c>
      <c r="CE318" s="4"/>
      <c r="CF318" s="4"/>
    </row>
    <row r="319" hidden="1">
      <c r="A319" s="1" t="s">
        <v>82</v>
      </c>
      <c r="B319" s="1" t="s">
        <v>111</v>
      </c>
      <c r="C319" s="1">
        <v>46.0</v>
      </c>
      <c r="D319" s="5" t="s">
        <v>1474</v>
      </c>
      <c r="E319" s="1" t="s">
        <v>1475</v>
      </c>
      <c r="F319" s="1">
        <v>38.0</v>
      </c>
      <c r="G319" s="1">
        <v>-0.4973</v>
      </c>
      <c r="H319" s="1" t="s">
        <v>1476</v>
      </c>
      <c r="I319" s="4" t="b">
        <f>IFERROR(__xludf.DUMMYFUNCTION("IF(H319="""",,REGEXMATCH(H319,""[א-ת]""))"),FALSE)</f>
        <v>0</v>
      </c>
      <c r="J319" s="4"/>
      <c r="K319" s="4"/>
      <c r="L319" s="1">
        <v>-0.8915</v>
      </c>
      <c r="M319" s="1">
        <v>18.81</v>
      </c>
      <c r="N319" s="1">
        <v>86.84</v>
      </c>
      <c r="O319" s="1">
        <v>2.285263158</v>
      </c>
      <c r="P319" s="4"/>
      <c r="Q319" s="4"/>
      <c r="R319" s="1" t="s">
        <v>89</v>
      </c>
      <c r="S319" s="1" t="s">
        <v>1475</v>
      </c>
      <c r="T319" s="1" t="s">
        <v>111</v>
      </c>
      <c r="U319" s="1">
        <v>47.0</v>
      </c>
      <c r="V319" s="5" t="s">
        <v>1474</v>
      </c>
      <c r="W319" s="1" t="s">
        <v>1475</v>
      </c>
      <c r="X319" s="1" t="s">
        <v>1477</v>
      </c>
      <c r="Y319" s="4"/>
      <c r="Z319" s="4"/>
      <c r="AA319" s="4" t="b">
        <f>IFERROR(__xludf.DUMMYFUNCTION("IF(X319="""",,REGEXMATCH(X319,""[א-ת]""))"),FALSE)</f>
        <v>0</v>
      </c>
      <c r="AB319" s="1">
        <v>10.46</v>
      </c>
      <c r="AC319" s="1">
        <v>57.89</v>
      </c>
      <c r="AD319" s="1">
        <v>0.588683927522084</v>
      </c>
      <c r="AE319" s="1">
        <v>0.3612</v>
      </c>
      <c r="AF319" s="1">
        <v>-0.4973</v>
      </c>
      <c r="AG319" s="1">
        <v>6.337</v>
      </c>
      <c r="AH319" s="1">
        <v>6.781</v>
      </c>
      <c r="AI319" s="1" t="b">
        <v>0</v>
      </c>
      <c r="AJ319" s="1" t="b">
        <v>0</v>
      </c>
      <c r="AK319" s="1">
        <v>94.182</v>
      </c>
      <c r="AL319" s="1">
        <v>96.508</v>
      </c>
      <c r="AM319" s="1" t="b">
        <v>0</v>
      </c>
      <c r="AN319" s="1" t="b">
        <v>0</v>
      </c>
      <c r="AO319" s="1">
        <v>8.05</v>
      </c>
      <c r="AP319" s="1">
        <v>8.53399999999999</v>
      </c>
      <c r="AQ319" s="1" t="b">
        <v>0</v>
      </c>
      <c r="AR319" s="1" t="b">
        <v>0</v>
      </c>
      <c r="AS319" s="1">
        <v>86.9179999999999</v>
      </c>
      <c r="AT319" s="1">
        <v>87.152</v>
      </c>
      <c r="AU319" s="1" t="b">
        <v>0</v>
      </c>
      <c r="AV319" s="1" t="b">
        <v>0</v>
      </c>
      <c r="AW319" s="1">
        <v>9.61399999999999</v>
      </c>
      <c r="AX319" s="1">
        <v>11.026</v>
      </c>
      <c r="AY319" s="1" t="b">
        <v>0</v>
      </c>
      <c r="AZ319" s="1" t="b">
        <v>1</v>
      </c>
      <c r="BA319" s="1">
        <v>81.25</v>
      </c>
      <c r="BB319" s="1">
        <v>77.78</v>
      </c>
      <c r="BC319" s="1" t="b">
        <v>1</v>
      </c>
      <c r="BD319" s="1" t="b">
        <v>0</v>
      </c>
      <c r="BE319" s="1">
        <v>11.34</v>
      </c>
      <c r="BF319" s="1">
        <v>13.285</v>
      </c>
      <c r="BG319" s="1" t="b">
        <v>0</v>
      </c>
      <c r="BH319" s="1" t="b">
        <v>1</v>
      </c>
      <c r="BI319" s="1">
        <v>77.78</v>
      </c>
      <c r="BJ319" s="1">
        <v>75.0</v>
      </c>
      <c r="BK319" s="1" t="b">
        <v>1</v>
      </c>
      <c r="BL319" s="1" t="b">
        <v>0</v>
      </c>
      <c r="BM319" s="1">
        <v>13.121</v>
      </c>
      <c r="BN319" s="1">
        <v>14.568</v>
      </c>
      <c r="BO319" s="1" t="b">
        <v>0</v>
      </c>
      <c r="BP319" s="1" t="b">
        <v>1</v>
      </c>
      <c r="BQ319" s="1">
        <v>75.0</v>
      </c>
      <c r="BR319" s="1">
        <v>72.027</v>
      </c>
      <c r="BS319" s="1" t="b">
        <v>1</v>
      </c>
      <c r="BT319" s="1" t="b">
        <v>0</v>
      </c>
      <c r="BU319" s="1" t="s">
        <v>105</v>
      </c>
      <c r="BV319" s="1" t="s">
        <v>105</v>
      </c>
      <c r="BW319" s="1" t="s">
        <v>105</v>
      </c>
      <c r="BX319" s="1" t="s">
        <v>105</v>
      </c>
      <c r="BY319" s="1" t="s">
        <v>157</v>
      </c>
      <c r="BZ319" s="1" t="s">
        <v>91</v>
      </c>
      <c r="CA319" s="1" t="s">
        <v>157</v>
      </c>
      <c r="CB319" s="1" t="s">
        <v>91</v>
      </c>
      <c r="CC319" s="1" t="s">
        <v>157</v>
      </c>
      <c r="CD319" s="1" t="s">
        <v>91</v>
      </c>
      <c r="CE319" s="4"/>
      <c r="CF319" s="4"/>
    </row>
    <row r="320" hidden="1">
      <c r="A320" s="1" t="s">
        <v>82</v>
      </c>
      <c r="B320" s="1" t="s">
        <v>197</v>
      </c>
      <c r="C320" s="1">
        <v>23.0</v>
      </c>
      <c r="D320" s="5" t="s">
        <v>1478</v>
      </c>
      <c r="E320" s="1" t="s">
        <v>1479</v>
      </c>
      <c r="F320" s="1">
        <v>49.0</v>
      </c>
      <c r="G320" s="1">
        <v>0.0</v>
      </c>
      <c r="H320" s="1" t="s">
        <v>1480</v>
      </c>
      <c r="I320" s="4" t="b">
        <f>IFERROR(__xludf.DUMMYFUNCTION("IF(H320="""",,REGEXMATCH(H320,""[א-ת]""))"),FALSE)</f>
        <v>0</v>
      </c>
      <c r="J320" s="4"/>
      <c r="K320" s="4"/>
      <c r="L320" s="1">
        <v>0.7096</v>
      </c>
      <c r="M320" s="1">
        <v>18.82</v>
      </c>
      <c r="N320" s="1">
        <v>63.27</v>
      </c>
      <c r="O320" s="1">
        <v>1.29122449</v>
      </c>
      <c r="P320" s="4"/>
      <c r="Q320" s="4"/>
      <c r="R320" s="1" t="s">
        <v>89</v>
      </c>
      <c r="S320" s="1" t="s">
        <v>1479</v>
      </c>
      <c r="T320" s="1" t="s">
        <v>197</v>
      </c>
      <c r="U320" s="1">
        <v>24.0</v>
      </c>
      <c r="V320" s="5" t="s">
        <v>1478</v>
      </c>
      <c r="W320" s="1" t="s">
        <v>1479</v>
      </c>
      <c r="X320" s="1" t="s">
        <v>1481</v>
      </c>
      <c r="Y320" s="4"/>
      <c r="Z320" s="4"/>
      <c r="AA320" s="4" t="b">
        <f>IFERROR(__xludf.DUMMYFUNCTION("IF(X320="""",,REGEXMATCH(X320,""[א-ת]""))"),FALSE)</f>
        <v>0</v>
      </c>
      <c r="AB320" s="1">
        <v>18.5</v>
      </c>
      <c r="AC320" s="1">
        <v>59.18</v>
      </c>
      <c r="AD320" s="1">
        <v>0.582571494325803</v>
      </c>
      <c r="AE320" s="1">
        <v>0.5267</v>
      </c>
      <c r="AF320" s="1">
        <v>0.0</v>
      </c>
      <c r="AG320" s="1">
        <v>6.337</v>
      </c>
      <c r="AH320" s="1">
        <v>6.781</v>
      </c>
      <c r="AI320" s="1" t="b">
        <v>0</v>
      </c>
      <c r="AJ320" s="1" t="b">
        <v>0</v>
      </c>
      <c r="AK320" s="1">
        <v>94.182</v>
      </c>
      <c r="AL320" s="1">
        <v>96.508</v>
      </c>
      <c r="AM320" s="1" t="b">
        <v>0</v>
      </c>
      <c r="AN320" s="1" t="b">
        <v>0</v>
      </c>
      <c r="AO320" s="1">
        <v>8.05</v>
      </c>
      <c r="AP320" s="1">
        <v>8.53399999999999</v>
      </c>
      <c r="AQ320" s="1" t="b">
        <v>0</v>
      </c>
      <c r="AR320" s="1" t="b">
        <v>0</v>
      </c>
      <c r="AS320" s="1">
        <v>86.9179999999999</v>
      </c>
      <c r="AT320" s="1">
        <v>87.152</v>
      </c>
      <c r="AU320" s="1" t="b">
        <v>0</v>
      </c>
      <c r="AV320" s="1" t="b">
        <v>0</v>
      </c>
      <c r="AW320" s="1">
        <v>9.61399999999999</v>
      </c>
      <c r="AX320" s="1">
        <v>11.026</v>
      </c>
      <c r="AY320" s="1" t="b">
        <v>0</v>
      </c>
      <c r="AZ320" s="1" t="b">
        <v>0</v>
      </c>
      <c r="BA320" s="1">
        <v>81.25</v>
      </c>
      <c r="BB320" s="1">
        <v>77.78</v>
      </c>
      <c r="BC320" s="1" t="b">
        <v>0</v>
      </c>
      <c r="BD320" s="1" t="b">
        <v>0</v>
      </c>
      <c r="BE320" s="1">
        <v>11.34</v>
      </c>
      <c r="BF320" s="1">
        <v>13.285</v>
      </c>
      <c r="BG320" s="1" t="b">
        <v>0</v>
      </c>
      <c r="BH320" s="1" t="b">
        <v>0</v>
      </c>
      <c r="BI320" s="1">
        <v>77.78</v>
      </c>
      <c r="BJ320" s="1">
        <v>75.0</v>
      </c>
      <c r="BK320" s="1" t="b">
        <v>0</v>
      </c>
      <c r="BL320" s="1" t="b">
        <v>0</v>
      </c>
      <c r="BM320" s="1">
        <v>13.121</v>
      </c>
      <c r="BN320" s="1">
        <v>14.568</v>
      </c>
      <c r="BO320" s="1" t="b">
        <v>0</v>
      </c>
      <c r="BP320" s="1" t="b">
        <v>0</v>
      </c>
      <c r="BQ320" s="1">
        <v>75.0</v>
      </c>
      <c r="BR320" s="1">
        <v>72.027</v>
      </c>
      <c r="BS320" s="1" t="b">
        <v>0</v>
      </c>
      <c r="BT320" s="1" t="b">
        <v>0</v>
      </c>
      <c r="BU320" s="1" t="s">
        <v>105</v>
      </c>
      <c r="BV320" s="1" t="s">
        <v>105</v>
      </c>
      <c r="BW320" s="1" t="s">
        <v>105</v>
      </c>
      <c r="BX320" s="1" t="s">
        <v>105</v>
      </c>
      <c r="BY320" s="1" t="s">
        <v>105</v>
      </c>
      <c r="BZ320" s="1" t="s">
        <v>105</v>
      </c>
      <c r="CA320" s="1" t="s">
        <v>105</v>
      </c>
      <c r="CB320" s="1" t="s">
        <v>105</v>
      </c>
      <c r="CC320" s="1" t="s">
        <v>105</v>
      </c>
      <c r="CD320" s="1" t="s">
        <v>105</v>
      </c>
      <c r="CE320" s="4"/>
      <c r="CF320" s="4"/>
    </row>
    <row r="321" hidden="1">
      <c r="A321" s="1" t="s">
        <v>82</v>
      </c>
      <c r="B321" s="1" t="s">
        <v>152</v>
      </c>
      <c r="C321" s="1">
        <v>13.0</v>
      </c>
      <c r="D321" s="5" t="s">
        <v>1482</v>
      </c>
      <c r="E321" s="1" t="s">
        <v>1483</v>
      </c>
      <c r="F321" s="1">
        <v>27.0</v>
      </c>
      <c r="G321" s="1">
        <v>0.0</v>
      </c>
      <c r="H321" s="1" t="s">
        <v>1484</v>
      </c>
      <c r="I321" s="4" t="b">
        <f>IFERROR(__xludf.DUMMYFUNCTION("IF(H321="""",,REGEXMATCH(H321,""[א-ת]""))"),FALSE)</f>
        <v>0</v>
      </c>
      <c r="J321" s="4"/>
      <c r="K321" s="4"/>
      <c r="L321" s="1">
        <v>0.0</v>
      </c>
      <c r="M321" s="1">
        <v>18.88</v>
      </c>
      <c r="N321" s="1">
        <v>62.96</v>
      </c>
      <c r="O321" s="1">
        <v>2.331851852</v>
      </c>
      <c r="P321" s="4"/>
      <c r="Q321" s="4"/>
      <c r="R321" s="1" t="s">
        <v>89</v>
      </c>
      <c r="S321" s="1" t="s">
        <v>1483</v>
      </c>
      <c r="T321" s="1" t="s">
        <v>152</v>
      </c>
      <c r="U321" s="1">
        <v>14.0</v>
      </c>
      <c r="V321" s="5" t="s">
        <v>1482</v>
      </c>
      <c r="W321" s="1" t="s">
        <v>1483</v>
      </c>
      <c r="X321" s="1" t="s">
        <v>1485</v>
      </c>
      <c r="Y321" s="4"/>
      <c r="Z321" s="4"/>
      <c r="AA321" s="4" t="b">
        <f>IFERROR(__xludf.DUMMYFUNCTION("IF(X321="""",,REGEXMATCH(X321,""[א-ת]""))"),FALSE)</f>
        <v>0</v>
      </c>
      <c r="AB321" s="1">
        <v>13.6</v>
      </c>
      <c r="AC321" s="1">
        <v>66.67</v>
      </c>
      <c r="AD321" s="1">
        <v>0.452786911726763</v>
      </c>
      <c r="AE321" s="1">
        <v>0.0</v>
      </c>
      <c r="AF321" s="1">
        <v>0.0</v>
      </c>
      <c r="AG321" s="1">
        <v>6.337</v>
      </c>
      <c r="AH321" s="1">
        <v>6.781</v>
      </c>
      <c r="AI321" s="1" t="b">
        <v>0</v>
      </c>
      <c r="AJ321" s="1" t="b">
        <v>0</v>
      </c>
      <c r="AK321" s="1">
        <v>94.182</v>
      </c>
      <c r="AL321" s="1">
        <v>96.508</v>
      </c>
      <c r="AM321" s="1" t="b">
        <v>0</v>
      </c>
      <c r="AN321" s="1" t="b">
        <v>0</v>
      </c>
      <c r="AO321" s="1">
        <v>8.05</v>
      </c>
      <c r="AP321" s="1">
        <v>8.53399999999999</v>
      </c>
      <c r="AQ321" s="1" t="b">
        <v>0</v>
      </c>
      <c r="AR321" s="1" t="b">
        <v>0</v>
      </c>
      <c r="AS321" s="1">
        <v>86.9179999999999</v>
      </c>
      <c r="AT321" s="1">
        <v>87.152</v>
      </c>
      <c r="AU321" s="1" t="b">
        <v>0</v>
      </c>
      <c r="AV321" s="1" t="b">
        <v>0</v>
      </c>
      <c r="AW321" s="1">
        <v>9.61399999999999</v>
      </c>
      <c r="AX321" s="1">
        <v>11.026</v>
      </c>
      <c r="AY321" s="1" t="b">
        <v>0</v>
      </c>
      <c r="AZ321" s="1" t="b">
        <v>0</v>
      </c>
      <c r="BA321" s="1">
        <v>81.25</v>
      </c>
      <c r="BB321" s="1">
        <v>77.78</v>
      </c>
      <c r="BC321" s="1" t="b">
        <v>0</v>
      </c>
      <c r="BD321" s="1" t="b">
        <v>0</v>
      </c>
      <c r="BE321" s="1">
        <v>11.34</v>
      </c>
      <c r="BF321" s="1">
        <v>13.285</v>
      </c>
      <c r="BG321" s="1" t="b">
        <v>0</v>
      </c>
      <c r="BH321" s="1" t="b">
        <v>0</v>
      </c>
      <c r="BI321" s="1">
        <v>77.78</v>
      </c>
      <c r="BJ321" s="1">
        <v>75.0</v>
      </c>
      <c r="BK321" s="1" t="b">
        <v>0</v>
      </c>
      <c r="BL321" s="1" t="b">
        <v>0</v>
      </c>
      <c r="BM321" s="1">
        <v>13.121</v>
      </c>
      <c r="BN321" s="1">
        <v>14.568</v>
      </c>
      <c r="BO321" s="1" t="b">
        <v>0</v>
      </c>
      <c r="BP321" s="1" t="b">
        <v>1</v>
      </c>
      <c r="BQ321" s="1">
        <v>75.0</v>
      </c>
      <c r="BR321" s="1">
        <v>72.027</v>
      </c>
      <c r="BS321" s="1" t="b">
        <v>0</v>
      </c>
      <c r="BT321" s="1" t="b">
        <v>0</v>
      </c>
      <c r="BU321" s="1" t="s">
        <v>105</v>
      </c>
      <c r="BV321" s="1" t="s">
        <v>105</v>
      </c>
      <c r="BW321" s="1" t="s">
        <v>105</v>
      </c>
      <c r="BX321" s="1" t="s">
        <v>105</v>
      </c>
      <c r="BY321" s="1" t="s">
        <v>105</v>
      </c>
      <c r="BZ321" s="1" t="s">
        <v>105</v>
      </c>
      <c r="CA321" s="1" t="s">
        <v>105</v>
      </c>
      <c r="CB321" s="1" t="s">
        <v>105</v>
      </c>
      <c r="CC321" s="1" t="s">
        <v>157</v>
      </c>
      <c r="CD321" s="1" t="s">
        <v>105</v>
      </c>
      <c r="CE321" s="4"/>
      <c r="CF321" s="4"/>
    </row>
    <row r="322" hidden="1">
      <c r="A322" s="1" t="s">
        <v>82</v>
      </c>
      <c r="B322" s="1" t="s">
        <v>304</v>
      </c>
      <c r="C322" s="1">
        <v>24.0</v>
      </c>
      <c r="D322" s="5" t="s">
        <v>1486</v>
      </c>
      <c r="E322" s="1" t="s">
        <v>1487</v>
      </c>
      <c r="F322" s="1">
        <v>67.0</v>
      </c>
      <c r="G322" s="1">
        <v>0.0258</v>
      </c>
      <c r="H322" s="1" t="s">
        <v>1488</v>
      </c>
      <c r="I322" s="4" t="b">
        <f>IFERROR(__xludf.DUMMYFUNCTION("IF(H322="""",,REGEXMATCH(H322,""[א-ת]""))"),FALSE)</f>
        <v>0</v>
      </c>
      <c r="J322" s="4"/>
      <c r="K322" s="4"/>
      <c r="L322" s="1">
        <v>0.0</v>
      </c>
      <c r="M322" s="1">
        <v>18.9</v>
      </c>
      <c r="N322" s="1">
        <v>65.67</v>
      </c>
      <c r="O322" s="1">
        <v>0.9801492537</v>
      </c>
      <c r="P322" s="4"/>
      <c r="Q322" s="4"/>
      <c r="R322" s="1" t="s">
        <v>89</v>
      </c>
      <c r="S322" s="1" t="s">
        <v>1487</v>
      </c>
      <c r="T322" s="1" t="s">
        <v>304</v>
      </c>
      <c r="U322" s="1">
        <v>25.0</v>
      </c>
      <c r="V322" s="5" t="s">
        <v>1486</v>
      </c>
      <c r="W322" s="1" t="s">
        <v>1487</v>
      </c>
      <c r="X322" s="1" t="s">
        <v>1489</v>
      </c>
      <c r="Y322" s="4"/>
      <c r="Z322" s="4"/>
      <c r="AA322" s="4" t="b">
        <f>IFERROR(__xludf.DUMMYFUNCTION("IF(X322="""",,REGEXMATCH(X322,""[א-ת]""))"),FALSE)</f>
        <v>0</v>
      </c>
      <c r="AB322" s="1">
        <v>15.29</v>
      </c>
      <c r="AC322" s="1">
        <v>68.66</v>
      </c>
      <c r="AD322" s="1">
        <v>0.448001830329649</v>
      </c>
      <c r="AE322" s="1">
        <v>0.0258</v>
      </c>
      <c r="AF322" s="1">
        <v>0.0258</v>
      </c>
      <c r="AG322" s="1">
        <v>6.337</v>
      </c>
      <c r="AH322" s="1">
        <v>6.781</v>
      </c>
      <c r="AI322" s="1" t="b">
        <v>0</v>
      </c>
      <c r="AJ322" s="1" t="b">
        <v>0</v>
      </c>
      <c r="AK322" s="1">
        <v>94.182</v>
      </c>
      <c r="AL322" s="1">
        <v>96.508</v>
      </c>
      <c r="AM322" s="1" t="b">
        <v>0</v>
      </c>
      <c r="AN322" s="1" t="b">
        <v>0</v>
      </c>
      <c r="AO322" s="1">
        <v>8.05</v>
      </c>
      <c r="AP322" s="1">
        <v>8.53399999999999</v>
      </c>
      <c r="AQ322" s="1" t="b">
        <v>0</v>
      </c>
      <c r="AR322" s="1" t="b">
        <v>0</v>
      </c>
      <c r="AS322" s="1">
        <v>86.9179999999999</v>
      </c>
      <c r="AT322" s="1">
        <v>87.152</v>
      </c>
      <c r="AU322" s="1" t="b">
        <v>0</v>
      </c>
      <c r="AV322" s="1" t="b">
        <v>0</v>
      </c>
      <c r="AW322" s="1">
        <v>9.61399999999999</v>
      </c>
      <c r="AX322" s="1">
        <v>11.026</v>
      </c>
      <c r="AY322" s="1" t="b">
        <v>0</v>
      </c>
      <c r="AZ322" s="1" t="b">
        <v>0</v>
      </c>
      <c r="BA322" s="1">
        <v>81.25</v>
      </c>
      <c r="BB322" s="1">
        <v>77.78</v>
      </c>
      <c r="BC322" s="1" t="b">
        <v>0</v>
      </c>
      <c r="BD322" s="1" t="b">
        <v>0</v>
      </c>
      <c r="BE322" s="1">
        <v>11.34</v>
      </c>
      <c r="BF322" s="1">
        <v>13.285</v>
      </c>
      <c r="BG322" s="1" t="b">
        <v>0</v>
      </c>
      <c r="BH322" s="1" t="b">
        <v>0</v>
      </c>
      <c r="BI322" s="1">
        <v>77.78</v>
      </c>
      <c r="BJ322" s="1">
        <v>75.0</v>
      </c>
      <c r="BK322" s="1" t="b">
        <v>0</v>
      </c>
      <c r="BL322" s="1" t="b">
        <v>0</v>
      </c>
      <c r="BM322" s="1">
        <v>13.121</v>
      </c>
      <c r="BN322" s="1">
        <v>14.568</v>
      </c>
      <c r="BO322" s="1" t="b">
        <v>0</v>
      </c>
      <c r="BP322" s="1" t="b">
        <v>0</v>
      </c>
      <c r="BQ322" s="1">
        <v>75.0</v>
      </c>
      <c r="BR322" s="1">
        <v>72.027</v>
      </c>
      <c r="BS322" s="1" t="b">
        <v>0</v>
      </c>
      <c r="BT322" s="1" t="b">
        <v>0</v>
      </c>
      <c r="BU322" s="1" t="s">
        <v>105</v>
      </c>
      <c r="BV322" s="1" t="s">
        <v>105</v>
      </c>
      <c r="BW322" s="1" t="s">
        <v>105</v>
      </c>
      <c r="BX322" s="1" t="s">
        <v>105</v>
      </c>
      <c r="BY322" s="1" t="s">
        <v>105</v>
      </c>
      <c r="BZ322" s="1" t="s">
        <v>105</v>
      </c>
      <c r="CA322" s="1" t="s">
        <v>105</v>
      </c>
      <c r="CB322" s="1" t="s">
        <v>105</v>
      </c>
      <c r="CC322" s="1" t="s">
        <v>105</v>
      </c>
      <c r="CD322" s="1" t="s">
        <v>105</v>
      </c>
      <c r="CE322" s="4"/>
      <c r="CF322" s="4"/>
    </row>
    <row r="323" hidden="1">
      <c r="A323" s="1" t="s">
        <v>82</v>
      </c>
      <c r="B323" s="1" t="s">
        <v>631</v>
      </c>
      <c r="C323" s="1">
        <v>10.0</v>
      </c>
      <c r="D323" s="5" t="s">
        <v>1490</v>
      </c>
      <c r="E323" s="1" t="s">
        <v>1491</v>
      </c>
      <c r="F323" s="1">
        <v>48.0</v>
      </c>
      <c r="G323" s="1">
        <v>0.4939</v>
      </c>
      <c r="H323" s="1" t="s">
        <v>1492</v>
      </c>
      <c r="I323" s="4" t="b">
        <f>IFERROR(__xludf.DUMMYFUNCTION("IF(H323="""",,REGEXMATCH(H323,""[א-ת]""))"),FALSE)</f>
        <v>0</v>
      </c>
      <c r="J323" s="4"/>
      <c r="K323" s="4"/>
      <c r="L323" s="1">
        <v>-0.0772</v>
      </c>
      <c r="M323" s="1">
        <v>18.91</v>
      </c>
      <c r="N323" s="1">
        <v>70.83</v>
      </c>
      <c r="O323" s="1">
        <v>1.475625</v>
      </c>
      <c r="P323" s="4"/>
      <c r="Q323" s="4"/>
      <c r="R323" s="1" t="s">
        <v>89</v>
      </c>
      <c r="S323" s="1" t="s">
        <v>1491</v>
      </c>
      <c r="T323" s="1" t="s">
        <v>631</v>
      </c>
      <c r="U323" s="1">
        <v>11.0</v>
      </c>
      <c r="V323" s="5" t="s">
        <v>1490</v>
      </c>
      <c r="W323" s="1" t="s">
        <v>1491</v>
      </c>
      <c r="X323" s="1" t="s">
        <v>1493</v>
      </c>
      <c r="Y323" s="4"/>
      <c r="Z323" s="4"/>
      <c r="AA323" s="4" t="b">
        <f>IFERROR(__xludf.DUMMYFUNCTION("IF(X323="""",,REGEXMATCH(X323,""[א-ת]""))"),FALSE)</f>
        <v>0</v>
      </c>
      <c r="AB323" s="1">
        <v>42.14</v>
      </c>
      <c r="AC323" s="1">
        <v>50.0</v>
      </c>
      <c r="AD323" s="1">
        <v>0.744365773250346</v>
      </c>
      <c r="AE323" s="1">
        <v>0.0</v>
      </c>
      <c r="AF323" s="1">
        <v>0.4939</v>
      </c>
      <c r="AG323" s="1">
        <v>6.337</v>
      </c>
      <c r="AH323" s="1">
        <v>6.781</v>
      </c>
      <c r="AI323" s="1" t="b">
        <v>0</v>
      </c>
      <c r="AJ323" s="1" t="b">
        <v>0</v>
      </c>
      <c r="AK323" s="1">
        <v>94.182</v>
      </c>
      <c r="AL323" s="1">
        <v>96.508</v>
      </c>
      <c r="AM323" s="1" t="b">
        <v>0</v>
      </c>
      <c r="AN323" s="1" t="b">
        <v>0</v>
      </c>
      <c r="AO323" s="1">
        <v>8.05</v>
      </c>
      <c r="AP323" s="1">
        <v>8.53399999999999</v>
      </c>
      <c r="AQ323" s="1" t="b">
        <v>0</v>
      </c>
      <c r="AR323" s="1" t="b">
        <v>0</v>
      </c>
      <c r="AS323" s="1">
        <v>86.9179999999999</v>
      </c>
      <c r="AT323" s="1">
        <v>87.152</v>
      </c>
      <c r="AU323" s="1" t="b">
        <v>0</v>
      </c>
      <c r="AV323" s="1" t="b">
        <v>0</v>
      </c>
      <c r="AW323" s="1">
        <v>9.61399999999999</v>
      </c>
      <c r="AX323" s="1">
        <v>11.026</v>
      </c>
      <c r="AY323" s="1" t="b">
        <v>0</v>
      </c>
      <c r="AZ323" s="1" t="b">
        <v>0</v>
      </c>
      <c r="BA323" s="1">
        <v>81.25</v>
      </c>
      <c r="BB323" s="1">
        <v>77.78</v>
      </c>
      <c r="BC323" s="1" t="b">
        <v>0</v>
      </c>
      <c r="BD323" s="1" t="b">
        <v>0</v>
      </c>
      <c r="BE323" s="1">
        <v>11.34</v>
      </c>
      <c r="BF323" s="1">
        <v>13.285</v>
      </c>
      <c r="BG323" s="1" t="b">
        <v>0</v>
      </c>
      <c r="BH323" s="1" t="b">
        <v>0</v>
      </c>
      <c r="BI323" s="1">
        <v>77.78</v>
      </c>
      <c r="BJ323" s="1">
        <v>75.0</v>
      </c>
      <c r="BK323" s="1" t="b">
        <v>0</v>
      </c>
      <c r="BL323" s="1" t="b">
        <v>0</v>
      </c>
      <c r="BM323" s="1">
        <v>13.121</v>
      </c>
      <c r="BN323" s="1">
        <v>14.568</v>
      </c>
      <c r="BO323" s="1" t="b">
        <v>0</v>
      </c>
      <c r="BP323" s="1" t="b">
        <v>0</v>
      </c>
      <c r="BQ323" s="1">
        <v>75.0</v>
      </c>
      <c r="BR323" s="1">
        <v>72.027</v>
      </c>
      <c r="BS323" s="1" t="b">
        <v>0</v>
      </c>
      <c r="BT323" s="1" t="b">
        <v>0</v>
      </c>
      <c r="BU323" s="1" t="s">
        <v>105</v>
      </c>
      <c r="BV323" s="1" t="s">
        <v>105</v>
      </c>
      <c r="BW323" s="1" t="s">
        <v>105</v>
      </c>
      <c r="BX323" s="1" t="s">
        <v>105</v>
      </c>
      <c r="BY323" s="1" t="s">
        <v>105</v>
      </c>
      <c r="BZ323" s="1" t="s">
        <v>105</v>
      </c>
      <c r="CA323" s="1" t="s">
        <v>105</v>
      </c>
      <c r="CB323" s="1" t="s">
        <v>105</v>
      </c>
      <c r="CC323" s="1" t="s">
        <v>105</v>
      </c>
      <c r="CD323" s="1" t="s">
        <v>105</v>
      </c>
      <c r="CE323" s="4"/>
      <c r="CF323" s="4"/>
    </row>
    <row r="324" hidden="1">
      <c r="A324" s="1" t="s">
        <v>82</v>
      </c>
      <c r="B324" s="1" t="s">
        <v>116</v>
      </c>
      <c r="C324" s="1">
        <v>8.0</v>
      </c>
      <c r="D324" s="5" t="s">
        <v>1494</v>
      </c>
      <c r="E324" s="1" t="s">
        <v>1495</v>
      </c>
      <c r="F324" s="1">
        <v>7.0</v>
      </c>
      <c r="G324" s="1">
        <v>0.0</v>
      </c>
      <c r="H324" s="1" t="s">
        <v>1496</v>
      </c>
      <c r="I324" s="4" t="b">
        <f>IFERROR(__xludf.DUMMYFUNCTION("IF(H324="""",,REGEXMATCH(H324,""[א-ת]""))"),FALSE)</f>
        <v>0</v>
      </c>
      <c r="J324" s="4"/>
      <c r="K324" s="4"/>
      <c r="L324" s="1">
        <v>0.0</v>
      </c>
      <c r="M324" s="1">
        <v>19.07</v>
      </c>
      <c r="N324" s="1">
        <v>71.43</v>
      </c>
      <c r="O324" s="1">
        <v>10.20428571</v>
      </c>
      <c r="P324" s="4"/>
      <c r="Q324" s="4"/>
      <c r="R324" s="1" t="s">
        <v>89</v>
      </c>
      <c r="S324" s="1" t="s">
        <v>1495</v>
      </c>
      <c r="T324" s="1" t="s">
        <v>116</v>
      </c>
      <c r="U324" s="1">
        <v>9.0</v>
      </c>
      <c r="V324" s="5" t="s">
        <v>1494</v>
      </c>
      <c r="W324" s="1" t="s">
        <v>1495</v>
      </c>
      <c r="X324" s="1" t="s">
        <v>1497</v>
      </c>
      <c r="Y324" s="4"/>
      <c r="Z324" s="4"/>
      <c r="AA324" s="4" t="b">
        <f>IFERROR(__xludf.DUMMYFUNCTION("IF(X324="""",,REGEXMATCH(X324,""[א-ת]""))"),FALSE)</f>
        <v>0</v>
      </c>
      <c r="AB324" s="1">
        <v>19.64</v>
      </c>
      <c r="AC324" s="1">
        <v>71.43</v>
      </c>
      <c r="AD324" s="1">
        <v>0.303074480720589</v>
      </c>
      <c r="AE324" s="1">
        <v>0.0</v>
      </c>
      <c r="AF324" s="1">
        <v>0.0</v>
      </c>
      <c r="AG324" s="1">
        <v>6.337</v>
      </c>
      <c r="AH324" s="1">
        <v>6.781</v>
      </c>
      <c r="AI324" s="1" t="b">
        <v>0</v>
      </c>
      <c r="AJ324" s="1" t="b">
        <v>0</v>
      </c>
      <c r="AK324" s="1">
        <v>94.182</v>
      </c>
      <c r="AL324" s="1">
        <v>96.508</v>
      </c>
      <c r="AM324" s="1" t="b">
        <v>0</v>
      </c>
      <c r="AN324" s="1" t="b">
        <v>0</v>
      </c>
      <c r="AO324" s="1">
        <v>8.05</v>
      </c>
      <c r="AP324" s="1">
        <v>8.53399999999999</v>
      </c>
      <c r="AQ324" s="1" t="b">
        <v>0</v>
      </c>
      <c r="AR324" s="1" t="b">
        <v>0</v>
      </c>
      <c r="AS324" s="1">
        <v>86.9179999999999</v>
      </c>
      <c r="AT324" s="1">
        <v>87.152</v>
      </c>
      <c r="AU324" s="1" t="b">
        <v>0</v>
      </c>
      <c r="AV324" s="1" t="b">
        <v>0</v>
      </c>
      <c r="AW324" s="1">
        <v>9.61399999999999</v>
      </c>
      <c r="AX324" s="1">
        <v>11.026</v>
      </c>
      <c r="AY324" s="1" t="b">
        <v>0</v>
      </c>
      <c r="AZ324" s="1" t="b">
        <v>0</v>
      </c>
      <c r="BA324" s="1">
        <v>81.25</v>
      </c>
      <c r="BB324" s="1">
        <v>77.78</v>
      </c>
      <c r="BC324" s="1" t="b">
        <v>0</v>
      </c>
      <c r="BD324" s="1" t="b">
        <v>0</v>
      </c>
      <c r="BE324" s="1">
        <v>11.34</v>
      </c>
      <c r="BF324" s="1">
        <v>13.285</v>
      </c>
      <c r="BG324" s="1" t="b">
        <v>0</v>
      </c>
      <c r="BH324" s="1" t="b">
        <v>0</v>
      </c>
      <c r="BI324" s="1">
        <v>77.78</v>
      </c>
      <c r="BJ324" s="1">
        <v>75.0</v>
      </c>
      <c r="BK324" s="1" t="b">
        <v>0</v>
      </c>
      <c r="BL324" s="1" t="b">
        <v>0</v>
      </c>
      <c r="BM324" s="1">
        <v>13.121</v>
      </c>
      <c r="BN324" s="1">
        <v>14.568</v>
      </c>
      <c r="BO324" s="1" t="b">
        <v>0</v>
      </c>
      <c r="BP324" s="1" t="b">
        <v>0</v>
      </c>
      <c r="BQ324" s="1">
        <v>75.0</v>
      </c>
      <c r="BR324" s="1">
        <v>72.027</v>
      </c>
      <c r="BS324" s="1" t="b">
        <v>0</v>
      </c>
      <c r="BT324" s="1" t="b">
        <v>0</v>
      </c>
      <c r="BU324" s="1" t="s">
        <v>105</v>
      </c>
      <c r="BV324" s="1" t="s">
        <v>105</v>
      </c>
      <c r="BW324" s="1" t="s">
        <v>105</v>
      </c>
      <c r="BX324" s="1" t="s">
        <v>105</v>
      </c>
      <c r="BY324" s="1" t="s">
        <v>105</v>
      </c>
      <c r="BZ324" s="1" t="s">
        <v>105</v>
      </c>
      <c r="CA324" s="1" t="s">
        <v>105</v>
      </c>
      <c r="CB324" s="1" t="s">
        <v>105</v>
      </c>
      <c r="CC324" s="1" t="s">
        <v>105</v>
      </c>
      <c r="CD324" s="1" t="s">
        <v>105</v>
      </c>
      <c r="CE324" s="4"/>
      <c r="CF324" s="4"/>
    </row>
    <row r="325" hidden="1">
      <c r="A325" s="1" t="s">
        <v>82</v>
      </c>
      <c r="B325" s="1" t="s">
        <v>197</v>
      </c>
      <c r="C325" s="1">
        <v>3.0</v>
      </c>
      <c r="D325" s="5" t="s">
        <v>1498</v>
      </c>
      <c r="E325" s="1" t="s">
        <v>1499</v>
      </c>
      <c r="F325" s="1">
        <v>28.0</v>
      </c>
      <c r="G325" s="1">
        <v>-0.3182</v>
      </c>
      <c r="H325" s="1" t="s">
        <v>1500</v>
      </c>
      <c r="I325" s="4" t="b">
        <f>IFERROR(__xludf.DUMMYFUNCTION("IF(H325="""",,REGEXMATCH(H325,""[א-ת]""))"),FALSE)</f>
        <v>0</v>
      </c>
      <c r="J325" s="4"/>
      <c r="K325" s="4"/>
      <c r="L325" s="1">
        <v>-0.3182</v>
      </c>
      <c r="M325" s="1">
        <v>19.08</v>
      </c>
      <c r="N325" s="1">
        <v>53.57</v>
      </c>
      <c r="O325" s="1">
        <v>1.913214286</v>
      </c>
      <c r="P325" s="4"/>
      <c r="Q325" s="4"/>
      <c r="R325" s="1" t="s">
        <v>89</v>
      </c>
      <c r="S325" s="1" t="s">
        <v>1499</v>
      </c>
      <c r="T325" s="1" t="s">
        <v>197</v>
      </c>
      <c r="U325" s="1">
        <v>4.0</v>
      </c>
      <c r="V325" s="5" t="s">
        <v>1498</v>
      </c>
      <c r="W325" s="1" t="s">
        <v>1499</v>
      </c>
      <c r="X325" s="1" t="s">
        <v>1501</v>
      </c>
      <c r="Y325" s="4"/>
      <c r="Z325" s="4"/>
      <c r="AA325" s="4" t="b">
        <f>IFERROR(__xludf.DUMMYFUNCTION("IF(X325="""",,REGEXMATCH(X325,""[א-ת]""))"),FALSE)</f>
        <v>0</v>
      </c>
      <c r="AB325" s="1">
        <v>18.5</v>
      </c>
      <c r="AC325" s="1">
        <v>53.57</v>
      </c>
      <c r="AD325" s="1">
        <v>0.242039406419075</v>
      </c>
      <c r="AE325" s="1">
        <v>-0.3182</v>
      </c>
      <c r="AF325" s="1">
        <v>-0.3182</v>
      </c>
      <c r="AG325" s="1">
        <v>6.337</v>
      </c>
      <c r="AH325" s="1">
        <v>6.781</v>
      </c>
      <c r="AI325" s="1" t="b">
        <v>0</v>
      </c>
      <c r="AJ325" s="1" t="b">
        <v>0</v>
      </c>
      <c r="AK325" s="1">
        <v>94.182</v>
      </c>
      <c r="AL325" s="1">
        <v>96.508</v>
      </c>
      <c r="AM325" s="1" t="b">
        <v>0</v>
      </c>
      <c r="AN325" s="1" t="b">
        <v>0</v>
      </c>
      <c r="AO325" s="1">
        <v>8.05</v>
      </c>
      <c r="AP325" s="1">
        <v>8.53399999999999</v>
      </c>
      <c r="AQ325" s="1" t="b">
        <v>0</v>
      </c>
      <c r="AR325" s="1" t="b">
        <v>0</v>
      </c>
      <c r="AS325" s="1">
        <v>86.9179999999999</v>
      </c>
      <c r="AT325" s="1">
        <v>87.152</v>
      </c>
      <c r="AU325" s="1" t="b">
        <v>0</v>
      </c>
      <c r="AV325" s="1" t="b">
        <v>0</v>
      </c>
      <c r="AW325" s="1">
        <v>9.61399999999999</v>
      </c>
      <c r="AX325" s="1">
        <v>11.026</v>
      </c>
      <c r="AY325" s="1" t="b">
        <v>0</v>
      </c>
      <c r="AZ325" s="1" t="b">
        <v>0</v>
      </c>
      <c r="BA325" s="1">
        <v>81.25</v>
      </c>
      <c r="BB325" s="1">
        <v>77.78</v>
      </c>
      <c r="BC325" s="1" t="b">
        <v>0</v>
      </c>
      <c r="BD325" s="1" t="b">
        <v>0</v>
      </c>
      <c r="BE325" s="1">
        <v>11.34</v>
      </c>
      <c r="BF325" s="1">
        <v>13.285</v>
      </c>
      <c r="BG325" s="1" t="b">
        <v>0</v>
      </c>
      <c r="BH325" s="1" t="b">
        <v>0</v>
      </c>
      <c r="BI325" s="1">
        <v>77.78</v>
      </c>
      <c r="BJ325" s="1">
        <v>75.0</v>
      </c>
      <c r="BK325" s="1" t="b">
        <v>0</v>
      </c>
      <c r="BL325" s="1" t="b">
        <v>0</v>
      </c>
      <c r="BM325" s="1">
        <v>13.121</v>
      </c>
      <c r="BN325" s="1">
        <v>14.568</v>
      </c>
      <c r="BO325" s="1" t="b">
        <v>0</v>
      </c>
      <c r="BP325" s="1" t="b">
        <v>0</v>
      </c>
      <c r="BQ325" s="1">
        <v>75.0</v>
      </c>
      <c r="BR325" s="1">
        <v>72.027</v>
      </c>
      <c r="BS325" s="1" t="b">
        <v>0</v>
      </c>
      <c r="BT325" s="1" t="b">
        <v>0</v>
      </c>
      <c r="BU325" s="1" t="s">
        <v>105</v>
      </c>
      <c r="BV325" s="1" t="s">
        <v>105</v>
      </c>
      <c r="BW325" s="1" t="s">
        <v>105</v>
      </c>
      <c r="BX325" s="1" t="s">
        <v>105</v>
      </c>
      <c r="BY325" s="1" t="s">
        <v>105</v>
      </c>
      <c r="BZ325" s="1" t="s">
        <v>105</v>
      </c>
      <c r="CA325" s="1" t="s">
        <v>105</v>
      </c>
      <c r="CB325" s="1" t="s">
        <v>105</v>
      </c>
      <c r="CC325" s="1" t="s">
        <v>105</v>
      </c>
      <c r="CD325" s="1" t="s">
        <v>105</v>
      </c>
      <c r="CE325" s="4"/>
      <c r="CF325" s="4"/>
    </row>
    <row r="326" hidden="1">
      <c r="A326" s="1" t="s">
        <v>82</v>
      </c>
      <c r="B326" s="1" t="s">
        <v>524</v>
      </c>
      <c r="C326" s="1">
        <v>19.0</v>
      </c>
      <c r="D326" s="5" t="s">
        <v>1502</v>
      </c>
      <c r="E326" s="1" t="s">
        <v>1503</v>
      </c>
      <c r="F326" s="1">
        <v>9.0</v>
      </c>
      <c r="G326" s="1">
        <v>0.0</v>
      </c>
      <c r="H326" s="1" t="s">
        <v>1504</v>
      </c>
      <c r="I326" s="4" t="b">
        <f>IFERROR(__xludf.DUMMYFUNCTION("IF(H326="""",,REGEXMATCH(H326,""[א-ת]""))"),FALSE)</f>
        <v>0</v>
      </c>
      <c r="J326" s="4"/>
      <c r="K326" s="4"/>
      <c r="L326" s="1">
        <v>0.0</v>
      </c>
      <c r="M326" s="1">
        <v>19.08</v>
      </c>
      <c r="N326" s="1">
        <v>55.56</v>
      </c>
      <c r="O326" s="1">
        <v>6.173333333</v>
      </c>
      <c r="P326" s="4"/>
      <c r="Q326" s="4"/>
      <c r="R326" s="1" t="s">
        <v>89</v>
      </c>
      <c r="S326" s="1" t="s">
        <v>1503</v>
      </c>
      <c r="T326" s="1" t="s">
        <v>524</v>
      </c>
      <c r="U326" s="1">
        <v>20.0</v>
      </c>
      <c r="V326" s="5" t="s">
        <v>1502</v>
      </c>
      <c r="W326" s="1" t="s">
        <v>1503</v>
      </c>
      <c r="X326" s="1" t="s">
        <v>1505</v>
      </c>
      <c r="Y326" s="4"/>
      <c r="Z326" s="4"/>
      <c r="AA326" s="4" t="b">
        <f>IFERROR(__xludf.DUMMYFUNCTION("IF(X326="""",,REGEXMATCH(X326,""[א-ת]""))"),FALSE)</f>
        <v>0</v>
      </c>
      <c r="AB326" s="1">
        <v>15.27</v>
      </c>
      <c r="AC326" s="1">
        <v>77.78</v>
      </c>
      <c r="AD326" s="1">
        <v>0.699507233394479</v>
      </c>
      <c r="AE326" s="1">
        <v>0.3612</v>
      </c>
      <c r="AF326" s="1">
        <v>0.0</v>
      </c>
      <c r="AG326" s="1">
        <v>6.337</v>
      </c>
      <c r="AH326" s="1">
        <v>6.781</v>
      </c>
      <c r="AI326" s="1" t="b">
        <v>0</v>
      </c>
      <c r="AJ326" s="1" t="b">
        <v>0</v>
      </c>
      <c r="AK326" s="1">
        <v>94.182</v>
      </c>
      <c r="AL326" s="1">
        <v>96.508</v>
      </c>
      <c r="AM326" s="1" t="b">
        <v>0</v>
      </c>
      <c r="AN326" s="1" t="b">
        <v>0</v>
      </c>
      <c r="AO326" s="1">
        <v>8.05</v>
      </c>
      <c r="AP326" s="1">
        <v>8.53399999999999</v>
      </c>
      <c r="AQ326" s="1" t="b">
        <v>0</v>
      </c>
      <c r="AR326" s="1" t="b">
        <v>0</v>
      </c>
      <c r="AS326" s="1">
        <v>86.9179999999999</v>
      </c>
      <c r="AT326" s="1">
        <v>87.152</v>
      </c>
      <c r="AU326" s="1" t="b">
        <v>0</v>
      </c>
      <c r="AV326" s="1" t="b">
        <v>0</v>
      </c>
      <c r="AW326" s="1">
        <v>9.61399999999999</v>
      </c>
      <c r="AX326" s="1">
        <v>11.026</v>
      </c>
      <c r="AY326" s="1" t="b">
        <v>0</v>
      </c>
      <c r="AZ326" s="1" t="b">
        <v>0</v>
      </c>
      <c r="BA326" s="1">
        <v>81.25</v>
      </c>
      <c r="BB326" s="1">
        <v>77.78</v>
      </c>
      <c r="BC326" s="1" t="b">
        <v>0</v>
      </c>
      <c r="BD326" s="1" t="b">
        <v>1</v>
      </c>
      <c r="BE326" s="1">
        <v>11.34</v>
      </c>
      <c r="BF326" s="1">
        <v>13.285</v>
      </c>
      <c r="BG326" s="1" t="b">
        <v>0</v>
      </c>
      <c r="BH326" s="1" t="b">
        <v>0</v>
      </c>
      <c r="BI326" s="1">
        <v>77.78</v>
      </c>
      <c r="BJ326" s="1">
        <v>75.0</v>
      </c>
      <c r="BK326" s="1" t="b">
        <v>0</v>
      </c>
      <c r="BL326" s="1" t="b">
        <v>1</v>
      </c>
      <c r="BM326" s="1">
        <v>13.121</v>
      </c>
      <c r="BN326" s="1">
        <v>14.568</v>
      </c>
      <c r="BO326" s="1" t="b">
        <v>0</v>
      </c>
      <c r="BP326" s="1" t="b">
        <v>0</v>
      </c>
      <c r="BQ326" s="1">
        <v>75.0</v>
      </c>
      <c r="BR326" s="1">
        <v>72.027</v>
      </c>
      <c r="BS326" s="1" t="b">
        <v>0</v>
      </c>
      <c r="BT326" s="1" t="b">
        <v>1</v>
      </c>
      <c r="BU326" s="1" t="s">
        <v>105</v>
      </c>
      <c r="BV326" s="1" t="s">
        <v>105</v>
      </c>
      <c r="BW326" s="1" t="s">
        <v>105</v>
      </c>
      <c r="BX326" s="1" t="s">
        <v>105</v>
      </c>
      <c r="BY326" s="1" t="s">
        <v>105</v>
      </c>
      <c r="BZ326" s="1" t="s">
        <v>157</v>
      </c>
      <c r="CA326" s="1" t="s">
        <v>105</v>
      </c>
      <c r="CB326" s="1" t="s">
        <v>157</v>
      </c>
      <c r="CC326" s="1" t="s">
        <v>105</v>
      </c>
      <c r="CD326" s="1" t="s">
        <v>157</v>
      </c>
      <c r="CE326" s="4"/>
      <c r="CF326" s="4"/>
    </row>
    <row r="327" hidden="1">
      <c r="A327" s="1" t="s">
        <v>82</v>
      </c>
      <c r="B327" s="1" t="s">
        <v>152</v>
      </c>
      <c r="C327" s="1">
        <v>0.0</v>
      </c>
      <c r="D327" s="5" t="s">
        <v>1506</v>
      </c>
      <c r="E327" s="1" t="s">
        <v>1507</v>
      </c>
      <c r="F327" s="1">
        <v>21.0</v>
      </c>
      <c r="G327" s="1">
        <v>0.0</v>
      </c>
      <c r="H327" s="1" t="s">
        <v>1508</v>
      </c>
      <c r="I327" s="4" t="b">
        <f>IFERROR(__xludf.DUMMYFUNCTION("IF(H327="""",,REGEXMATCH(H327,""[א-ת]""))"),FALSE)</f>
        <v>0</v>
      </c>
      <c r="J327" s="4"/>
      <c r="K327" s="4"/>
      <c r="L327" s="1">
        <v>0.0</v>
      </c>
      <c r="M327" s="1">
        <v>19.09</v>
      </c>
      <c r="N327" s="1">
        <v>66.67</v>
      </c>
      <c r="O327" s="1">
        <v>3.174761905</v>
      </c>
      <c r="P327" s="4"/>
      <c r="Q327" s="4"/>
      <c r="R327" s="1" t="s">
        <v>89</v>
      </c>
      <c r="S327" s="1" t="s">
        <v>1507</v>
      </c>
      <c r="T327" s="1" t="s">
        <v>152</v>
      </c>
      <c r="U327" s="1">
        <v>1.0</v>
      </c>
      <c r="V327" s="5" t="s">
        <v>1506</v>
      </c>
      <c r="W327" s="1" t="s">
        <v>1507</v>
      </c>
      <c r="X327" s="1" t="s">
        <v>1509</v>
      </c>
      <c r="Y327" s="4"/>
      <c r="Z327" s="4"/>
      <c r="AA327" s="4" t="b">
        <f>IFERROR(__xludf.DUMMYFUNCTION("IF(X327="""",,REGEXMATCH(X327,""[א-ת]""))"),FALSE)</f>
        <v>0</v>
      </c>
      <c r="AB327" s="1">
        <v>17.06</v>
      </c>
      <c r="AC327" s="1">
        <v>52.38</v>
      </c>
      <c r="AD327" s="1">
        <v>0.490273135804602</v>
      </c>
      <c r="AE327" s="1">
        <v>0.0</v>
      </c>
      <c r="AF327" s="1">
        <v>0.0</v>
      </c>
      <c r="AG327" s="1">
        <v>6.337</v>
      </c>
      <c r="AH327" s="1">
        <v>6.781</v>
      </c>
      <c r="AI327" s="1" t="b">
        <v>0</v>
      </c>
      <c r="AJ327" s="1" t="b">
        <v>0</v>
      </c>
      <c r="AK327" s="1">
        <v>94.182</v>
      </c>
      <c r="AL327" s="1">
        <v>96.508</v>
      </c>
      <c r="AM327" s="1" t="b">
        <v>0</v>
      </c>
      <c r="AN327" s="1" t="b">
        <v>0</v>
      </c>
      <c r="AO327" s="1">
        <v>8.05</v>
      </c>
      <c r="AP327" s="1">
        <v>8.53399999999999</v>
      </c>
      <c r="AQ327" s="1" t="b">
        <v>0</v>
      </c>
      <c r="AR327" s="1" t="b">
        <v>0</v>
      </c>
      <c r="AS327" s="1">
        <v>86.9179999999999</v>
      </c>
      <c r="AT327" s="1">
        <v>87.152</v>
      </c>
      <c r="AU327" s="1" t="b">
        <v>0</v>
      </c>
      <c r="AV327" s="1" t="b">
        <v>0</v>
      </c>
      <c r="AW327" s="1">
        <v>9.61399999999999</v>
      </c>
      <c r="AX327" s="1">
        <v>11.026</v>
      </c>
      <c r="AY327" s="1" t="b">
        <v>0</v>
      </c>
      <c r="AZ327" s="1" t="b">
        <v>0</v>
      </c>
      <c r="BA327" s="1">
        <v>81.25</v>
      </c>
      <c r="BB327" s="1">
        <v>77.78</v>
      </c>
      <c r="BC327" s="1" t="b">
        <v>0</v>
      </c>
      <c r="BD327" s="1" t="b">
        <v>0</v>
      </c>
      <c r="BE327" s="1">
        <v>11.34</v>
      </c>
      <c r="BF327" s="1">
        <v>13.285</v>
      </c>
      <c r="BG327" s="1" t="b">
        <v>0</v>
      </c>
      <c r="BH327" s="1" t="b">
        <v>0</v>
      </c>
      <c r="BI327" s="1">
        <v>77.78</v>
      </c>
      <c r="BJ327" s="1">
        <v>75.0</v>
      </c>
      <c r="BK327" s="1" t="b">
        <v>0</v>
      </c>
      <c r="BL327" s="1" t="b">
        <v>0</v>
      </c>
      <c r="BM327" s="1">
        <v>13.121</v>
      </c>
      <c r="BN327" s="1">
        <v>14.568</v>
      </c>
      <c r="BO327" s="1" t="b">
        <v>0</v>
      </c>
      <c r="BP327" s="1" t="b">
        <v>0</v>
      </c>
      <c r="BQ327" s="1">
        <v>75.0</v>
      </c>
      <c r="BR327" s="1">
        <v>72.027</v>
      </c>
      <c r="BS327" s="1" t="b">
        <v>0</v>
      </c>
      <c r="BT327" s="1" t="b">
        <v>0</v>
      </c>
      <c r="BU327" s="1" t="s">
        <v>105</v>
      </c>
      <c r="BV327" s="1" t="s">
        <v>105</v>
      </c>
      <c r="BW327" s="1" t="s">
        <v>105</v>
      </c>
      <c r="BX327" s="1" t="s">
        <v>105</v>
      </c>
      <c r="BY327" s="1" t="s">
        <v>105</v>
      </c>
      <c r="BZ327" s="1" t="s">
        <v>105</v>
      </c>
      <c r="CA327" s="1" t="s">
        <v>105</v>
      </c>
      <c r="CB327" s="1" t="s">
        <v>105</v>
      </c>
      <c r="CC327" s="1" t="s">
        <v>105</v>
      </c>
      <c r="CD327" s="1" t="s">
        <v>105</v>
      </c>
      <c r="CE327" s="4"/>
      <c r="CF327" s="4"/>
    </row>
    <row r="328" hidden="1">
      <c r="A328" s="1" t="s">
        <v>82</v>
      </c>
      <c r="B328" s="1" t="s">
        <v>152</v>
      </c>
      <c r="C328" s="1">
        <v>5.0</v>
      </c>
      <c r="D328" s="5" t="s">
        <v>1510</v>
      </c>
      <c r="E328" s="1" t="s">
        <v>1511</v>
      </c>
      <c r="F328" s="1">
        <v>35.0</v>
      </c>
      <c r="G328" s="1">
        <v>-0.1779</v>
      </c>
      <c r="H328" s="1" t="s">
        <v>1512</v>
      </c>
      <c r="I328" s="4" t="b">
        <f>IFERROR(__xludf.DUMMYFUNCTION("IF(H328="""",,REGEXMATCH(H328,""[א-ת]""))"),FALSE)</f>
        <v>0</v>
      </c>
      <c r="J328" s="4"/>
      <c r="K328" s="4"/>
      <c r="L328" s="1">
        <v>-0.1566</v>
      </c>
      <c r="M328" s="1">
        <v>19.27</v>
      </c>
      <c r="N328" s="1">
        <v>77.14</v>
      </c>
      <c r="O328" s="1">
        <v>2.204</v>
      </c>
      <c r="P328" s="4"/>
      <c r="Q328" s="4"/>
      <c r="R328" s="1" t="s">
        <v>89</v>
      </c>
      <c r="S328" s="1" t="s">
        <v>1511</v>
      </c>
      <c r="T328" s="1" t="s">
        <v>152</v>
      </c>
      <c r="U328" s="1">
        <v>6.0</v>
      </c>
      <c r="V328" s="5" t="s">
        <v>1510</v>
      </c>
      <c r="W328" s="1" t="s">
        <v>1511</v>
      </c>
      <c r="X328" s="1" t="s">
        <v>1513</v>
      </c>
      <c r="Y328" s="4"/>
      <c r="Z328" s="4"/>
      <c r="AA328" s="4" t="b">
        <f>IFERROR(__xludf.DUMMYFUNCTION("IF(X328="""",,REGEXMATCH(X328,""[א-ת]""))"),TRUE)</f>
        <v>1</v>
      </c>
      <c r="AB328" s="1">
        <v>14.93</v>
      </c>
      <c r="AC328" s="1">
        <v>100.0</v>
      </c>
      <c r="AD328" s="1">
        <v>0.513653854037733</v>
      </c>
      <c r="AE328" s="1">
        <v>0.0</v>
      </c>
      <c r="AF328" s="1">
        <v>-0.1779</v>
      </c>
      <c r="AG328" s="1">
        <v>6.337</v>
      </c>
      <c r="AH328" s="1">
        <v>6.781</v>
      </c>
      <c r="AI328" s="1" t="b">
        <v>0</v>
      </c>
      <c r="AJ328" s="1" t="b">
        <v>0</v>
      </c>
      <c r="AK328" s="1">
        <v>94.182</v>
      </c>
      <c r="AL328" s="1">
        <v>96.508</v>
      </c>
      <c r="AM328" s="1" t="b">
        <v>0</v>
      </c>
      <c r="AN328" s="1" t="b">
        <v>1</v>
      </c>
      <c r="AO328" s="1">
        <v>8.05</v>
      </c>
      <c r="AP328" s="1">
        <v>8.53399999999999</v>
      </c>
      <c r="AQ328" s="1" t="b">
        <v>0</v>
      </c>
      <c r="AR328" s="1" t="b">
        <v>0</v>
      </c>
      <c r="AS328" s="1">
        <v>86.9179999999999</v>
      </c>
      <c r="AT328" s="1">
        <v>87.152</v>
      </c>
      <c r="AU328" s="1" t="b">
        <v>0</v>
      </c>
      <c r="AV328" s="1" t="b">
        <v>1</v>
      </c>
      <c r="AW328" s="1">
        <v>9.61399999999999</v>
      </c>
      <c r="AX328" s="1">
        <v>11.026</v>
      </c>
      <c r="AY328" s="1" t="b">
        <v>0</v>
      </c>
      <c r="AZ328" s="1" t="b">
        <v>0</v>
      </c>
      <c r="BA328" s="1">
        <v>81.25</v>
      </c>
      <c r="BB328" s="1">
        <v>77.78</v>
      </c>
      <c r="BC328" s="1" t="b">
        <v>0</v>
      </c>
      <c r="BD328" s="1" t="b">
        <v>1</v>
      </c>
      <c r="BE328" s="1">
        <v>11.34</v>
      </c>
      <c r="BF328" s="1">
        <v>13.285</v>
      </c>
      <c r="BG328" s="1" t="b">
        <v>0</v>
      </c>
      <c r="BH328" s="1" t="b">
        <v>0</v>
      </c>
      <c r="BI328" s="1">
        <v>77.78</v>
      </c>
      <c r="BJ328" s="1">
        <v>75.0</v>
      </c>
      <c r="BK328" s="1" t="b">
        <v>0</v>
      </c>
      <c r="BL328" s="1" t="b">
        <v>1</v>
      </c>
      <c r="BM328" s="1">
        <v>13.121</v>
      </c>
      <c r="BN328" s="1">
        <v>14.568</v>
      </c>
      <c r="BO328" s="1" t="b">
        <v>0</v>
      </c>
      <c r="BP328" s="1" t="b">
        <v>0</v>
      </c>
      <c r="BQ328" s="1">
        <v>75.0</v>
      </c>
      <c r="BR328" s="1">
        <v>72.027</v>
      </c>
      <c r="BS328" s="1" t="b">
        <v>1</v>
      </c>
      <c r="BT328" s="1" t="b">
        <v>1</v>
      </c>
      <c r="BU328" s="1" t="s">
        <v>105</v>
      </c>
      <c r="BV328" s="1" t="s">
        <v>157</v>
      </c>
      <c r="BW328" s="1" t="s">
        <v>105</v>
      </c>
      <c r="BX328" s="1" t="s">
        <v>157</v>
      </c>
      <c r="BY328" s="1" t="s">
        <v>105</v>
      </c>
      <c r="BZ328" s="1" t="s">
        <v>157</v>
      </c>
      <c r="CA328" s="1" t="s">
        <v>105</v>
      </c>
      <c r="CB328" s="1" t="s">
        <v>157</v>
      </c>
      <c r="CC328" s="1" t="s">
        <v>105</v>
      </c>
      <c r="CD328" s="1" t="s">
        <v>104</v>
      </c>
      <c r="CE328" s="4"/>
      <c r="CF328" s="4"/>
    </row>
    <row r="329" hidden="1">
      <c r="A329" s="1" t="s">
        <v>82</v>
      </c>
      <c r="B329" s="1" t="s">
        <v>262</v>
      </c>
      <c r="C329" s="1">
        <v>12.0</v>
      </c>
      <c r="D329" s="5" t="s">
        <v>1514</v>
      </c>
      <c r="E329" s="1" t="s">
        <v>1515</v>
      </c>
      <c r="F329" s="1">
        <v>59.0</v>
      </c>
      <c r="G329" s="1">
        <v>-0.7543</v>
      </c>
      <c r="H329" s="1" t="s">
        <v>1516</v>
      </c>
      <c r="I329" s="4" t="b">
        <f>IFERROR(__xludf.DUMMYFUNCTION("IF(H329="""",,REGEXMATCH(H329,""[א-ת]""))"),FALSE)</f>
        <v>0</v>
      </c>
      <c r="J329" s="4"/>
      <c r="K329" s="4"/>
      <c r="L329" s="1">
        <v>-0.5423</v>
      </c>
      <c r="M329" s="1">
        <v>19.34</v>
      </c>
      <c r="N329" s="1">
        <v>67.8</v>
      </c>
      <c r="O329" s="1">
        <v>1.149152542</v>
      </c>
      <c r="P329" s="4"/>
      <c r="Q329" s="4"/>
      <c r="R329" s="1" t="s">
        <v>96</v>
      </c>
      <c r="S329" s="1" t="s">
        <v>1515</v>
      </c>
      <c r="T329" s="1" t="s">
        <v>262</v>
      </c>
      <c r="U329" s="1">
        <v>13.0</v>
      </c>
      <c r="V329" s="5" t="s">
        <v>1514</v>
      </c>
      <c r="W329" s="1" t="s">
        <v>1515</v>
      </c>
      <c r="X329" s="1" t="s">
        <v>1517</v>
      </c>
      <c r="Y329" s="4"/>
      <c r="Z329" s="4"/>
      <c r="AA329" s="4" t="b">
        <f>IFERROR(__xludf.DUMMYFUNCTION("IF(X329="""",,REGEXMATCH(X329,""[א-ת]""))"),FALSE)</f>
        <v>0</v>
      </c>
      <c r="AB329" s="1">
        <v>24.99</v>
      </c>
      <c r="AC329" s="1">
        <v>55.93</v>
      </c>
      <c r="AD329" s="1">
        <v>0.569285158723612</v>
      </c>
      <c r="AE329" s="1">
        <v>0.0</v>
      </c>
      <c r="AF329" s="1">
        <v>-0.7543</v>
      </c>
      <c r="AG329" s="1">
        <v>6.337</v>
      </c>
      <c r="AH329" s="1">
        <v>6.781</v>
      </c>
      <c r="AI329" s="1" t="b">
        <v>0</v>
      </c>
      <c r="AJ329" s="1" t="b">
        <v>0</v>
      </c>
      <c r="AK329" s="1">
        <v>94.182</v>
      </c>
      <c r="AL329" s="1">
        <v>96.508</v>
      </c>
      <c r="AM329" s="1" t="b">
        <v>0</v>
      </c>
      <c r="AN329" s="1" t="b">
        <v>0</v>
      </c>
      <c r="AO329" s="1">
        <v>8.05</v>
      </c>
      <c r="AP329" s="1">
        <v>8.53399999999999</v>
      </c>
      <c r="AQ329" s="1" t="b">
        <v>0</v>
      </c>
      <c r="AR329" s="1" t="b">
        <v>0</v>
      </c>
      <c r="AS329" s="1">
        <v>86.9179999999999</v>
      </c>
      <c r="AT329" s="1">
        <v>87.152</v>
      </c>
      <c r="AU329" s="1" t="b">
        <v>0</v>
      </c>
      <c r="AV329" s="1" t="b">
        <v>0</v>
      </c>
      <c r="AW329" s="1">
        <v>9.61399999999999</v>
      </c>
      <c r="AX329" s="1">
        <v>11.026</v>
      </c>
      <c r="AY329" s="1" t="b">
        <v>0</v>
      </c>
      <c r="AZ329" s="1" t="b">
        <v>0</v>
      </c>
      <c r="BA329" s="1">
        <v>81.25</v>
      </c>
      <c r="BB329" s="1">
        <v>77.78</v>
      </c>
      <c r="BC329" s="1" t="b">
        <v>0</v>
      </c>
      <c r="BD329" s="1" t="b">
        <v>0</v>
      </c>
      <c r="BE329" s="1">
        <v>11.34</v>
      </c>
      <c r="BF329" s="1">
        <v>13.285</v>
      </c>
      <c r="BG329" s="1" t="b">
        <v>0</v>
      </c>
      <c r="BH329" s="1" t="b">
        <v>0</v>
      </c>
      <c r="BI329" s="1">
        <v>77.78</v>
      </c>
      <c r="BJ329" s="1">
        <v>75.0</v>
      </c>
      <c r="BK329" s="1" t="b">
        <v>0</v>
      </c>
      <c r="BL329" s="1" t="b">
        <v>0</v>
      </c>
      <c r="BM329" s="1">
        <v>13.121</v>
      </c>
      <c r="BN329" s="1">
        <v>14.568</v>
      </c>
      <c r="BO329" s="1" t="b">
        <v>0</v>
      </c>
      <c r="BP329" s="1" t="b">
        <v>0</v>
      </c>
      <c r="BQ329" s="1">
        <v>75.0</v>
      </c>
      <c r="BR329" s="1">
        <v>72.027</v>
      </c>
      <c r="BS329" s="1" t="b">
        <v>0</v>
      </c>
      <c r="BT329" s="1" t="b">
        <v>0</v>
      </c>
      <c r="BU329" s="1" t="s">
        <v>105</v>
      </c>
      <c r="BV329" s="1" t="s">
        <v>105</v>
      </c>
      <c r="BW329" s="1" t="s">
        <v>105</v>
      </c>
      <c r="BX329" s="1" t="s">
        <v>105</v>
      </c>
      <c r="BY329" s="1" t="s">
        <v>105</v>
      </c>
      <c r="BZ329" s="1" t="s">
        <v>105</v>
      </c>
      <c r="CA329" s="1" t="s">
        <v>105</v>
      </c>
      <c r="CB329" s="1" t="s">
        <v>105</v>
      </c>
      <c r="CC329" s="1" t="s">
        <v>105</v>
      </c>
      <c r="CD329" s="1" t="s">
        <v>105</v>
      </c>
      <c r="CE329" s="4"/>
      <c r="CF329" s="4"/>
    </row>
    <row r="330">
      <c r="A330" s="1" t="s">
        <v>82</v>
      </c>
      <c r="B330" s="1" t="s">
        <v>98</v>
      </c>
      <c r="C330" s="1">
        <v>9.0</v>
      </c>
      <c r="D330" s="5" t="s">
        <v>1518</v>
      </c>
      <c r="E330" s="1" t="s">
        <v>1519</v>
      </c>
      <c r="F330" s="1">
        <v>50.0</v>
      </c>
      <c r="G330" s="1">
        <v>0.3182</v>
      </c>
      <c r="H330" s="1" t="s">
        <v>1520</v>
      </c>
      <c r="I330" s="4" t="b">
        <f>IFERROR(__xludf.DUMMYFUNCTION("IF(H330="""",,REGEXMATCH(H330,""[א-ת]""))"),FALSE)</f>
        <v>0</v>
      </c>
      <c r="J330" s="4"/>
      <c r="K330" s="4"/>
      <c r="L330" s="1">
        <v>0.0258</v>
      </c>
      <c r="M330" s="1">
        <v>19.36</v>
      </c>
      <c r="N330" s="1">
        <v>76.0</v>
      </c>
      <c r="O330" s="1">
        <v>1.52</v>
      </c>
      <c r="P330" s="4"/>
      <c r="Q330" s="4"/>
      <c r="R330" s="1" t="s">
        <v>89</v>
      </c>
      <c r="S330" s="1" t="s">
        <v>1519</v>
      </c>
      <c r="T330" s="1" t="s">
        <v>98</v>
      </c>
      <c r="U330" s="1">
        <v>10.0</v>
      </c>
      <c r="V330" s="5" t="s">
        <v>1518</v>
      </c>
      <c r="W330" s="1" t="s">
        <v>1519</v>
      </c>
      <c r="X330" s="1" t="s">
        <v>1521</v>
      </c>
      <c r="Y330" s="1" t="s">
        <v>1010</v>
      </c>
      <c r="Z330" s="4"/>
      <c r="AA330" s="4" t="b">
        <f>IFERROR(__xludf.DUMMYFUNCTION("IF(X330="""",,REGEXMATCH(X330,""[א-ת]""))"),TRUE)</f>
        <v>1</v>
      </c>
      <c r="AB330" s="1">
        <v>3.63</v>
      </c>
      <c r="AC330" s="1">
        <v>130.0</v>
      </c>
      <c r="AD330" s="1">
        <v>0.323669290738038</v>
      </c>
      <c r="AE330" s="1">
        <v>0.0258</v>
      </c>
      <c r="AF330" s="1">
        <v>0.3182</v>
      </c>
      <c r="AG330" s="1">
        <v>6.337</v>
      </c>
      <c r="AH330" s="1">
        <v>6.781</v>
      </c>
      <c r="AI330" s="1" t="b">
        <v>0</v>
      </c>
      <c r="AJ330" s="1" t="b">
        <v>1</v>
      </c>
      <c r="AK330" s="1">
        <v>94.182</v>
      </c>
      <c r="AL330" s="1">
        <v>96.508</v>
      </c>
      <c r="AM330" s="1" t="b">
        <v>0</v>
      </c>
      <c r="AN330" s="1" t="b">
        <v>1</v>
      </c>
      <c r="AO330" s="1">
        <v>8.05</v>
      </c>
      <c r="AP330" s="1">
        <v>8.53399999999999</v>
      </c>
      <c r="AQ330" s="1" t="b">
        <v>0</v>
      </c>
      <c r="AR330" s="1" t="b">
        <v>1</v>
      </c>
      <c r="AS330" s="1">
        <v>86.9179999999999</v>
      </c>
      <c r="AT330" s="1">
        <v>87.152</v>
      </c>
      <c r="AU330" s="1" t="b">
        <v>0</v>
      </c>
      <c r="AV330" s="1" t="b">
        <v>1</v>
      </c>
      <c r="AW330" s="1">
        <v>9.61399999999999</v>
      </c>
      <c r="AX330" s="1">
        <v>11.026</v>
      </c>
      <c r="AY330" s="1" t="b">
        <v>0</v>
      </c>
      <c r="AZ330" s="1" t="b">
        <v>1</v>
      </c>
      <c r="BA330" s="1">
        <v>81.25</v>
      </c>
      <c r="BB330" s="1">
        <v>77.78</v>
      </c>
      <c r="BC330" s="1" t="b">
        <v>0</v>
      </c>
      <c r="BD330" s="1" t="b">
        <v>1</v>
      </c>
      <c r="BE330" s="1">
        <v>11.34</v>
      </c>
      <c r="BF330" s="1">
        <v>13.285</v>
      </c>
      <c r="BG330" s="1" t="b">
        <v>0</v>
      </c>
      <c r="BH330" s="1" t="b">
        <v>1</v>
      </c>
      <c r="BI330" s="1">
        <v>77.78</v>
      </c>
      <c r="BJ330" s="1">
        <v>75.0</v>
      </c>
      <c r="BK330" s="1" t="b">
        <v>0</v>
      </c>
      <c r="BL330" s="1" t="b">
        <v>1</v>
      </c>
      <c r="BM330" s="1">
        <v>13.121</v>
      </c>
      <c r="BN330" s="1">
        <v>14.568</v>
      </c>
      <c r="BO330" s="1" t="b">
        <v>0</v>
      </c>
      <c r="BP330" s="1" t="b">
        <v>1</v>
      </c>
      <c r="BQ330" s="1">
        <v>75.0</v>
      </c>
      <c r="BR330" s="1">
        <v>72.027</v>
      </c>
      <c r="BS330" s="1" t="b">
        <v>1</v>
      </c>
      <c r="BT330" s="1" t="b">
        <v>1</v>
      </c>
      <c r="BU330" s="1" t="s">
        <v>157</v>
      </c>
      <c r="BV330" s="1" t="s">
        <v>157</v>
      </c>
      <c r="BW330" s="1" t="s">
        <v>157</v>
      </c>
      <c r="BX330" s="1" t="s">
        <v>157</v>
      </c>
      <c r="BY330" s="1" t="s">
        <v>157</v>
      </c>
      <c r="BZ330" s="1" t="s">
        <v>157</v>
      </c>
      <c r="CA330" s="1" t="s">
        <v>157</v>
      </c>
      <c r="CB330" s="1" t="s">
        <v>157</v>
      </c>
      <c r="CC330" s="1" t="s">
        <v>157</v>
      </c>
      <c r="CD330" s="1" t="s">
        <v>104</v>
      </c>
      <c r="CE330" s="4"/>
      <c r="CF330" s="4"/>
    </row>
    <row r="331" hidden="1">
      <c r="A331" s="1" t="s">
        <v>82</v>
      </c>
      <c r="B331" s="1" t="s">
        <v>92</v>
      </c>
      <c r="C331" s="1">
        <v>8.0</v>
      </c>
      <c r="D331" s="5" t="s">
        <v>1522</v>
      </c>
      <c r="E331" s="1" t="s">
        <v>1523</v>
      </c>
      <c r="F331" s="1">
        <v>46.0</v>
      </c>
      <c r="G331" s="1">
        <v>-0.5859</v>
      </c>
      <c r="H331" s="1" t="s">
        <v>1524</v>
      </c>
      <c r="I331" s="4" t="b">
        <f>IFERROR(__xludf.DUMMYFUNCTION("IF(H331="""",,REGEXMATCH(H331,""[א-ת]""))"),FALSE)</f>
        <v>0</v>
      </c>
      <c r="J331" s="4"/>
      <c r="K331" s="4"/>
      <c r="L331" s="1">
        <v>-0.5859</v>
      </c>
      <c r="M331" s="1">
        <v>19.4</v>
      </c>
      <c r="N331" s="1">
        <v>65.22</v>
      </c>
      <c r="O331" s="1">
        <v>1.417826087</v>
      </c>
      <c r="P331" s="4"/>
      <c r="Q331" s="4"/>
      <c r="R331" s="1" t="s">
        <v>96</v>
      </c>
      <c r="S331" s="1" t="s">
        <v>1523</v>
      </c>
      <c r="T331" s="1" t="s">
        <v>92</v>
      </c>
      <c r="U331" s="1">
        <v>9.0</v>
      </c>
      <c r="V331" s="5" t="s">
        <v>1522</v>
      </c>
      <c r="W331" s="1" t="s">
        <v>1523</v>
      </c>
      <c r="X331" s="1" t="s">
        <v>1525</v>
      </c>
      <c r="Y331" s="4"/>
      <c r="Z331" s="4"/>
      <c r="AA331" s="4" t="b">
        <f>IFERROR(__xludf.DUMMYFUNCTION("IF(X331="""",,REGEXMATCH(X331,""[א-ת]""))"),FALSE)</f>
        <v>0</v>
      </c>
      <c r="AB331" s="1">
        <v>20.33</v>
      </c>
      <c r="AC331" s="1">
        <v>58.7</v>
      </c>
      <c r="AD331" s="1">
        <v>0.713771129880939</v>
      </c>
      <c r="AE331" s="1">
        <v>-0.5859</v>
      </c>
      <c r="AF331" s="1">
        <v>-0.5859</v>
      </c>
      <c r="AG331" s="1">
        <v>6.337</v>
      </c>
      <c r="AH331" s="1">
        <v>6.781</v>
      </c>
      <c r="AI331" s="1" t="b">
        <v>0</v>
      </c>
      <c r="AJ331" s="1" t="b">
        <v>0</v>
      </c>
      <c r="AK331" s="1">
        <v>94.182</v>
      </c>
      <c r="AL331" s="1">
        <v>96.508</v>
      </c>
      <c r="AM331" s="1" t="b">
        <v>0</v>
      </c>
      <c r="AN331" s="1" t="b">
        <v>0</v>
      </c>
      <c r="AO331" s="1">
        <v>8.05</v>
      </c>
      <c r="AP331" s="1">
        <v>8.53399999999999</v>
      </c>
      <c r="AQ331" s="1" t="b">
        <v>0</v>
      </c>
      <c r="AR331" s="1" t="b">
        <v>0</v>
      </c>
      <c r="AS331" s="1">
        <v>86.9179999999999</v>
      </c>
      <c r="AT331" s="1">
        <v>87.152</v>
      </c>
      <c r="AU331" s="1" t="b">
        <v>0</v>
      </c>
      <c r="AV331" s="1" t="b">
        <v>0</v>
      </c>
      <c r="AW331" s="1">
        <v>9.61399999999999</v>
      </c>
      <c r="AX331" s="1">
        <v>11.026</v>
      </c>
      <c r="AY331" s="1" t="b">
        <v>0</v>
      </c>
      <c r="AZ331" s="1" t="b">
        <v>0</v>
      </c>
      <c r="BA331" s="1">
        <v>81.25</v>
      </c>
      <c r="BB331" s="1">
        <v>77.78</v>
      </c>
      <c r="BC331" s="1" t="b">
        <v>0</v>
      </c>
      <c r="BD331" s="1" t="b">
        <v>0</v>
      </c>
      <c r="BE331" s="1">
        <v>11.34</v>
      </c>
      <c r="BF331" s="1">
        <v>13.285</v>
      </c>
      <c r="BG331" s="1" t="b">
        <v>0</v>
      </c>
      <c r="BH331" s="1" t="b">
        <v>0</v>
      </c>
      <c r="BI331" s="1">
        <v>77.78</v>
      </c>
      <c r="BJ331" s="1">
        <v>75.0</v>
      </c>
      <c r="BK331" s="1" t="b">
        <v>0</v>
      </c>
      <c r="BL331" s="1" t="b">
        <v>0</v>
      </c>
      <c r="BM331" s="1">
        <v>13.121</v>
      </c>
      <c r="BN331" s="1">
        <v>14.568</v>
      </c>
      <c r="BO331" s="1" t="b">
        <v>0</v>
      </c>
      <c r="BP331" s="1" t="b">
        <v>0</v>
      </c>
      <c r="BQ331" s="1">
        <v>75.0</v>
      </c>
      <c r="BR331" s="1">
        <v>72.027</v>
      </c>
      <c r="BS331" s="1" t="b">
        <v>0</v>
      </c>
      <c r="BT331" s="1" t="b">
        <v>0</v>
      </c>
      <c r="BU331" s="1" t="s">
        <v>105</v>
      </c>
      <c r="BV331" s="1" t="s">
        <v>105</v>
      </c>
      <c r="BW331" s="1" t="s">
        <v>105</v>
      </c>
      <c r="BX331" s="1" t="s">
        <v>105</v>
      </c>
      <c r="BY331" s="1" t="s">
        <v>105</v>
      </c>
      <c r="BZ331" s="1" t="s">
        <v>105</v>
      </c>
      <c r="CA331" s="1" t="s">
        <v>105</v>
      </c>
      <c r="CB331" s="1" t="s">
        <v>105</v>
      </c>
      <c r="CC331" s="1" t="s">
        <v>105</v>
      </c>
      <c r="CD331" s="1" t="s">
        <v>105</v>
      </c>
      <c r="CE331" s="4"/>
      <c r="CF331" s="4"/>
    </row>
    <row r="332" hidden="1">
      <c r="A332" s="1" t="s">
        <v>82</v>
      </c>
      <c r="B332" s="1" t="s">
        <v>167</v>
      </c>
      <c r="C332" s="1">
        <v>16.0</v>
      </c>
      <c r="D332" s="5" t="s">
        <v>1526</v>
      </c>
      <c r="E332" s="1" t="s">
        <v>1527</v>
      </c>
      <c r="F332" s="1">
        <v>59.0</v>
      </c>
      <c r="G332" s="1">
        <v>0.0767</v>
      </c>
      <c r="H332" s="1" t="s">
        <v>1528</v>
      </c>
      <c r="I332" s="4" t="b">
        <f>IFERROR(__xludf.DUMMYFUNCTION("IF(H332="""",,REGEXMATCH(H332,""[א-ת]""))"),FALSE)</f>
        <v>0</v>
      </c>
      <c r="J332" s="4"/>
      <c r="K332" s="4"/>
      <c r="L332" s="1">
        <v>0.5801</v>
      </c>
      <c r="M332" s="1">
        <v>19.42</v>
      </c>
      <c r="N332" s="1">
        <v>61.02</v>
      </c>
      <c r="O332" s="1">
        <v>1.034237288</v>
      </c>
      <c r="P332" s="4"/>
      <c r="Q332" s="4"/>
      <c r="R332" s="1" t="s">
        <v>127</v>
      </c>
      <c r="S332" s="1" t="s">
        <v>1527</v>
      </c>
      <c r="T332" s="1" t="s">
        <v>167</v>
      </c>
      <c r="U332" s="1">
        <v>17.0</v>
      </c>
      <c r="V332" s="5" t="s">
        <v>1526</v>
      </c>
      <c r="W332" s="1" t="s">
        <v>1527</v>
      </c>
      <c r="X332" s="1" t="s">
        <v>1529</v>
      </c>
      <c r="Y332" s="4"/>
      <c r="Z332" s="4"/>
      <c r="AA332" s="4" t="b">
        <f>IFERROR(__xludf.DUMMYFUNCTION("IF(X332="""",,REGEXMATCH(X332,""[א-ת]""))"),FALSE)</f>
        <v>0</v>
      </c>
      <c r="AB332" s="1">
        <v>35.06</v>
      </c>
      <c r="AC332" s="1">
        <v>47.46</v>
      </c>
      <c r="AD332" s="1">
        <v>0.672183996153824</v>
      </c>
      <c r="AE332" s="1">
        <v>0.5801</v>
      </c>
      <c r="AF332" s="1">
        <v>0.0767</v>
      </c>
      <c r="AG332" s="1">
        <v>6.337</v>
      </c>
      <c r="AH332" s="1">
        <v>6.781</v>
      </c>
      <c r="AI332" s="1" t="b">
        <v>0</v>
      </c>
      <c r="AJ332" s="1" t="b">
        <v>0</v>
      </c>
      <c r="AK332" s="1">
        <v>94.182</v>
      </c>
      <c r="AL332" s="1">
        <v>96.508</v>
      </c>
      <c r="AM332" s="1" t="b">
        <v>0</v>
      </c>
      <c r="AN332" s="1" t="b">
        <v>0</v>
      </c>
      <c r="AO332" s="1">
        <v>8.05</v>
      </c>
      <c r="AP332" s="1">
        <v>8.53399999999999</v>
      </c>
      <c r="AQ332" s="1" t="b">
        <v>0</v>
      </c>
      <c r="AR332" s="1" t="b">
        <v>0</v>
      </c>
      <c r="AS332" s="1">
        <v>86.9179999999999</v>
      </c>
      <c r="AT332" s="1">
        <v>87.152</v>
      </c>
      <c r="AU332" s="1" t="b">
        <v>0</v>
      </c>
      <c r="AV332" s="1" t="b">
        <v>0</v>
      </c>
      <c r="AW332" s="1">
        <v>9.61399999999999</v>
      </c>
      <c r="AX332" s="1">
        <v>11.026</v>
      </c>
      <c r="AY332" s="1" t="b">
        <v>0</v>
      </c>
      <c r="AZ332" s="1" t="b">
        <v>0</v>
      </c>
      <c r="BA332" s="1">
        <v>81.25</v>
      </c>
      <c r="BB332" s="1">
        <v>77.78</v>
      </c>
      <c r="BC332" s="1" t="b">
        <v>0</v>
      </c>
      <c r="BD332" s="1" t="b">
        <v>0</v>
      </c>
      <c r="BE332" s="1">
        <v>11.34</v>
      </c>
      <c r="BF332" s="1">
        <v>13.285</v>
      </c>
      <c r="BG332" s="1" t="b">
        <v>0</v>
      </c>
      <c r="BH332" s="1" t="b">
        <v>0</v>
      </c>
      <c r="BI332" s="1">
        <v>77.78</v>
      </c>
      <c r="BJ332" s="1">
        <v>75.0</v>
      </c>
      <c r="BK332" s="1" t="b">
        <v>0</v>
      </c>
      <c r="BL332" s="1" t="b">
        <v>0</v>
      </c>
      <c r="BM332" s="1">
        <v>13.121</v>
      </c>
      <c r="BN332" s="1">
        <v>14.568</v>
      </c>
      <c r="BO332" s="1" t="b">
        <v>0</v>
      </c>
      <c r="BP332" s="1" t="b">
        <v>0</v>
      </c>
      <c r="BQ332" s="1">
        <v>75.0</v>
      </c>
      <c r="BR332" s="1">
        <v>72.027</v>
      </c>
      <c r="BS332" s="1" t="b">
        <v>0</v>
      </c>
      <c r="BT332" s="1" t="b">
        <v>0</v>
      </c>
      <c r="BU332" s="1" t="s">
        <v>105</v>
      </c>
      <c r="BV332" s="1" t="s">
        <v>105</v>
      </c>
      <c r="BW332" s="1" t="s">
        <v>105</v>
      </c>
      <c r="BX332" s="1" t="s">
        <v>105</v>
      </c>
      <c r="BY332" s="1" t="s">
        <v>105</v>
      </c>
      <c r="BZ332" s="1" t="s">
        <v>105</v>
      </c>
      <c r="CA332" s="1" t="s">
        <v>105</v>
      </c>
      <c r="CB332" s="1" t="s">
        <v>105</v>
      </c>
      <c r="CC332" s="1" t="s">
        <v>105</v>
      </c>
      <c r="CD332" s="1" t="s">
        <v>105</v>
      </c>
      <c r="CE332" s="4"/>
      <c r="CF332" s="4"/>
    </row>
    <row r="333">
      <c r="A333" s="1" t="s">
        <v>82</v>
      </c>
      <c r="B333" s="1" t="s">
        <v>139</v>
      </c>
      <c r="C333" s="1">
        <v>9.0</v>
      </c>
      <c r="D333" s="5" t="s">
        <v>1530</v>
      </c>
      <c r="E333" s="1" t="s">
        <v>1531</v>
      </c>
      <c r="F333" s="1">
        <v>19.0</v>
      </c>
      <c r="G333" s="1">
        <v>-0.3818</v>
      </c>
      <c r="H333" s="1" t="s">
        <v>1532</v>
      </c>
      <c r="I333" s="4" t="b">
        <f>IFERROR(__xludf.DUMMYFUNCTION("IF(H333="""",,REGEXMATCH(H333,""[א-ת]""))"),FALSE)</f>
        <v>0</v>
      </c>
      <c r="J333" s="4"/>
      <c r="K333" s="4"/>
      <c r="L333" s="1">
        <v>-0.3818</v>
      </c>
      <c r="M333" s="1">
        <v>19.42</v>
      </c>
      <c r="N333" s="1">
        <v>68.42</v>
      </c>
      <c r="O333" s="1">
        <v>3.601052632</v>
      </c>
      <c r="P333" s="4"/>
      <c r="Q333" s="4"/>
      <c r="R333" s="1" t="s">
        <v>96</v>
      </c>
      <c r="S333" s="1" t="s">
        <v>1531</v>
      </c>
      <c r="T333" s="1" t="s">
        <v>139</v>
      </c>
      <c r="U333" s="1">
        <v>10.0</v>
      </c>
      <c r="V333" s="5" t="s">
        <v>1530</v>
      </c>
      <c r="W333" s="1" t="s">
        <v>1531</v>
      </c>
      <c r="X333" s="1" t="s">
        <v>1533</v>
      </c>
      <c r="Y333" s="1" t="s">
        <v>1534</v>
      </c>
      <c r="Z333" s="1" t="s">
        <v>1535</v>
      </c>
      <c r="AA333" s="4" t="b">
        <f>IFERROR(__xludf.DUMMYFUNCTION("IF(X333="""",,REGEXMATCH(X333,""[א-ת]""))"),FALSE)</f>
        <v>0</v>
      </c>
      <c r="AB333" s="1">
        <v>3.91</v>
      </c>
      <c r="AC333" s="1">
        <v>84.21</v>
      </c>
      <c r="AD333" s="1">
        <v>0.0234295961713154</v>
      </c>
      <c r="AE333" s="1">
        <v>-0.4019</v>
      </c>
      <c r="AF333" s="1">
        <v>-0.3818</v>
      </c>
      <c r="AG333" s="1">
        <v>6.337</v>
      </c>
      <c r="AH333" s="1">
        <v>6.781</v>
      </c>
      <c r="AI333" s="1" t="b">
        <v>0</v>
      </c>
      <c r="AJ333" s="1" t="b">
        <v>1</v>
      </c>
      <c r="AK333" s="1">
        <v>94.182</v>
      </c>
      <c r="AL333" s="1">
        <v>96.508</v>
      </c>
      <c r="AM333" s="1" t="b">
        <v>0</v>
      </c>
      <c r="AN333" s="1" t="b">
        <v>0</v>
      </c>
      <c r="AO333" s="1">
        <v>8.05</v>
      </c>
      <c r="AP333" s="1">
        <v>8.53399999999999</v>
      </c>
      <c r="AQ333" s="1" t="b">
        <v>0</v>
      </c>
      <c r="AR333" s="1" t="b">
        <v>1</v>
      </c>
      <c r="AS333" s="1">
        <v>86.9179999999999</v>
      </c>
      <c r="AT333" s="1">
        <v>87.152</v>
      </c>
      <c r="AU333" s="1" t="b">
        <v>0</v>
      </c>
      <c r="AV333" s="1" t="b">
        <v>0</v>
      </c>
      <c r="AW333" s="1">
        <v>9.61399999999999</v>
      </c>
      <c r="AX333" s="1">
        <v>11.026</v>
      </c>
      <c r="AY333" s="1" t="b">
        <v>0</v>
      </c>
      <c r="AZ333" s="1" t="b">
        <v>1</v>
      </c>
      <c r="BA333" s="1">
        <v>81.25</v>
      </c>
      <c r="BB333" s="1">
        <v>77.78</v>
      </c>
      <c r="BC333" s="1" t="b">
        <v>0</v>
      </c>
      <c r="BD333" s="1" t="b">
        <v>1</v>
      </c>
      <c r="BE333" s="1">
        <v>11.34</v>
      </c>
      <c r="BF333" s="1">
        <v>13.285</v>
      </c>
      <c r="BG333" s="1" t="b">
        <v>0</v>
      </c>
      <c r="BH333" s="1" t="b">
        <v>1</v>
      </c>
      <c r="BI333" s="1">
        <v>77.78</v>
      </c>
      <c r="BJ333" s="1">
        <v>75.0</v>
      </c>
      <c r="BK333" s="1" t="b">
        <v>0</v>
      </c>
      <c r="BL333" s="1" t="b">
        <v>1</v>
      </c>
      <c r="BM333" s="1">
        <v>13.121</v>
      </c>
      <c r="BN333" s="1">
        <v>14.568</v>
      </c>
      <c r="BO333" s="1" t="b">
        <v>0</v>
      </c>
      <c r="BP333" s="1" t="b">
        <v>1</v>
      </c>
      <c r="BQ333" s="1">
        <v>75.0</v>
      </c>
      <c r="BR333" s="1">
        <v>72.027</v>
      </c>
      <c r="BS333" s="1" t="b">
        <v>0</v>
      </c>
      <c r="BT333" s="1" t="b">
        <v>1</v>
      </c>
      <c r="BU333" s="1" t="s">
        <v>157</v>
      </c>
      <c r="BV333" s="1" t="s">
        <v>105</v>
      </c>
      <c r="BW333" s="1" t="s">
        <v>157</v>
      </c>
      <c r="BX333" s="1" t="s">
        <v>105</v>
      </c>
      <c r="BY333" s="1" t="s">
        <v>157</v>
      </c>
      <c r="BZ333" s="1" t="s">
        <v>157</v>
      </c>
      <c r="CA333" s="1" t="s">
        <v>157</v>
      </c>
      <c r="CB333" s="1" t="s">
        <v>157</v>
      </c>
      <c r="CC333" s="1" t="s">
        <v>157</v>
      </c>
      <c r="CD333" s="1" t="s">
        <v>157</v>
      </c>
      <c r="CE333" s="4"/>
      <c r="CF333" s="4"/>
    </row>
    <row r="334" hidden="1">
      <c r="A334" s="1" t="s">
        <v>82</v>
      </c>
      <c r="B334" s="1" t="s">
        <v>139</v>
      </c>
      <c r="C334" s="1">
        <v>12.0</v>
      </c>
      <c r="D334" s="5" t="s">
        <v>1536</v>
      </c>
      <c r="E334" s="1" t="s">
        <v>1537</v>
      </c>
      <c r="F334" s="1">
        <v>22.0</v>
      </c>
      <c r="G334" s="1">
        <v>0.3612</v>
      </c>
      <c r="H334" s="1" t="s">
        <v>1538</v>
      </c>
      <c r="I334" s="4" t="b">
        <f>IFERROR(__xludf.DUMMYFUNCTION("IF(H334="""",,REGEXMATCH(H334,""[א-ת]""))"),FALSE)</f>
        <v>0</v>
      </c>
      <c r="J334" s="4"/>
      <c r="K334" s="4"/>
      <c r="L334" s="1">
        <v>0.3612</v>
      </c>
      <c r="M334" s="1">
        <v>19.47</v>
      </c>
      <c r="N334" s="1">
        <v>45.45</v>
      </c>
      <c r="O334" s="1">
        <v>2.065909091</v>
      </c>
      <c r="P334" s="4"/>
      <c r="Q334" s="4"/>
      <c r="R334" s="1" t="s">
        <v>96</v>
      </c>
      <c r="S334" s="1" t="s">
        <v>1537</v>
      </c>
      <c r="T334" s="1" t="s">
        <v>139</v>
      </c>
      <c r="U334" s="1">
        <v>13.0</v>
      </c>
      <c r="V334" s="5" t="s">
        <v>1536</v>
      </c>
      <c r="W334" s="1" t="s">
        <v>1537</v>
      </c>
      <c r="X334" s="1" t="s">
        <v>1539</v>
      </c>
      <c r="Y334" s="4"/>
      <c r="Z334" s="4"/>
      <c r="AA334" s="4" t="b">
        <f>IFERROR(__xludf.DUMMYFUNCTION("IF(X334="""",,REGEXMATCH(X334,""[א-ת]""))"),FALSE)</f>
        <v>0</v>
      </c>
      <c r="AB334" s="1">
        <v>25.55</v>
      </c>
      <c r="AC334" s="1">
        <v>45.45</v>
      </c>
      <c r="AD334" s="1">
        <v>0.38237871579906</v>
      </c>
      <c r="AE334" s="1">
        <v>0.3612</v>
      </c>
      <c r="AF334" s="1">
        <v>0.3612</v>
      </c>
      <c r="AG334" s="1">
        <v>6.337</v>
      </c>
      <c r="AH334" s="1">
        <v>6.781</v>
      </c>
      <c r="AI334" s="1" t="b">
        <v>0</v>
      </c>
      <c r="AJ334" s="1" t="b">
        <v>0</v>
      </c>
      <c r="AK334" s="1">
        <v>94.182</v>
      </c>
      <c r="AL334" s="1">
        <v>96.508</v>
      </c>
      <c r="AM334" s="1" t="b">
        <v>0</v>
      </c>
      <c r="AN334" s="1" t="b">
        <v>0</v>
      </c>
      <c r="AO334" s="1">
        <v>8.05</v>
      </c>
      <c r="AP334" s="1">
        <v>8.53399999999999</v>
      </c>
      <c r="AQ334" s="1" t="b">
        <v>0</v>
      </c>
      <c r="AR334" s="1" t="b">
        <v>0</v>
      </c>
      <c r="AS334" s="1">
        <v>86.9179999999999</v>
      </c>
      <c r="AT334" s="1">
        <v>87.152</v>
      </c>
      <c r="AU334" s="1" t="b">
        <v>0</v>
      </c>
      <c r="AV334" s="1" t="b">
        <v>0</v>
      </c>
      <c r="AW334" s="1">
        <v>9.61399999999999</v>
      </c>
      <c r="AX334" s="1">
        <v>11.026</v>
      </c>
      <c r="AY334" s="1" t="b">
        <v>0</v>
      </c>
      <c r="AZ334" s="1" t="b">
        <v>0</v>
      </c>
      <c r="BA334" s="1">
        <v>81.25</v>
      </c>
      <c r="BB334" s="1">
        <v>77.78</v>
      </c>
      <c r="BC334" s="1" t="b">
        <v>0</v>
      </c>
      <c r="BD334" s="1" t="b">
        <v>0</v>
      </c>
      <c r="BE334" s="1">
        <v>11.34</v>
      </c>
      <c r="BF334" s="1">
        <v>13.285</v>
      </c>
      <c r="BG334" s="1" t="b">
        <v>0</v>
      </c>
      <c r="BH334" s="1" t="b">
        <v>0</v>
      </c>
      <c r="BI334" s="1">
        <v>77.78</v>
      </c>
      <c r="BJ334" s="1">
        <v>75.0</v>
      </c>
      <c r="BK334" s="1" t="b">
        <v>0</v>
      </c>
      <c r="BL334" s="1" t="b">
        <v>0</v>
      </c>
      <c r="BM334" s="1">
        <v>13.121</v>
      </c>
      <c r="BN334" s="1">
        <v>14.568</v>
      </c>
      <c r="BO334" s="1" t="b">
        <v>0</v>
      </c>
      <c r="BP334" s="1" t="b">
        <v>0</v>
      </c>
      <c r="BQ334" s="1">
        <v>75.0</v>
      </c>
      <c r="BR334" s="1">
        <v>72.027</v>
      </c>
      <c r="BS334" s="1" t="b">
        <v>0</v>
      </c>
      <c r="BT334" s="1" t="b">
        <v>0</v>
      </c>
      <c r="BU334" s="1" t="s">
        <v>105</v>
      </c>
      <c r="BV334" s="1" t="s">
        <v>105</v>
      </c>
      <c r="BW334" s="1" t="s">
        <v>105</v>
      </c>
      <c r="BX334" s="1" t="s">
        <v>105</v>
      </c>
      <c r="BY334" s="1" t="s">
        <v>105</v>
      </c>
      <c r="BZ334" s="1" t="s">
        <v>105</v>
      </c>
      <c r="CA334" s="1" t="s">
        <v>105</v>
      </c>
      <c r="CB334" s="1" t="s">
        <v>105</v>
      </c>
      <c r="CC334" s="1" t="s">
        <v>105</v>
      </c>
      <c r="CD334" s="1" t="s">
        <v>105</v>
      </c>
      <c r="CE334" s="4"/>
      <c r="CF334" s="4"/>
    </row>
    <row r="335" hidden="1">
      <c r="A335" s="1" t="s">
        <v>82</v>
      </c>
      <c r="B335" s="1" t="s">
        <v>139</v>
      </c>
      <c r="C335" s="1">
        <v>32.0</v>
      </c>
      <c r="D335" s="5" t="s">
        <v>1540</v>
      </c>
      <c r="E335" s="1" t="s">
        <v>1541</v>
      </c>
      <c r="F335" s="1">
        <v>33.0</v>
      </c>
      <c r="G335" s="1">
        <v>0.0</v>
      </c>
      <c r="H335" s="1" t="s">
        <v>1542</v>
      </c>
      <c r="I335" s="4" t="b">
        <f>IFERROR(__xludf.DUMMYFUNCTION("IF(H335="""",,REGEXMATCH(H335,""[א-ת]""))"),FALSE)</f>
        <v>0</v>
      </c>
      <c r="J335" s="4"/>
      <c r="K335" s="4"/>
      <c r="L335" s="1">
        <v>0.0</v>
      </c>
      <c r="M335" s="1">
        <v>19.47</v>
      </c>
      <c r="N335" s="1">
        <v>69.7</v>
      </c>
      <c r="O335" s="1">
        <v>2.112121212</v>
      </c>
      <c r="P335" s="4"/>
      <c r="Q335" s="4"/>
      <c r="R335" s="1" t="s">
        <v>96</v>
      </c>
      <c r="S335" s="1" t="s">
        <v>1541</v>
      </c>
      <c r="T335" s="1" t="s">
        <v>139</v>
      </c>
      <c r="U335" s="1">
        <v>33.0</v>
      </c>
      <c r="V335" s="5" t="s">
        <v>1540</v>
      </c>
      <c r="W335" s="1" t="s">
        <v>1541</v>
      </c>
      <c r="X335" s="1" t="s">
        <v>1543</v>
      </c>
      <c r="Y335" s="4"/>
      <c r="Z335" s="4"/>
      <c r="AA335" s="4" t="b">
        <f>IFERROR(__xludf.DUMMYFUNCTION("IF(X335="""",,REGEXMATCH(X335,""[א-ת]""))"),FALSE)</f>
        <v>0</v>
      </c>
      <c r="AB335" s="1">
        <v>16.02</v>
      </c>
      <c r="AC335" s="1">
        <v>63.64</v>
      </c>
      <c r="AD335" s="1">
        <v>0.601115268123353</v>
      </c>
      <c r="AE335" s="1">
        <v>0.0</v>
      </c>
      <c r="AF335" s="1">
        <v>0.0</v>
      </c>
      <c r="AG335" s="1">
        <v>6.337</v>
      </c>
      <c r="AH335" s="1">
        <v>6.781</v>
      </c>
      <c r="AI335" s="1" t="b">
        <v>0</v>
      </c>
      <c r="AJ335" s="1" t="b">
        <v>0</v>
      </c>
      <c r="AK335" s="1">
        <v>94.182</v>
      </c>
      <c r="AL335" s="1">
        <v>96.508</v>
      </c>
      <c r="AM335" s="1" t="b">
        <v>0</v>
      </c>
      <c r="AN335" s="1" t="b">
        <v>0</v>
      </c>
      <c r="AO335" s="1">
        <v>8.05</v>
      </c>
      <c r="AP335" s="1">
        <v>8.53399999999999</v>
      </c>
      <c r="AQ335" s="1" t="b">
        <v>0</v>
      </c>
      <c r="AR335" s="1" t="b">
        <v>0</v>
      </c>
      <c r="AS335" s="1">
        <v>86.9179999999999</v>
      </c>
      <c r="AT335" s="1">
        <v>87.152</v>
      </c>
      <c r="AU335" s="1" t="b">
        <v>0</v>
      </c>
      <c r="AV335" s="1" t="b">
        <v>0</v>
      </c>
      <c r="AW335" s="1">
        <v>9.61399999999999</v>
      </c>
      <c r="AX335" s="1">
        <v>11.026</v>
      </c>
      <c r="AY335" s="1" t="b">
        <v>0</v>
      </c>
      <c r="AZ335" s="1" t="b">
        <v>0</v>
      </c>
      <c r="BA335" s="1">
        <v>81.25</v>
      </c>
      <c r="BB335" s="1">
        <v>77.78</v>
      </c>
      <c r="BC335" s="1" t="b">
        <v>0</v>
      </c>
      <c r="BD335" s="1" t="b">
        <v>0</v>
      </c>
      <c r="BE335" s="1">
        <v>11.34</v>
      </c>
      <c r="BF335" s="1">
        <v>13.285</v>
      </c>
      <c r="BG335" s="1" t="b">
        <v>0</v>
      </c>
      <c r="BH335" s="1" t="b">
        <v>0</v>
      </c>
      <c r="BI335" s="1">
        <v>77.78</v>
      </c>
      <c r="BJ335" s="1">
        <v>75.0</v>
      </c>
      <c r="BK335" s="1" t="b">
        <v>0</v>
      </c>
      <c r="BL335" s="1" t="b">
        <v>0</v>
      </c>
      <c r="BM335" s="1">
        <v>13.121</v>
      </c>
      <c r="BN335" s="1">
        <v>14.568</v>
      </c>
      <c r="BO335" s="1" t="b">
        <v>0</v>
      </c>
      <c r="BP335" s="1" t="b">
        <v>0</v>
      </c>
      <c r="BQ335" s="1">
        <v>75.0</v>
      </c>
      <c r="BR335" s="1">
        <v>72.027</v>
      </c>
      <c r="BS335" s="1" t="b">
        <v>0</v>
      </c>
      <c r="BT335" s="1" t="b">
        <v>0</v>
      </c>
      <c r="BU335" s="1" t="s">
        <v>105</v>
      </c>
      <c r="BV335" s="1" t="s">
        <v>105</v>
      </c>
      <c r="BW335" s="1" t="s">
        <v>105</v>
      </c>
      <c r="BX335" s="1" t="s">
        <v>105</v>
      </c>
      <c r="BY335" s="1" t="s">
        <v>105</v>
      </c>
      <c r="BZ335" s="1" t="s">
        <v>105</v>
      </c>
      <c r="CA335" s="1" t="s">
        <v>105</v>
      </c>
      <c r="CB335" s="1" t="s">
        <v>105</v>
      </c>
      <c r="CC335" s="1" t="s">
        <v>105</v>
      </c>
      <c r="CD335" s="1" t="s">
        <v>105</v>
      </c>
      <c r="CE335" s="4"/>
      <c r="CF335" s="4"/>
    </row>
    <row r="336" hidden="1">
      <c r="A336" s="1" t="s">
        <v>82</v>
      </c>
      <c r="B336" s="1" t="s">
        <v>92</v>
      </c>
      <c r="C336" s="1">
        <v>38.0</v>
      </c>
      <c r="D336" s="5" t="s">
        <v>1544</v>
      </c>
      <c r="E336" s="1" t="s">
        <v>1545</v>
      </c>
      <c r="F336" s="1">
        <v>25.0</v>
      </c>
      <c r="G336" s="1">
        <v>0.3333</v>
      </c>
      <c r="H336" s="1" t="s">
        <v>1546</v>
      </c>
      <c r="I336" s="4" t="b">
        <f>IFERROR(__xludf.DUMMYFUNCTION("IF(H336="""",,REGEXMATCH(H336,""[א-ת]""))"),FALSE)</f>
        <v>0</v>
      </c>
      <c r="J336" s="4"/>
      <c r="K336" s="4"/>
      <c r="L336" s="1">
        <v>0.3333</v>
      </c>
      <c r="M336" s="1">
        <v>19.62</v>
      </c>
      <c r="N336" s="1">
        <v>64.0</v>
      </c>
      <c r="O336" s="1">
        <v>2.56</v>
      </c>
      <c r="P336" s="4"/>
      <c r="Q336" s="4"/>
      <c r="R336" s="1" t="s">
        <v>96</v>
      </c>
      <c r="S336" s="1" t="s">
        <v>1545</v>
      </c>
      <c r="T336" s="1" t="s">
        <v>92</v>
      </c>
      <c r="U336" s="1">
        <v>39.0</v>
      </c>
      <c r="V336" s="5" t="s">
        <v>1544</v>
      </c>
      <c r="W336" s="1" t="s">
        <v>1545</v>
      </c>
      <c r="X336" s="1" t="s">
        <v>1547</v>
      </c>
      <c r="Y336" s="4"/>
      <c r="Z336" s="4"/>
      <c r="AA336" s="4" t="b">
        <f>IFERROR(__xludf.DUMMYFUNCTION("IF(X336="""",,REGEXMATCH(X336,""[א-ת]""))"),FALSE)</f>
        <v>0</v>
      </c>
      <c r="AB336" s="1">
        <v>26.51</v>
      </c>
      <c r="AC336" s="1">
        <v>48.0</v>
      </c>
      <c r="AD336" s="1">
        <v>0.797387002484737</v>
      </c>
      <c r="AE336" s="1">
        <v>0.3333</v>
      </c>
      <c r="AF336" s="1">
        <v>0.3333</v>
      </c>
      <c r="AG336" s="1">
        <v>6.337</v>
      </c>
      <c r="AH336" s="1">
        <v>6.781</v>
      </c>
      <c r="AI336" s="1" t="b">
        <v>0</v>
      </c>
      <c r="AJ336" s="1" t="b">
        <v>0</v>
      </c>
      <c r="AK336" s="1">
        <v>94.182</v>
      </c>
      <c r="AL336" s="1">
        <v>96.508</v>
      </c>
      <c r="AM336" s="1" t="b">
        <v>0</v>
      </c>
      <c r="AN336" s="1" t="b">
        <v>0</v>
      </c>
      <c r="AO336" s="1">
        <v>8.05</v>
      </c>
      <c r="AP336" s="1">
        <v>8.53399999999999</v>
      </c>
      <c r="AQ336" s="1" t="b">
        <v>0</v>
      </c>
      <c r="AR336" s="1" t="b">
        <v>0</v>
      </c>
      <c r="AS336" s="1">
        <v>86.9179999999999</v>
      </c>
      <c r="AT336" s="1">
        <v>87.152</v>
      </c>
      <c r="AU336" s="1" t="b">
        <v>0</v>
      </c>
      <c r="AV336" s="1" t="b">
        <v>0</v>
      </c>
      <c r="AW336" s="1">
        <v>9.61399999999999</v>
      </c>
      <c r="AX336" s="1">
        <v>11.026</v>
      </c>
      <c r="AY336" s="1" t="b">
        <v>0</v>
      </c>
      <c r="AZ336" s="1" t="b">
        <v>0</v>
      </c>
      <c r="BA336" s="1">
        <v>81.25</v>
      </c>
      <c r="BB336" s="1">
        <v>77.78</v>
      </c>
      <c r="BC336" s="1" t="b">
        <v>0</v>
      </c>
      <c r="BD336" s="1" t="b">
        <v>0</v>
      </c>
      <c r="BE336" s="1">
        <v>11.34</v>
      </c>
      <c r="BF336" s="1">
        <v>13.285</v>
      </c>
      <c r="BG336" s="1" t="b">
        <v>0</v>
      </c>
      <c r="BH336" s="1" t="b">
        <v>0</v>
      </c>
      <c r="BI336" s="1">
        <v>77.78</v>
      </c>
      <c r="BJ336" s="1">
        <v>75.0</v>
      </c>
      <c r="BK336" s="1" t="b">
        <v>0</v>
      </c>
      <c r="BL336" s="1" t="b">
        <v>0</v>
      </c>
      <c r="BM336" s="1">
        <v>13.121</v>
      </c>
      <c r="BN336" s="1">
        <v>14.568</v>
      </c>
      <c r="BO336" s="1" t="b">
        <v>0</v>
      </c>
      <c r="BP336" s="1" t="b">
        <v>0</v>
      </c>
      <c r="BQ336" s="1">
        <v>75.0</v>
      </c>
      <c r="BR336" s="1">
        <v>72.027</v>
      </c>
      <c r="BS336" s="1" t="b">
        <v>0</v>
      </c>
      <c r="BT336" s="1" t="b">
        <v>0</v>
      </c>
      <c r="BU336" s="1" t="s">
        <v>105</v>
      </c>
      <c r="BV336" s="1" t="s">
        <v>105</v>
      </c>
      <c r="BW336" s="1" t="s">
        <v>105</v>
      </c>
      <c r="BX336" s="1" t="s">
        <v>105</v>
      </c>
      <c r="BY336" s="1" t="s">
        <v>105</v>
      </c>
      <c r="BZ336" s="1" t="s">
        <v>105</v>
      </c>
      <c r="CA336" s="1" t="s">
        <v>105</v>
      </c>
      <c r="CB336" s="1" t="s">
        <v>105</v>
      </c>
      <c r="CC336" s="1" t="s">
        <v>105</v>
      </c>
      <c r="CD336" s="1" t="s">
        <v>105</v>
      </c>
      <c r="CE336" s="4"/>
      <c r="CF336" s="4"/>
    </row>
    <row r="337" hidden="1">
      <c r="A337" s="1" t="s">
        <v>82</v>
      </c>
      <c r="B337" s="1" t="s">
        <v>158</v>
      </c>
      <c r="C337" s="1">
        <v>14.0</v>
      </c>
      <c r="D337" s="5" t="s">
        <v>1548</v>
      </c>
      <c r="E337" s="1" t="s">
        <v>1549</v>
      </c>
      <c r="F337" s="1">
        <v>34.0</v>
      </c>
      <c r="G337" s="1">
        <v>0.0</v>
      </c>
      <c r="H337" s="1" t="s">
        <v>1550</v>
      </c>
      <c r="I337" s="4" t="b">
        <f>IFERROR(__xludf.DUMMYFUNCTION("IF(H337="""",,REGEXMATCH(H337,""[א-ת]""))"),FALSE)</f>
        <v>0</v>
      </c>
      <c r="J337" s="4"/>
      <c r="K337" s="4"/>
      <c r="L337" s="1">
        <v>0.0</v>
      </c>
      <c r="M337" s="1">
        <v>19.71</v>
      </c>
      <c r="N337" s="1">
        <v>82.35</v>
      </c>
      <c r="O337" s="1">
        <v>2.422058824</v>
      </c>
      <c r="P337" s="4"/>
      <c r="Q337" s="4"/>
      <c r="R337" s="1" t="s">
        <v>89</v>
      </c>
      <c r="S337" s="1" t="s">
        <v>1549</v>
      </c>
      <c r="T337" s="1" t="s">
        <v>158</v>
      </c>
      <c r="U337" s="1">
        <v>15.0</v>
      </c>
      <c r="V337" s="5" t="s">
        <v>1548</v>
      </c>
      <c r="W337" s="1" t="s">
        <v>1549</v>
      </c>
      <c r="X337" s="1" t="s">
        <v>1551</v>
      </c>
      <c r="Y337" s="4"/>
      <c r="Z337" s="4"/>
      <c r="AA337" s="4" t="b">
        <f>IFERROR(__xludf.DUMMYFUNCTION("IF(X337="""",,REGEXMATCH(X337,""[א-ת]""))"),FALSE)</f>
        <v>0</v>
      </c>
      <c r="AB337" s="1">
        <v>20.38</v>
      </c>
      <c r="AC337" s="1">
        <v>76.47</v>
      </c>
      <c r="AD337" s="1">
        <v>0.507418966784797</v>
      </c>
      <c r="AE337" s="1">
        <v>0.0</v>
      </c>
      <c r="AF337" s="1">
        <v>0.0</v>
      </c>
      <c r="AG337" s="1">
        <v>6.337</v>
      </c>
      <c r="AH337" s="1">
        <v>6.781</v>
      </c>
      <c r="AI337" s="1" t="b">
        <v>0</v>
      </c>
      <c r="AJ337" s="1" t="b">
        <v>0</v>
      </c>
      <c r="AK337" s="1">
        <v>94.182</v>
      </c>
      <c r="AL337" s="1">
        <v>96.508</v>
      </c>
      <c r="AM337" s="1" t="b">
        <v>0</v>
      </c>
      <c r="AN337" s="1" t="b">
        <v>0</v>
      </c>
      <c r="AO337" s="1">
        <v>8.05</v>
      </c>
      <c r="AP337" s="1">
        <v>8.53399999999999</v>
      </c>
      <c r="AQ337" s="1" t="b">
        <v>0</v>
      </c>
      <c r="AR337" s="1" t="b">
        <v>0</v>
      </c>
      <c r="AS337" s="1">
        <v>86.9179999999999</v>
      </c>
      <c r="AT337" s="1">
        <v>87.152</v>
      </c>
      <c r="AU337" s="1" t="b">
        <v>0</v>
      </c>
      <c r="AV337" s="1" t="b">
        <v>0</v>
      </c>
      <c r="AW337" s="1">
        <v>9.61399999999999</v>
      </c>
      <c r="AX337" s="1">
        <v>11.026</v>
      </c>
      <c r="AY337" s="1" t="b">
        <v>0</v>
      </c>
      <c r="AZ337" s="1" t="b">
        <v>0</v>
      </c>
      <c r="BA337" s="1">
        <v>81.25</v>
      </c>
      <c r="BB337" s="1">
        <v>77.78</v>
      </c>
      <c r="BC337" s="1" t="b">
        <v>1</v>
      </c>
      <c r="BD337" s="1" t="b">
        <v>0</v>
      </c>
      <c r="BE337" s="1">
        <v>11.34</v>
      </c>
      <c r="BF337" s="1">
        <v>13.285</v>
      </c>
      <c r="BG337" s="1" t="b">
        <v>0</v>
      </c>
      <c r="BH337" s="1" t="b">
        <v>0</v>
      </c>
      <c r="BI337" s="1">
        <v>77.78</v>
      </c>
      <c r="BJ337" s="1">
        <v>75.0</v>
      </c>
      <c r="BK337" s="1" t="b">
        <v>1</v>
      </c>
      <c r="BL337" s="1" t="b">
        <v>1</v>
      </c>
      <c r="BM337" s="1">
        <v>13.121</v>
      </c>
      <c r="BN337" s="1">
        <v>14.568</v>
      </c>
      <c r="BO337" s="1" t="b">
        <v>0</v>
      </c>
      <c r="BP337" s="1" t="b">
        <v>0</v>
      </c>
      <c r="BQ337" s="1">
        <v>75.0</v>
      </c>
      <c r="BR337" s="1">
        <v>72.027</v>
      </c>
      <c r="BS337" s="1" t="b">
        <v>1</v>
      </c>
      <c r="BT337" s="1" t="b">
        <v>1</v>
      </c>
      <c r="BU337" s="1" t="s">
        <v>105</v>
      </c>
      <c r="BV337" s="1" t="s">
        <v>105</v>
      </c>
      <c r="BW337" s="1" t="s">
        <v>105</v>
      </c>
      <c r="BX337" s="1" t="s">
        <v>105</v>
      </c>
      <c r="BY337" s="1" t="s">
        <v>105</v>
      </c>
      <c r="BZ337" s="1" t="s">
        <v>91</v>
      </c>
      <c r="CA337" s="1" t="s">
        <v>105</v>
      </c>
      <c r="CB337" s="1" t="s">
        <v>104</v>
      </c>
      <c r="CC337" s="1" t="s">
        <v>105</v>
      </c>
      <c r="CD337" s="1" t="s">
        <v>104</v>
      </c>
      <c r="CE337" s="4"/>
      <c r="CF337" s="4"/>
    </row>
    <row r="338">
      <c r="A338" s="1" t="s">
        <v>82</v>
      </c>
      <c r="B338" s="1" t="s">
        <v>167</v>
      </c>
      <c r="C338" s="1">
        <v>19.0</v>
      </c>
      <c r="D338" s="5" t="s">
        <v>1552</v>
      </c>
      <c r="E338" s="1" t="s">
        <v>1553</v>
      </c>
      <c r="F338" s="1">
        <v>31.0</v>
      </c>
      <c r="G338" s="1">
        <v>0.3182</v>
      </c>
      <c r="H338" s="1" t="s">
        <v>1554</v>
      </c>
      <c r="I338" s="4" t="b">
        <f>IFERROR(__xludf.DUMMYFUNCTION("IF(H338="""",,REGEXMATCH(H338,""[א-ת]""))"),FALSE)</f>
        <v>0</v>
      </c>
      <c r="J338" s="4"/>
      <c r="K338" s="4"/>
      <c r="L338" s="1">
        <v>0.0258</v>
      </c>
      <c r="M338" s="1">
        <v>19.73</v>
      </c>
      <c r="N338" s="1">
        <v>70.97</v>
      </c>
      <c r="O338" s="1">
        <v>2.289354839</v>
      </c>
      <c r="P338" s="4"/>
      <c r="Q338" s="4"/>
      <c r="R338" s="1" t="s">
        <v>127</v>
      </c>
      <c r="S338" s="1" t="s">
        <v>1553</v>
      </c>
      <c r="T338" s="1" t="s">
        <v>167</v>
      </c>
      <c r="U338" s="1">
        <v>20.0</v>
      </c>
      <c r="V338" s="5" t="s">
        <v>1552</v>
      </c>
      <c r="W338" s="1" t="s">
        <v>1553</v>
      </c>
      <c r="X338" s="1" t="s">
        <v>1555</v>
      </c>
      <c r="Y338" s="1" t="s">
        <v>1556</v>
      </c>
      <c r="Z338" s="4"/>
      <c r="AA338" s="4" t="b">
        <f>IFERROR(__xludf.DUMMYFUNCTION("IF(X338="""",,REGEXMATCH(X338,""[א-ת]""))"),FALSE)</f>
        <v>0</v>
      </c>
      <c r="AB338" s="1">
        <v>4.29</v>
      </c>
      <c r="AC338" s="1">
        <v>87.1</v>
      </c>
      <c r="AD338" s="1">
        <v>0.334203959511051</v>
      </c>
      <c r="AE338" s="1">
        <v>0.0258</v>
      </c>
      <c r="AF338" s="1">
        <v>0.3182</v>
      </c>
      <c r="AG338" s="1">
        <v>6.337</v>
      </c>
      <c r="AH338" s="1">
        <v>6.781</v>
      </c>
      <c r="AI338" s="1" t="b">
        <v>0</v>
      </c>
      <c r="AJ338" s="1" t="b">
        <v>1</v>
      </c>
      <c r="AK338" s="1">
        <v>94.182</v>
      </c>
      <c r="AL338" s="1">
        <v>96.508</v>
      </c>
      <c r="AM338" s="1" t="b">
        <v>0</v>
      </c>
      <c r="AN338" s="1" t="b">
        <v>0</v>
      </c>
      <c r="AO338" s="1">
        <v>8.05</v>
      </c>
      <c r="AP338" s="1">
        <v>8.53399999999999</v>
      </c>
      <c r="AQ338" s="1" t="b">
        <v>0</v>
      </c>
      <c r="AR338" s="1" t="b">
        <v>1</v>
      </c>
      <c r="AS338" s="1">
        <v>86.9179999999999</v>
      </c>
      <c r="AT338" s="1">
        <v>87.152</v>
      </c>
      <c r="AU338" s="1" t="b">
        <v>0</v>
      </c>
      <c r="AV338" s="1" t="b">
        <v>0</v>
      </c>
      <c r="AW338" s="1">
        <v>9.61399999999999</v>
      </c>
      <c r="AX338" s="1">
        <v>11.026</v>
      </c>
      <c r="AY338" s="1" t="b">
        <v>0</v>
      </c>
      <c r="AZ338" s="1" t="b">
        <v>1</v>
      </c>
      <c r="BA338" s="1">
        <v>81.25</v>
      </c>
      <c r="BB338" s="1">
        <v>77.78</v>
      </c>
      <c r="BC338" s="1" t="b">
        <v>0</v>
      </c>
      <c r="BD338" s="1" t="b">
        <v>1</v>
      </c>
      <c r="BE338" s="1">
        <v>11.34</v>
      </c>
      <c r="BF338" s="1">
        <v>13.285</v>
      </c>
      <c r="BG338" s="1" t="b">
        <v>0</v>
      </c>
      <c r="BH338" s="1" t="b">
        <v>1</v>
      </c>
      <c r="BI338" s="1">
        <v>77.78</v>
      </c>
      <c r="BJ338" s="1">
        <v>75.0</v>
      </c>
      <c r="BK338" s="1" t="b">
        <v>0</v>
      </c>
      <c r="BL338" s="1" t="b">
        <v>1</v>
      </c>
      <c r="BM338" s="1">
        <v>13.121</v>
      </c>
      <c r="BN338" s="1">
        <v>14.568</v>
      </c>
      <c r="BO338" s="1" t="b">
        <v>0</v>
      </c>
      <c r="BP338" s="1" t="b">
        <v>1</v>
      </c>
      <c r="BQ338" s="1">
        <v>75.0</v>
      </c>
      <c r="BR338" s="1">
        <v>72.027</v>
      </c>
      <c r="BS338" s="1" t="b">
        <v>0</v>
      </c>
      <c r="BT338" s="1" t="b">
        <v>1</v>
      </c>
      <c r="BU338" s="1" t="s">
        <v>157</v>
      </c>
      <c r="BV338" s="1" t="s">
        <v>105</v>
      </c>
      <c r="BW338" s="1" t="s">
        <v>157</v>
      </c>
      <c r="BX338" s="1" t="s">
        <v>105</v>
      </c>
      <c r="BY338" s="1" t="s">
        <v>157</v>
      </c>
      <c r="BZ338" s="1" t="s">
        <v>157</v>
      </c>
      <c r="CA338" s="1" t="s">
        <v>157</v>
      </c>
      <c r="CB338" s="1" t="s">
        <v>157</v>
      </c>
      <c r="CC338" s="1" t="s">
        <v>157</v>
      </c>
      <c r="CD338" s="1" t="s">
        <v>157</v>
      </c>
      <c r="CE338" s="4"/>
      <c r="CF338" s="4"/>
    </row>
    <row r="339" hidden="1">
      <c r="A339" s="1" t="s">
        <v>82</v>
      </c>
      <c r="B339" s="1" t="s">
        <v>152</v>
      </c>
      <c r="C339" s="1">
        <v>17.0</v>
      </c>
      <c r="D339" s="5" t="s">
        <v>1557</v>
      </c>
      <c r="E339" s="1" t="s">
        <v>1558</v>
      </c>
      <c r="F339" s="1">
        <v>24.0</v>
      </c>
      <c r="G339" s="1">
        <v>0.5764</v>
      </c>
      <c r="H339" s="1" t="s">
        <v>1559</v>
      </c>
      <c r="I339" s="4" t="b">
        <f>IFERROR(__xludf.DUMMYFUNCTION("IF(H339="""",,REGEXMATCH(H339,""[א-ת]""))"),FALSE)</f>
        <v>0</v>
      </c>
      <c r="J339" s="4"/>
      <c r="K339" s="4"/>
      <c r="L339" s="1">
        <v>0.3252</v>
      </c>
      <c r="M339" s="1">
        <v>19.81</v>
      </c>
      <c r="N339" s="1">
        <v>70.83</v>
      </c>
      <c r="O339" s="1">
        <v>2.95125</v>
      </c>
      <c r="P339" s="4"/>
      <c r="Q339" s="4"/>
      <c r="R339" s="1" t="s">
        <v>89</v>
      </c>
      <c r="S339" s="1" t="s">
        <v>1558</v>
      </c>
      <c r="T339" s="1" t="s">
        <v>152</v>
      </c>
      <c r="U339" s="1">
        <v>18.0</v>
      </c>
      <c r="V339" s="5" t="s">
        <v>1557</v>
      </c>
      <c r="W339" s="1" t="s">
        <v>1558</v>
      </c>
      <c r="X339" s="1" t="s">
        <v>1560</v>
      </c>
      <c r="Y339" s="4"/>
      <c r="Z339" s="4"/>
      <c r="AA339" s="4" t="b">
        <f>IFERROR(__xludf.DUMMYFUNCTION("IF(X339="""",,REGEXMATCH(X339,""[א-ת]""))"),FALSE)</f>
        <v>0</v>
      </c>
      <c r="AB339" s="1">
        <v>20.12</v>
      </c>
      <c r="AC339" s="1">
        <v>70.83</v>
      </c>
      <c r="AD339" s="1">
        <v>0.467770886749102</v>
      </c>
      <c r="AE339" s="1">
        <v>0.3252</v>
      </c>
      <c r="AF339" s="1">
        <v>0.5764</v>
      </c>
      <c r="AG339" s="1">
        <v>6.337</v>
      </c>
      <c r="AH339" s="1">
        <v>6.781</v>
      </c>
      <c r="AI339" s="1" t="b">
        <v>0</v>
      </c>
      <c r="AJ339" s="1" t="b">
        <v>0</v>
      </c>
      <c r="AK339" s="1">
        <v>94.182</v>
      </c>
      <c r="AL339" s="1">
        <v>96.508</v>
      </c>
      <c r="AM339" s="1" t="b">
        <v>0</v>
      </c>
      <c r="AN339" s="1" t="b">
        <v>0</v>
      </c>
      <c r="AO339" s="1">
        <v>8.05</v>
      </c>
      <c r="AP339" s="1">
        <v>8.53399999999999</v>
      </c>
      <c r="AQ339" s="1" t="b">
        <v>0</v>
      </c>
      <c r="AR339" s="1" t="b">
        <v>0</v>
      </c>
      <c r="AS339" s="1">
        <v>86.9179999999999</v>
      </c>
      <c r="AT339" s="1">
        <v>87.152</v>
      </c>
      <c r="AU339" s="1" t="b">
        <v>0</v>
      </c>
      <c r="AV339" s="1" t="b">
        <v>0</v>
      </c>
      <c r="AW339" s="1">
        <v>9.61399999999999</v>
      </c>
      <c r="AX339" s="1">
        <v>11.026</v>
      </c>
      <c r="AY339" s="1" t="b">
        <v>0</v>
      </c>
      <c r="AZ339" s="1" t="b">
        <v>0</v>
      </c>
      <c r="BA339" s="1">
        <v>81.25</v>
      </c>
      <c r="BB339" s="1">
        <v>77.78</v>
      </c>
      <c r="BC339" s="1" t="b">
        <v>0</v>
      </c>
      <c r="BD339" s="1" t="b">
        <v>0</v>
      </c>
      <c r="BE339" s="1">
        <v>11.34</v>
      </c>
      <c r="BF339" s="1">
        <v>13.285</v>
      </c>
      <c r="BG339" s="1" t="b">
        <v>0</v>
      </c>
      <c r="BH339" s="1" t="b">
        <v>0</v>
      </c>
      <c r="BI339" s="1">
        <v>77.78</v>
      </c>
      <c r="BJ339" s="1">
        <v>75.0</v>
      </c>
      <c r="BK339" s="1" t="b">
        <v>0</v>
      </c>
      <c r="BL339" s="1" t="b">
        <v>0</v>
      </c>
      <c r="BM339" s="1">
        <v>13.121</v>
      </c>
      <c r="BN339" s="1">
        <v>14.568</v>
      </c>
      <c r="BO339" s="1" t="b">
        <v>0</v>
      </c>
      <c r="BP339" s="1" t="b">
        <v>0</v>
      </c>
      <c r="BQ339" s="1">
        <v>75.0</v>
      </c>
      <c r="BR339" s="1">
        <v>72.027</v>
      </c>
      <c r="BS339" s="1" t="b">
        <v>0</v>
      </c>
      <c r="BT339" s="1" t="b">
        <v>0</v>
      </c>
      <c r="BU339" s="1" t="s">
        <v>105</v>
      </c>
      <c r="BV339" s="1" t="s">
        <v>105</v>
      </c>
      <c r="BW339" s="1" t="s">
        <v>105</v>
      </c>
      <c r="BX339" s="1" t="s">
        <v>105</v>
      </c>
      <c r="BY339" s="1" t="s">
        <v>105</v>
      </c>
      <c r="BZ339" s="1" t="s">
        <v>105</v>
      </c>
      <c r="CA339" s="1" t="s">
        <v>105</v>
      </c>
      <c r="CB339" s="1" t="s">
        <v>105</v>
      </c>
      <c r="CC339" s="1" t="s">
        <v>105</v>
      </c>
      <c r="CD339" s="1" t="s">
        <v>105</v>
      </c>
      <c r="CE339" s="4"/>
      <c r="CF339" s="4"/>
    </row>
    <row r="340" hidden="1">
      <c r="A340" s="1" t="s">
        <v>82</v>
      </c>
      <c r="B340" s="1" t="s">
        <v>123</v>
      </c>
      <c r="C340" s="1">
        <v>26.0</v>
      </c>
      <c r="D340" s="5" t="s">
        <v>1561</v>
      </c>
      <c r="E340" s="1" t="s">
        <v>1562</v>
      </c>
      <c r="F340" s="1">
        <v>16.0</v>
      </c>
      <c r="G340" s="1">
        <v>-0.3182</v>
      </c>
      <c r="H340" s="1" t="s">
        <v>1563</v>
      </c>
      <c r="I340" s="4" t="b">
        <f>IFERROR(__xludf.DUMMYFUNCTION("IF(H340="""",,REGEXMATCH(H340,""[א-ת]""))"),FALSE)</f>
        <v>0</v>
      </c>
      <c r="J340" s="4"/>
      <c r="K340" s="4"/>
      <c r="L340" s="1">
        <v>0.128</v>
      </c>
      <c r="M340" s="1">
        <v>19.84</v>
      </c>
      <c r="N340" s="1">
        <v>75.0</v>
      </c>
      <c r="O340" s="1">
        <v>4.6875</v>
      </c>
      <c r="P340" s="4"/>
      <c r="Q340" s="4"/>
      <c r="R340" s="1" t="s">
        <v>127</v>
      </c>
      <c r="S340" s="1" t="s">
        <v>1562</v>
      </c>
      <c r="T340" s="1" t="s">
        <v>123</v>
      </c>
      <c r="U340" s="1">
        <v>27.0</v>
      </c>
      <c r="V340" s="5" t="s">
        <v>1561</v>
      </c>
      <c r="W340" s="1" t="s">
        <v>1562</v>
      </c>
      <c r="X340" s="1" t="s">
        <v>1564</v>
      </c>
      <c r="Y340" s="4"/>
      <c r="Z340" s="4"/>
      <c r="AA340" s="4" t="b">
        <f>IFERROR(__xludf.DUMMYFUNCTION("IF(X340="""",,REGEXMATCH(X340,""[א-ת]""))"),FALSE)</f>
        <v>0</v>
      </c>
      <c r="AB340" s="1">
        <v>16.02</v>
      </c>
      <c r="AC340" s="1">
        <v>93.75</v>
      </c>
      <c r="AD340" s="1">
        <v>0.327278948678204</v>
      </c>
      <c r="AE340" s="1">
        <v>-0.25</v>
      </c>
      <c r="AF340" s="1">
        <v>-0.3182</v>
      </c>
      <c r="AG340" s="1">
        <v>6.337</v>
      </c>
      <c r="AH340" s="1">
        <v>6.781</v>
      </c>
      <c r="AI340" s="1" t="b">
        <v>0</v>
      </c>
      <c r="AJ340" s="1" t="b">
        <v>0</v>
      </c>
      <c r="AK340" s="1">
        <v>94.182</v>
      </c>
      <c r="AL340" s="1">
        <v>96.508</v>
      </c>
      <c r="AM340" s="1" t="b">
        <v>0</v>
      </c>
      <c r="AN340" s="1" t="b">
        <v>0</v>
      </c>
      <c r="AO340" s="1">
        <v>8.05</v>
      </c>
      <c r="AP340" s="1">
        <v>8.53399999999999</v>
      </c>
      <c r="AQ340" s="1" t="b">
        <v>0</v>
      </c>
      <c r="AR340" s="1" t="b">
        <v>0</v>
      </c>
      <c r="AS340" s="1">
        <v>86.9179999999999</v>
      </c>
      <c r="AT340" s="1">
        <v>87.152</v>
      </c>
      <c r="AU340" s="1" t="b">
        <v>0</v>
      </c>
      <c r="AV340" s="1" t="b">
        <v>1</v>
      </c>
      <c r="AW340" s="1">
        <v>9.61399999999999</v>
      </c>
      <c r="AX340" s="1">
        <v>11.026</v>
      </c>
      <c r="AY340" s="1" t="b">
        <v>0</v>
      </c>
      <c r="AZ340" s="1" t="b">
        <v>0</v>
      </c>
      <c r="BA340" s="1">
        <v>81.25</v>
      </c>
      <c r="BB340" s="1">
        <v>77.78</v>
      </c>
      <c r="BC340" s="1" t="b">
        <v>0</v>
      </c>
      <c r="BD340" s="1" t="b">
        <v>1</v>
      </c>
      <c r="BE340" s="1">
        <v>11.34</v>
      </c>
      <c r="BF340" s="1">
        <v>13.285</v>
      </c>
      <c r="BG340" s="1" t="b">
        <v>0</v>
      </c>
      <c r="BH340" s="1" t="b">
        <v>0</v>
      </c>
      <c r="BI340" s="1">
        <v>77.78</v>
      </c>
      <c r="BJ340" s="1">
        <v>75.0</v>
      </c>
      <c r="BK340" s="1" t="b">
        <v>0</v>
      </c>
      <c r="BL340" s="1" t="b">
        <v>1</v>
      </c>
      <c r="BM340" s="1">
        <v>13.121</v>
      </c>
      <c r="BN340" s="1">
        <v>14.568</v>
      </c>
      <c r="BO340" s="1" t="b">
        <v>0</v>
      </c>
      <c r="BP340" s="1" t="b">
        <v>0</v>
      </c>
      <c r="BQ340" s="1">
        <v>75.0</v>
      </c>
      <c r="BR340" s="1">
        <v>72.027</v>
      </c>
      <c r="BS340" s="1" t="b">
        <v>1</v>
      </c>
      <c r="BT340" s="1" t="b">
        <v>1</v>
      </c>
      <c r="BU340" s="1" t="s">
        <v>105</v>
      </c>
      <c r="BV340" s="1" t="s">
        <v>105</v>
      </c>
      <c r="BW340" s="1" t="s">
        <v>105</v>
      </c>
      <c r="BX340" s="1" t="s">
        <v>157</v>
      </c>
      <c r="BY340" s="1" t="s">
        <v>105</v>
      </c>
      <c r="BZ340" s="1" t="s">
        <v>157</v>
      </c>
      <c r="CA340" s="1" t="s">
        <v>105</v>
      </c>
      <c r="CB340" s="1" t="s">
        <v>157</v>
      </c>
      <c r="CC340" s="1" t="s">
        <v>105</v>
      </c>
      <c r="CD340" s="1" t="s">
        <v>104</v>
      </c>
      <c r="CE340" s="4"/>
      <c r="CF340" s="4"/>
    </row>
    <row r="341" hidden="1">
      <c r="A341" s="1" t="s">
        <v>82</v>
      </c>
      <c r="B341" s="1" t="s">
        <v>83</v>
      </c>
      <c r="C341" s="1">
        <v>33.0</v>
      </c>
      <c r="D341" s="5" t="s">
        <v>1565</v>
      </c>
      <c r="E341" s="1" t="s">
        <v>1566</v>
      </c>
      <c r="F341" s="1">
        <v>49.0</v>
      </c>
      <c r="G341" s="1">
        <v>-0.6599</v>
      </c>
      <c r="H341" s="1" t="s">
        <v>1567</v>
      </c>
      <c r="I341" s="4" t="b">
        <f>IFERROR(__xludf.DUMMYFUNCTION("IF(H341="""",,REGEXMATCH(H341,""[א-ת]""))"),FALSE)</f>
        <v>0</v>
      </c>
      <c r="J341" s="4"/>
      <c r="K341" s="4"/>
      <c r="L341" s="1">
        <v>0.5349</v>
      </c>
      <c r="M341" s="1">
        <v>19.84</v>
      </c>
      <c r="N341" s="1">
        <v>51.02</v>
      </c>
      <c r="O341" s="1">
        <v>1.04122449</v>
      </c>
      <c r="P341" s="4"/>
      <c r="Q341" s="4"/>
      <c r="R341" s="1" t="s">
        <v>89</v>
      </c>
      <c r="S341" s="1" t="s">
        <v>1566</v>
      </c>
      <c r="T341" s="1" t="s">
        <v>83</v>
      </c>
      <c r="U341" s="1">
        <v>34.0</v>
      </c>
      <c r="V341" s="5" t="s">
        <v>1565</v>
      </c>
      <c r="W341" s="1" t="s">
        <v>1566</v>
      </c>
      <c r="X341" s="1" t="s">
        <v>1568</v>
      </c>
      <c r="Y341" s="4"/>
      <c r="Z341" s="4"/>
      <c r="AA341" s="4" t="b">
        <f>IFERROR(__xludf.DUMMYFUNCTION("IF(X341="""",,REGEXMATCH(X341,""[א-ת]""))"),TRUE)</f>
        <v>1</v>
      </c>
      <c r="AB341" s="1">
        <v>10.44</v>
      </c>
      <c r="AC341" s="1">
        <v>67.35</v>
      </c>
      <c r="AD341" s="1">
        <v>0.661843462679989</v>
      </c>
      <c r="AE341" s="1">
        <v>0.5349</v>
      </c>
      <c r="AF341" s="1">
        <v>-0.6599</v>
      </c>
      <c r="AG341" s="1">
        <v>6.337</v>
      </c>
      <c r="AH341" s="1">
        <v>6.781</v>
      </c>
      <c r="AI341" s="1" t="b">
        <v>0</v>
      </c>
      <c r="AJ341" s="1" t="b">
        <v>0</v>
      </c>
      <c r="AK341" s="1">
        <v>94.182</v>
      </c>
      <c r="AL341" s="1">
        <v>96.508</v>
      </c>
      <c r="AM341" s="1" t="b">
        <v>0</v>
      </c>
      <c r="AN341" s="1" t="b">
        <v>0</v>
      </c>
      <c r="AO341" s="1">
        <v>8.05</v>
      </c>
      <c r="AP341" s="1">
        <v>8.53399999999999</v>
      </c>
      <c r="AQ341" s="1" t="b">
        <v>0</v>
      </c>
      <c r="AR341" s="1" t="b">
        <v>0</v>
      </c>
      <c r="AS341" s="1">
        <v>86.9179999999999</v>
      </c>
      <c r="AT341" s="1">
        <v>87.152</v>
      </c>
      <c r="AU341" s="1" t="b">
        <v>0</v>
      </c>
      <c r="AV341" s="1" t="b">
        <v>0</v>
      </c>
      <c r="AW341" s="1">
        <v>9.61399999999999</v>
      </c>
      <c r="AX341" s="1">
        <v>11.026</v>
      </c>
      <c r="AY341" s="1" t="b">
        <v>0</v>
      </c>
      <c r="AZ341" s="1" t="b">
        <v>1</v>
      </c>
      <c r="BA341" s="1">
        <v>81.25</v>
      </c>
      <c r="BB341" s="1">
        <v>77.78</v>
      </c>
      <c r="BC341" s="1" t="b">
        <v>0</v>
      </c>
      <c r="BD341" s="1" t="b">
        <v>0</v>
      </c>
      <c r="BE341" s="1">
        <v>11.34</v>
      </c>
      <c r="BF341" s="1">
        <v>13.285</v>
      </c>
      <c r="BG341" s="1" t="b">
        <v>0</v>
      </c>
      <c r="BH341" s="1" t="b">
        <v>1</v>
      </c>
      <c r="BI341" s="1">
        <v>77.78</v>
      </c>
      <c r="BJ341" s="1">
        <v>75.0</v>
      </c>
      <c r="BK341" s="1" t="b">
        <v>0</v>
      </c>
      <c r="BL341" s="1" t="b">
        <v>0</v>
      </c>
      <c r="BM341" s="1">
        <v>13.121</v>
      </c>
      <c r="BN341" s="1">
        <v>14.568</v>
      </c>
      <c r="BO341" s="1" t="b">
        <v>0</v>
      </c>
      <c r="BP341" s="1" t="b">
        <v>1</v>
      </c>
      <c r="BQ341" s="1">
        <v>75.0</v>
      </c>
      <c r="BR341" s="1">
        <v>72.027</v>
      </c>
      <c r="BS341" s="1" t="b">
        <v>0</v>
      </c>
      <c r="BT341" s="1" t="b">
        <v>0</v>
      </c>
      <c r="BU341" s="1" t="s">
        <v>105</v>
      </c>
      <c r="BV341" s="1" t="s">
        <v>105</v>
      </c>
      <c r="BW341" s="1" t="s">
        <v>105</v>
      </c>
      <c r="BX341" s="1" t="s">
        <v>105</v>
      </c>
      <c r="BY341" s="1" t="s">
        <v>157</v>
      </c>
      <c r="BZ341" s="1" t="s">
        <v>105</v>
      </c>
      <c r="CA341" s="1" t="s">
        <v>157</v>
      </c>
      <c r="CB341" s="1" t="s">
        <v>105</v>
      </c>
      <c r="CC341" s="1" t="s">
        <v>157</v>
      </c>
      <c r="CD341" s="1" t="s">
        <v>105</v>
      </c>
      <c r="CE341" s="4"/>
      <c r="CF341" s="4"/>
    </row>
    <row r="342">
      <c r="A342" s="1" t="s">
        <v>82</v>
      </c>
      <c r="B342" s="1" t="s">
        <v>427</v>
      </c>
      <c r="C342" s="1">
        <v>3.0</v>
      </c>
      <c r="D342" s="5" t="s">
        <v>1569</v>
      </c>
      <c r="E342" s="1" t="s">
        <v>1570</v>
      </c>
      <c r="F342" s="1">
        <v>35.0</v>
      </c>
      <c r="G342" s="1">
        <v>0.0</v>
      </c>
      <c r="H342" s="1" t="s">
        <v>1571</v>
      </c>
      <c r="I342" s="4" t="b">
        <f>IFERROR(__xludf.DUMMYFUNCTION("IF(H342="""",,REGEXMATCH(H342,""[א-ת]""))"),FALSE)</f>
        <v>0</v>
      </c>
      <c r="J342" s="4"/>
      <c r="K342" s="4"/>
      <c r="L342" s="1">
        <v>0.0772</v>
      </c>
      <c r="M342" s="1">
        <v>19.91</v>
      </c>
      <c r="N342" s="1">
        <v>68.57</v>
      </c>
      <c r="O342" s="1">
        <v>1.959142857</v>
      </c>
      <c r="P342" s="4"/>
      <c r="Q342" s="4"/>
      <c r="R342" s="1" t="s">
        <v>96</v>
      </c>
      <c r="S342" s="1" t="s">
        <v>1570</v>
      </c>
      <c r="T342" s="1" t="s">
        <v>427</v>
      </c>
      <c r="U342" s="1">
        <v>4.0</v>
      </c>
      <c r="V342" s="5" t="s">
        <v>1569</v>
      </c>
      <c r="W342" s="1" t="s">
        <v>1570</v>
      </c>
      <c r="X342" s="1" t="s">
        <v>1572</v>
      </c>
      <c r="Y342" s="1" t="s">
        <v>1573</v>
      </c>
      <c r="Z342" s="4"/>
      <c r="AA342" s="4" t="b">
        <f>IFERROR(__xludf.DUMMYFUNCTION("IF(X342="""",,REGEXMATCH(X342,""[א-ת]""))"),FALSE)</f>
        <v>0</v>
      </c>
      <c r="AB342" s="1">
        <v>5.47</v>
      </c>
      <c r="AC342" s="1">
        <v>82.86</v>
      </c>
      <c r="AD342" s="1">
        <v>0.389692020868508</v>
      </c>
      <c r="AE342" s="1">
        <v>0.0</v>
      </c>
      <c r="AF342" s="1">
        <v>0.0</v>
      </c>
      <c r="AG342" s="1">
        <v>6.337</v>
      </c>
      <c r="AH342" s="1">
        <v>6.781</v>
      </c>
      <c r="AI342" s="1" t="b">
        <v>0</v>
      </c>
      <c r="AJ342" s="1" t="b">
        <v>1</v>
      </c>
      <c r="AK342" s="1">
        <v>94.182</v>
      </c>
      <c r="AL342" s="1">
        <v>96.508</v>
      </c>
      <c r="AM342" s="1" t="b">
        <v>0</v>
      </c>
      <c r="AN342" s="1" t="b">
        <v>0</v>
      </c>
      <c r="AO342" s="1">
        <v>8.05</v>
      </c>
      <c r="AP342" s="1">
        <v>8.53399999999999</v>
      </c>
      <c r="AQ342" s="1" t="b">
        <v>0</v>
      </c>
      <c r="AR342" s="1" t="b">
        <v>1</v>
      </c>
      <c r="AS342" s="1">
        <v>86.9179999999999</v>
      </c>
      <c r="AT342" s="1">
        <v>87.152</v>
      </c>
      <c r="AU342" s="1" t="b">
        <v>0</v>
      </c>
      <c r="AV342" s="1" t="b">
        <v>0</v>
      </c>
      <c r="AW342" s="1">
        <v>9.61399999999999</v>
      </c>
      <c r="AX342" s="1">
        <v>11.026</v>
      </c>
      <c r="AY342" s="1" t="b">
        <v>0</v>
      </c>
      <c r="AZ342" s="1" t="b">
        <v>1</v>
      </c>
      <c r="BA342" s="1">
        <v>81.25</v>
      </c>
      <c r="BB342" s="1">
        <v>77.78</v>
      </c>
      <c r="BC342" s="1" t="b">
        <v>0</v>
      </c>
      <c r="BD342" s="1" t="b">
        <v>1</v>
      </c>
      <c r="BE342" s="1">
        <v>11.34</v>
      </c>
      <c r="BF342" s="1">
        <v>13.285</v>
      </c>
      <c r="BG342" s="1" t="b">
        <v>0</v>
      </c>
      <c r="BH342" s="1" t="b">
        <v>1</v>
      </c>
      <c r="BI342" s="1">
        <v>77.78</v>
      </c>
      <c r="BJ342" s="1">
        <v>75.0</v>
      </c>
      <c r="BK342" s="1" t="b">
        <v>0</v>
      </c>
      <c r="BL342" s="1" t="b">
        <v>1</v>
      </c>
      <c r="BM342" s="1">
        <v>13.121</v>
      </c>
      <c r="BN342" s="1">
        <v>14.568</v>
      </c>
      <c r="BO342" s="1" t="b">
        <v>0</v>
      </c>
      <c r="BP342" s="1" t="b">
        <v>1</v>
      </c>
      <c r="BQ342" s="1">
        <v>75.0</v>
      </c>
      <c r="BR342" s="1">
        <v>72.027</v>
      </c>
      <c r="BS342" s="1" t="b">
        <v>0</v>
      </c>
      <c r="BT342" s="1" t="b">
        <v>1</v>
      </c>
      <c r="BU342" s="1" t="s">
        <v>157</v>
      </c>
      <c r="BV342" s="1" t="s">
        <v>105</v>
      </c>
      <c r="BW342" s="1" t="s">
        <v>157</v>
      </c>
      <c r="BX342" s="1" t="s">
        <v>105</v>
      </c>
      <c r="BY342" s="1" t="s">
        <v>157</v>
      </c>
      <c r="BZ342" s="1" t="s">
        <v>157</v>
      </c>
      <c r="CA342" s="1" t="s">
        <v>157</v>
      </c>
      <c r="CB342" s="1" t="s">
        <v>157</v>
      </c>
      <c r="CC342" s="1" t="s">
        <v>157</v>
      </c>
      <c r="CD342" s="1" t="s">
        <v>157</v>
      </c>
      <c r="CE342" s="4"/>
      <c r="CF342" s="4"/>
    </row>
    <row r="343" hidden="1">
      <c r="A343" s="1" t="s">
        <v>82</v>
      </c>
      <c r="B343" s="1" t="s">
        <v>123</v>
      </c>
      <c r="C343" s="1">
        <v>15.0</v>
      </c>
      <c r="D343" s="5" t="s">
        <v>1574</v>
      </c>
      <c r="E343" s="1" t="s">
        <v>1575</v>
      </c>
      <c r="F343" s="1">
        <v>42.0</v>
      </c>
      <c r="G343" s="1">
        <v>-0.5719</v>
      </c>
      <c r="H343" s="1" t="s">
        <v>1576</v>
      </c>
      <c r="I343" s="4" t="b">
        <f>IFERROR(__xludf.DUMMYFUNCTION("IF(H343="""",,REGEXMATCH(H343,""[א-ת]""))"),FALSE)</f>
        <v>0</v>
      </c>
      <c r="J343" s="4"/>
      <c r="K343" s="4"/>
      <c r="L343" s="1">
        <v>-0.6369</v>
      </c>
      <c r="M343" s="1">
        <v>19.94</v>
      </c>
      <c r="N343" s="1">
        <v>59.52</v>
      </c>
      <c r="O343" s="1">
        <v>1.417142857</v>
      </c>
      <c r="P343" s="4"/>
      <c r="Q343" s="4"/>
      <c r="R343" s="1" t="s">
        <v>127</v>
      </c>
      <c r="S343" s="1" t="s">
        <v>1575</v>
      </c>
      <c r="T343" s="1" t="s">
        <v>123</v>
      </c>
      <c r="U343" s="1">
        <v>16.0</v>
      </c>
      <c r="V343" s="5" t="s">
        <v>1574</v>
      </c>
      <c r="W343" s="1" t="s">
        <v>1575</v>
      </c>
      <c r="X343" s="1" t="s">
        <v>1577</v>
      </c>
      <c r="Y343" s="4"/>
      <c r="Z343" s="4"/>
      <c r="AA343" s="4" t="b">
        <f>IFERROR(__xludf.DUMMYFUNCTION("IF(X343="""",,REGEXMATCH(X343,""[א-ת]""))"),FALSE)</f>
        <v>0</v>
      </c>
      <c r="AB343" s="1">
        <v>27.85</v>
      </c>
      <c r="AC343" s="1">
        <v>45.24</v>
      </c>
      <c r="AD343" s="1">
        <v>0.81989711274292</v>
      </c>
      <c r="AE343" s="1">
        <v>-0.5719</v>
      </c>
      <c r="AF343" s="1">
        <v>-0.5719</v>
      </c>
      <c r="AG343" s="1">
        <v>6.337</v>
      </c>
      <c r="AH343" s="1">
        <v>6.781</v>
      </c>
      <c r="AI343" s="1" t="b">
        <v>0</v>
      </c>
      <c r="AJ343" s="1" t="b">
        <v>0</v>
      </c>
      <c r="AK343" s="1">
        <v>94.182</v>
      </c>
      <c r="AL343" s="1">
        <v>96.508</v>
      </c>
      <c r="AM343" s="1" t="b">
        <v>0</v>
      </c>
      <c r="AN343" s="1" t="b">
        <v>0</v>
      </c>
      <c r="AO343" s="1">
        <v>8.05</v>
      </c>
      <c r="AP343" s="1">
        <v>8.53399999999999</v>
      </c>
      <c r="AQ343" s="1" t="b">
        <v>0</v>
      </c>
      <c r="AR343" s="1" t="b">
        <v>0</v>
      </c>
      <c r="AS343" s="1">
        <v>86.9179999999999</v>
      </c>
      <c r="AT343" s="1">
        <v>87.152</v>
      </c>
      <c r="AU343" s="1" t="b">
        <v>0</v>
      </c>
      <c r="AV343" s="1" t="b">
        <v>0</v>
      </c>
      <c r="AW343" s="1">
        <v>9.61399999999999</v>
      </c>
      <c r="AX343" s="1">
        <v>11.026</v>
      </c>
      <c r="AY343" s="1" t="b">
        <v>0</v>
      </c>
      <c r="AZ343" s="1" t="b">
        <v>0</v>
      </c>
      <c r="BA343" s="1">
        <v>81.25</v>
      </c>
      <c r="BB343" s="1">
        <v>77.78</v>
      </c>
      <c r="BC343" s="1" t="b">
        <v>0</v>
      </c>
      <c r="BD343" s="1" t="b">
        <v>0</v>
      </c>
      <c r="BE343" s="1">
        <v>11.34</v>
      </c>
      <c r="BF343" s="1">
        <v>13.285</v>
      </c>
      <c r="BG343" s="1" t="b">
        <v>0</v>
      </c>
      <c r="BH343" s="1" t="b">
        <v>0</v>
      </c>
      <c r="BI343" s="1">
        <v>77.78</v>
      </c>
      <c r="BJ343" s="1">
        <v>75.0</v>
      </c>
      <c r="BK343" s="1" t="b">
        <v>0</v>
      </c>
      <c r="BL343" s="1" t="b">
        <v>0</v>
      </c>
      <c r="BM343" s="1">
        <v>13.121</v>
      </c>
      <c r="BN343" s="1">
        <v>14.568</v>
      </c>
      <c r="BO343" s="1" t="b">
        <v>0</v>
      </c>
      <c r="BP343" s="1" t="b">
        <v>0</v>
      </c>
      <c r="BQ343" s="1">
        <v>75.0</v>
      </c>
      <c r="BR343" s="1">
        <v>72.027</v>
      </c>
      <c r="BS343" s="1" t="b">
        <v>0</v>
      </c>
      <c r="BT343" s="1" t="b">
        <v>0</v>
      </c>
      <c r="BU343" s="1" t="s">
        <v>105</v>
      </c>
      <c r="BV343" s="1" t="s">
        <v>105</v>
      </c>
      <c r="BW343" s="1" t="s">
        <v>105</v>
      </c>
      <c r="BX343" s="1" t="s">
        <v>105</v>
      </c>
      <c r="BY343" s="1" t="s">
        <v>105</v>
      </c>
      <c r="BZ343" s="1" t="s">
        <v>105</v>
      </c>
      <c r="CA343" s="1" t="s">
        <v>105</v>
      </c>
      <c r="CB343" s="1" t="s">
        <v>105</v>
      </c>
      <c r="CC343" s="1" t="s">
        <v>105</v>
      </c>
      <c r="CD343" s="1" t="s">
        <v>105</v>
      </c>
      <c r="CE343" s="4"/>
      <c r="CF343" s="4"/>
    </row>
    <row r="344" hidden="1">
      <c r="A344" s="1" t="s">
        <v>82</v>
      </c>
      <c r="B344" s="1" t="s">
        <v>262</v>
      </c>
      <c r="C344" s="1">
        <v>19.0</v>
      </c>
      <c r="D344" s="5" t="s">
        <v>1578</v>
      </c>
      <c r="E344" s="1" t="s">
        <v>1579</v>
      </c>
      <c r="F344" s="1">
        <v>71.0</v>
      </c>
      <c r="G344" s="1">
        <v>0.6072</v>
      </c>
      <c r="H344" s="1" t="s">
        <v>1580</v>
      </c>
      <c r="I344" s="4" t="b">
        <f>IFERROR(__xludf.DUMMYFUNCTION("IF(H344="""",,REGEXMATCH(H344,""[א-ת]""))"),FALSE)</f>
        <v>0</v>
      </c>
      <c r="J344" s="4"/>
      <c r="K344" s="4"/>
      <c r="L344" s="1">
        <v>0.6072</v>
      </c>
      <c r="M344" s="1">
        <v>19.97</v>
      </c>
      <c r="N344" s="1">
        <v>56.34</v>
      </c>
      <c r="O344" s="1">
        <v>0.7935211268</v>
      </c>
      <c r="P344" s="4"/>
      <c r="Q344" s="4"/>
      <c r="R344" s="1" t="s">
        <v>96</v>
      </c>
      <c r="S344" s="1" t="s">
        <v>1579</v>
      </c>
      <c r="T344" s="1" t="s">
        <v>262</v>
      </c>
      <c r="U344" s="1">
        <v>20.0</v>
      </c>
      <c r="V344" s="5" t="s">
        <v>1578</v>
      </c>
      <c r="W344" s="1" t="s">
        <v>1579</v>
      </c>
      <c r="X344" s="1" t="s">
        <v>1581</v>
      </c>
      <c r="Y344" s="4"/>
      <c r="Z344" s="4"/>
      <c r="AA344" s="4" t="b">
        <f>IFERROR(__xludf.DUMMYFUNCTION("IF(X344="""",,REGEXMATCH(X344,""[א-ת]""))"),TRUE)</f>
        <v>1</v>
      </c>
      <c r="AB344" s="1">
        <v>22.21</v>
      </c>
      <c r="AC344" s="1">
        <v>56.34</v>
      </c>
      <c r="AD344" s="1">
        <v>0.6440563976924</v>
      </c>
      <c r="AE344" s="1">
        <v>0.0</v>
      </c>
      <c r="AF344" s="1">
        <v>0.6072</v>
      </c>
      <c r="AG344" s="1">
        <v>6.337</v>
      </c>
      <c r="AH344" s="1">
        <v>6.781</v>
      </c>
      <c r="AI344" s="1" t="b">
        <v>0</v>
      </c>
      <c r="AJ344" s="1" t="b">
        <v>0</v>
      </c>
      <c r="AK344" s="1">
        <v>94.182</v>
      </c>
      <c r="AL344" s="1">
        <v>96.508</v>
      </c>
      <c r="AM344" s="1" t="b">
        <v>0</v>
      </c>
      <c r="AN344" s="1" t="b">
        <v>0</v>
      </c>
      <c r="AO344" s="1">
        <v>8.05</v>
      </c>
      <c r="AP344" s="1">
        <v>8.53399999999999</v>
      </c>
      <c r="AQ344" s="1" t="b">
        <v>0</v>
      </c>
      <c r="AR344" s="1" t="b">
        <v>0</v>
      </c>
      <c r="AS344" s="1">
        <v>86.9179999999999</v>
      </c>
      <c r="AT344" s="1">
        <v>87.152</v>
      </c>
      <c r="AU344" s="1" t="b">
        <v>0</v>
      </c>
      <c r="AV344" s="1" t="b">
        <v>0</v>
      </c>
      <c r="AW344" s="1">
        <v>9.61399999999999</v>
      </c>
      <c r="AX344" s="1">
        <v>11.026</v>
      </c>
      <c r="AY344" s="1" t="b">
        <v>0</v>
      </c>
      <c r="AZ344" s="1" t="b">
        <v>0</v>
      </c>
      <c r="BA344" s="1">
        <v>81.25</v>
      </c>
      <c r="BB344" s="1">
        <v>77.78</v>
      </c>
      <c r="BC344" s="1" t="b">
        <v>0</v>
      </c>
      <c r="BD344" s="1" t="b">
        <v>0</v>
      </c>
      <c r="BE344" s="1">
        <v>11.34</v>
      </c>
      <c r="BF344" s="1">
        <v>13.285</v>
      </c>
      <c r="BG344" s="1" t="b">
        <v>0</v>
      </c>
      <c r="BH344" s="1" t="b">
        <v>0</v>
      </c>
      <c r="BI344" s="1">
        <v>77.78</v>
      </c>
      <c r="BJ344" s="1">
        <v>75.0</v>
      </c>
      <c r="BK344" s="1" t="b">
        <v>0</v>
      </c>
      <c r="BL344" s="1" t="b">
        <v>0</v>
      </c>
      <c r="BM344" s="1">
        <v>13.121</v>
      </c>
      <c r="BN344" s="1">
        <v>14.568</v>
      </c>
      <c r="BO344" s="1" t="b">
        <v>0</v>
      </c>
      <c r="BP344" s="1" t="b">
        <v>0</v>
      </c>
      <c r="BQ344" s="1">
        <v>75.0</v>
      </c>
      <c r="BR344" s="1">
        <v>72.027</v>
      </c>
      <c r="BS344" s="1" t="b">
        <v>0</v>
      </c>
      <c r="BT344" s="1" t="b">
        <v>0</v>
      </c>
      <c r="BU344" s="1" t="s">
        <v>105</v>
      </c>
      <c r="BV344" s="1" t="s">
        <v>105</v>
      </c>
      <c r="BW344" s="1" t="s">
        <v>105</v>
      </c>
      <c r="BX344" s="1" t="s">
        <v>105</v>
      </c>
      <c r="BY344" s="1" t="s">
        <v>105</v>
      </c>
      <c r="BZ344" s="1" t="s">
        <v>105</v>
      </c>
      <c r="CA344" s="1" t="s">
        <v>105</v>
      </c>
      <c r="CB344" s="1" t="s">
        <v>105</v>
      </c>
      <c r="CC344" s="1" t="s">
        <v>105</v>
      </c>
      <c r="CD344" s="1" t="s">
        <v>105</v>
      </c>
      <c r="CE344" s="4"/>
      <c r="CF344" s="4"/>
    </row>
    <row r="345" hidden="1">
      <c r="A345" s="1" t="s">
        <v>82</v>
      </c>
      <c r="B345" s="1" t="s">
        <v>145</v>
      </c>
      <c r="C345" s="1">
        <v>23.0</v>
      </c>
      <c r="D345" s="5" t="s">
        <v>1582</v>
      </c>
      <c r="E345" s="1" t="s">
        <v>1583</v>
      </c>
      <c r="F345" s="1">
        <v>29.0</v>
      </c>
      <c r="G345" s="1">
        <v>0.0</v>
      </c>
      <c r="H345" s="1" t="s">
        <v>1584</v>
      </c>
      <c r="I345" s="4" t="b">
        <f>IFERROR(__xludf.DUMMYFUNCTION("IF(H345="""",,REGEXMATCH(H345,""[א-ת]""))"),FALSE)</f>
        <v>0</v>
      </c>
      <c r="J345" s="4"/>
      <c r="K345" s="4"/>
      <c r="L345" s="1">
        <v>0.0</v>
      </c>
      <c r="M345" s="1">
        <v>20.04</v>
      </c>
      <c r="N345" s="1">
        <v>65.52</v>
      </c>
      <c r="O345" s="1">
        <v>2.259310345</v>
      </c>
      <c r="P345" s="4"/>
      <c r="Q345" s="4"/>
      <c r="R345" s="1" t="s">
        <v>89</v>
      </c>
      <c r="S345" s="1" t="s">
        <v>1583</v>
      </c>
      <c r="T345" s="1" t="s">
        <v>145</v>
      </c>
      <c r="U345" s="1">
        <v>24.0</v>
      </c>
      <c r="V345" s="5" t="s">
        <v>1582</v>
      </c>
      <c r="W345" s="1" t="s">
        <v>1583</v>
      </c>
      <c r="X345" s="1" t="s">
        <v>1585</v>
      </c>
      <c r="Y345" s="4"/>
      <c r="Z345" s="4"/>
      <c r="AA345" s="4" t="b">
        <f>IFERROR(__xludf.DUMMYFUNCTION("IF(X345="""",,REGEXMATCH(X345,""[א-ת]""))"),FALSE)</f>
        <v>0</v>
      </c>
      <c r="AB345" s="1">
        <v>11.79</v>
      </c>
      <c r="AC345" s="1">
        <v>72.41</v>
      </c>
      <c r="AD345" s="1">
        <v>0.581134937024777</v>
      </c>
      <c r="AE345" s="1">
        <v>0.0</v>
      </c>
      <c r="AF345" s="1">
        <v>0.0</v>
      </c>
      <c r="AG345" s="1">
        <v>6.337</v>
      </c>
      <c r="AH345" s="1">
        <v>6.781</v>
      </c>
      <c r="AI345" s="1" t="b">
        <v>0</v>
      </c>
      <c r="AJ345" s="1" t="b">
        <v>0</v>
      </c>
      <c r="AK345" s="1">
        <v>94.182</v>
      </c>
      <c r="AL345" s="1">
        <v>96.508</v>
      </c>
      <c r="AM345" s="1" t="b">
        <v>0</v>
      </c>
      <c r="AN345" s="1" t="b">
        <v>0</v>
      </c>
      <c r="AO345" s="1">
        <v>8.05</v>
      </c>
      <c r="AP345" s="1">
        <v>8.53399999999999</v>
      </c>
      <c r="AQ345" s="1" t="b">
        <v>0</v>
      </c>
      <c r="AR345" s="1" t="b">
        <v>0</v>
      </c>
      <c r="AS345" s="1">
        <v>86.9179999999999</v>
      </c>
      <c r="AT345" s="1">
        <v>87.152</v>
      </c>
      <c r="AU345" s="1" t="b">
        <v>0</v>
      </c>
      <c r="AV345" s="1" t="b">
        <v>0</v>
      </c>
      <c r="AW345" s="1">
        <v>9.61399999999999</v>
      </c>
      <c r="AX345" s="1">
        <v>11.026</v>
      </c>
      <c r="AY345" s="1" t="b">
        <v>0</v>
      </c>
      <c r="AZ345" s="1" t="b">
        <v>0</v>
      </c>
      <c r="BA345" s="1">
        <v>81.25</v>
      </c>
      <c r="BB345" s="1">
        <v>77.78</v>
      </c>
      <c r="BC345" s="1" t="b">
        <v>0</v>
      </c>
      <c r="BD345" s="1" t="b">
        <v>0</v>
      </c>
      <c r="BE345" s="1">
        <v>11.34</v>
      </c>
      <c r="BF345" s="1">
        <v>13.285</v>
      </c>
      <c r="BG345" s="1" t="b">
        <v>0</v>
      </c>
      <c r="BH345" s="1" t="b">
        <v>1</v>
      </c>
      <c r="BI345" s="1">
        <v>77.78</v>
      </c>
      <c r="BJ345" s="1">
        <v>75.0</v>
      </c>
      <c r="BK345" s="1" t="b">
        <v>0</v>
      </c>
      <c r="BL345" s="1" t="b">
        <v>0</v>
      </c>
      <c r="BM345" s="1">
        <v>13.121</v>
      </c>
      <c r="BN345" s="1">
        <v>14.568</v>
      </c>
      <c r="BO345" s="1" t="b">
        <v>0</v>
      </c>
      <c r="BP345" s="1" t="b">
        <v>1</v>
      </c>
      <c r="BQ345" s="1">
        <v>75.0</v>
      </c>
      <c r="BR345" s="1">
        <v>72.027</v>
      </c>
      <c r="BS345" s="1" t="b">
        <v>0</v>
      </c>
      <c r="BT345" s="1" t="b">
        <v>1</v>
      </c>
      <c r="BU345" s="1" t="s">
        <v>105</v>
      </c>
      <c r="BV345" s="1" t="s">
        <v>105</v>
      </c>
      <c r="BW345" s="1" t="s">
        <v>105</v>
      </c>
      <c r="BX345" s="1" t="s">
        <v>105</v>
      </c>
      <c r="BY345" s="1" t="s">
        <v>105</v>
      </c>
      <c r="BZ345" s="1" t="s">
        <v>105</v>
      </c>
      <c r="CA345" s="1" t="s">
        <v>157</v>
      </c>
      <c r="CB345" s="1" t="s">
        <v>105</v>
      </c>
      <c r="CC345" s="1" t="s">
        <v>157</v>
      </c>
      <c r="CD345" s="1" t="s">
        <v>157</v>
      </c>
      <c r="CE345" s="4"/>
      <c r="CF345" s="4"/>
    </row>
    <row r="346" hidden="1">
      <c r="A346" s="1" t="s">
        <v>82</v>
      </c>
      <c r="B346" s="1" t="s">
        <v>158</v>
      </c>
      <c r="C346" s="1">
        <v>19.0</v>
      </c>
      <c r="D346" s="5" t="s">
        <v>1586</v>
      </c>
      <c r="E346" s="1" t="s">
        <v>1587</v>
      </c>
      <c r="F346" s="1">
        <v>31.0</v>
      </c>
      <c r="G346" s="1">
        <v>0.2263</v>
      </c>
      <c r="H346" s="1" t="s">
        <v>1588</v>
      </c>
      <c r="I346" s="4" t="b">
        <f>IFERROR(__xludf.DUMMYFUNCTION("IF(H346="""",,REGEXMATCH(H346,""[א-ת]""))"),FALSE)</f>
        <v>0</v>
      </c>
      <c r="J346" s="4"/>
      <c r="K346" s="4"/>
      <c r="L346" s="1">
        <v>0.5994</v>
      </c>
      <c r="M346" s="1">
        <v>20.05</v>
      </c>
      <c r="N346" s="1">
        <v>70.97</v>
      </c>
      <c r="O346" s="1">
        <v>2.289354839</v>
      </c>
      <c r="P346" s="4"/>
      <c r="Q346" s="4"/>
      <c r="R346" s="1" t="s">
        <v>89</v>
      </c>
      <c r="S346" s="1" t="s">
        <v>1587</v>
      </c>
      <c r="T346" s="1" t="s">
        <v>158</v>
      </c>
      <c r="U346" s="1">
        <v>20.0</v>
      </c>
      <c r="V346" s="5" t="s">
        <v>1586</v>
      </c>
      <c r="W346" s="1" t="s">
        <v>1587</v>
      </c>
      <c r="X346" s="1" t="s">
        <v>1589</v>
      </c>
      <c r="Y346" s="4"/>
      <c r="Z346" s="4"/>
      <c r="AA346" s="4" t="b">
        <f>IFERROR(__xludf.DUMMYFUNCTION("IF(X346="""",,REGEXMATCH(X346,""[א-ת]""))"),FALSE)</f>
        <v>0</v>
      </c>
      <c r="AB346" s="1">
        <v>22.07</v>
      </c>
      <c r="AC346" s="1">
        <v>51.61</v>
      </c>
      <c r="AD346" s="1">
        <v>0.32472466906606</v>
      </c>
      <c r="AE346" s="1">
        <v>0.5994</v>
      </c>
      <c r="AF346" s="1">
        <v>0.2263</v>
      </c>
      <c r="AG346" s="1">
        <v>6.337</v>
      </c>
      <c r="AH346" s="1">
        <v>6.781</v>
      </c>
      <c r="AI346" s="1" t="b">
        <v>0</v>
      </c>
      <c r="AJ346" s="1" t="b">
        <v>0</v>
      </c>
      <c r="AK346" s="1">
        <v>94.182</v>
      </c>
      <c r="AL346" s="1">
        <v>96.508</v>
      </c>
      <c r="AM346" s="1" t="b">
        <v>0</v>
      </c>
      <c r="AN346" s="1" t="b">
        <v>0</v>
      </c>
      <c r="AO346" s="1">
        <v>8.05</v>
      </c>
      <c r="AP346" s="1">
        <v>8.53399999999999</v>
      </c>
      <c r="AQ346" s="1" t="b">
        <v>0</v>
      </c>
      <c r="AR346" s="1" t="b">
        <v>0</v>
      </c>
      <c r="AS346" s="1">
        <v>86.9179999999999</v>
      </c>
      <c r="AT346" s="1">
        <v>87.152</v>
      </c>
      <c r="AU346" s="1" t="b">
        <v>0</v>
      </c>
      <c r="AV346" s="1" t="b">
        <v>0</v>
      </c>
      <c r="AW346" s="1">
        <v>9.61399999999999</v>
      </c>
      <c r="AX346" s="1">
        <v>11.026</v>
      </c>
      <c r="AY346" s="1" t="b">
        <v>0</v>
      </c>
      <c r="AZ346" s="1" t="b">
        <v>0</v>
      </c>
      <c r="BA346" s="1">
        <v>81.25</v>
      </c>
      <c r="BB346" s="1">
        <v>77.78</v>
      </c>
      <c r="BC346" s="1" t="b">
        <v>0</v>
      </c>
      <c r="BD346" s="1" t="b">
        <v>0</v>
      </c>
      <c r="BE346" s="1">
        <v>11.34</v>
      </c>
      <c r="BF346" s="1">
        <v>13.285</v>
      </c>
      <c r="BG346" s="1" t="b">
        <v>0</v>
      </c>
      <c r="BH346" s="1" t="b">
        <v>0</v>
      </c>
      <c r="BI346" s="1">
        <v>77.78</v>
      </c>
      <c r="BJ346" s="1">
        <v>75.0</v>
      </c>
      <c r="BK346" s="1" t="b">
        <v>0</v>
      </c>
      <c r="BL346" s="1" t="b">
        <v>0</v>
      </c>
      <c r="BM346" s="1">
        <v>13.121</v>
      </c>
      <c r="BN346" s="1">
        <v>14.568</v>
      </c>
      <c r="BO346" s="1" t="b">
        <v>0</v>
      </c>
      <c r="BP346" s="1" t="b">
        <v>0</v>
      </c>
      <c r="BQ346" s="1">
        <v>75.0</v>
      </c>
      <c r="BR346" s="1">
        <v>72.027</v>
      </c>
      <c r="BS346" s="1" t="b">
        <v>0</v>
      </c>
      <c r="BT346" s="1" t="b">
        <v>0</v>
      </c>
      <c r="BU346" s="1" t="s">
        <v>105</v>
      </c>
      <c r="BV346" s="1" t="s">
        <v>105</v>
      </c>
      <c r="BW346" s="1" t="s">
        <v>105</v>
      </c>
      <c r="BX346" s="1" t="s">
        <v>105</v>
      </c>
      <c r="BY346" s="1" t="s">
        <v>105</v>
      </c>
      <c r="BZ346" s="1" t="s">
        <v>105</v>
      </c>
      <c r="CA346" s="1" t="s">
        <v>105</v>
      </c>
      <c r="CB346" s="1" t="s">
        <v>105</v>
      </c>
      <c r="CC346" s="1" t="s">
        <v>105</v>
      </c>
      <c r="CD346" s="1" t="s">
        <v>105</v>
      </c>
      <c r="CE346" s="4"/>
      <c r="CF346" s="4"/>
    </row>
    <row r="347" hidden="1">
      <c r="A347" s="1" t="s">
        <v>82</v>
      </c>
      <c r="B347" s="1" t="s">
        <v>111</v>
      </c>
      <c r="C347" s="1">
        <v>71.0</v>
      </c>
      <c r="D347" s="5" t="s">
        <v>1590</v>
      </c>
      <c r="E347" s="1" t="s">
        <v>1591</v>
      </c>
      <c r="F347" s="1">
        <v>49.0</v>
      </c>
      <c r="G347" s="1">
        <v>0.4592</v>
      </c>
      <c r="H347" s="1" t="s">
        <v>1592</v>
      </c>
      <c r="I347" s="4" t="b">
        <f>IFERROR(__xludf.DUMMYFUNCTION("IF(H347="""",,REGEXMATCH(H347,""[א-ת]""))"),FALSE)</f>
        <v>0</v>
      </c>
      <c r="J347" s="4"/>
      <c r="K347" s="4"/>
      <c r="L347" s="1">
        <v>0.8807</v>
      </c>
      <c r="M347" s="1">
        <v>20.08</v>
      </c>
      <c r="N347" s="1">
        <v>69.39</v>
      </c>
      <c r="O347" s="1">
        <v>1.416122449</v>
      </c>
      <c r="P347" s="4"/>
      <c r="Q347" s="4"/>
      <c r="R347" s="1" t="s">
        <v>89</v>
      </c>
      <c r="S347" s="1" t="s">
        <v>1591</v>
      </c>
      <c r="T347" s="1" t="s">
        <v>111</v>
      </c>
      <c r="U347" s="1">
        <v>72.0</v>
      </c>
      <c r="V347" s="5" t="s">
        <v>1590</v>
      </c>
      <c r="W347" s="1" t="s">
        <v>1591</v>
      </c>
      <c r="X347" s="1" t="s">
        <v>1593</v>
      </c>
      <c r="Y347" s="4"/>
      <c r="Z347" s="4"/>
      <c r="AA347" s="4" t="b">
        <f>IFERROR(__xludf.DUMMYFUNCTION("IF(X347="""",,REGEXMATCH(X347,""[א-ת]""))"),FALSE)</f>
        <v>0</v>
      </c>
      <c r="AB347" s="1">
        <v>33.23</v>
      </c>
      <c r="AC347" s="1">
        <v>53.06</v>
      </c>
      <c r="AD347" s="1">
        <v>0.719934970733595</v>
      </c>
      <c r="AE347" s="1">
        <v>0.8277</v>
      </c>
      <c r="AF347" s="1">
        <v>0.4592</v>
      </c>
      <c r="AG347" s="1">
        <v>6.337</v>
      </c>
      <c r="AH347" s="1">
        <v>6.781</v>
      </c>
      <c r="AI347" s="1" t="b">
        <v>0</v>
      </c>
      <c r="AJ347" s="1" t="b">
        <v>0</v>
      </c>
      <c r="AK347" s="1">
        <v>94.182</v>
      </c>
      <c r="AL347" s="1">
        <v>96.508</v>
      </c>
      <c r="AM347" s="1" t="b">
        <v>0</v>
      </c>
      <c r="AN347" s="1" t="b">
        <v>0</v>
      </c>
      <c r="AO347" s="1">
        <v>8.05</v>
      </c>
      <c r="AP347" s="1">
        <v>8.53399999999999</v>
      </c>
      <c r="AQ347" s="1" t="b">
        <v>0</v>
      </c>
      <c r="AR347" s="1" t="b">
        <v>0</v>
      </c>
      <c r="AS347" s="1">
        <v>86.9179999999999</v>
      </c>
      <c r="AT347" s="1">
        <v>87.152</v>
      </c>
      <c r="AU347" s="1" t="b">
        <v>0</v>
      </c>
      <c r="AV347" s="1" t="b">
        <v>0</v>
      </c>
      <c r="AW347" s="1">
        <v>9.61399999999999</v>
      </c>
      <c r="AX347" s="1">
        <v>11.026</v>
      </c>
      <c r="AY347" s="1" t="b">
        <v>0</v>
      </c>
      <c r="AZ347" s="1" t="b">
        <v>0</v>
      </c>
      <c r="BA347" s="1">
        <v>81.25</v>
      </c>
      <c r="BB347" s="1">
        <v>77.78</v>
      </c>
      <c r="BC347" s="1" t="b">
        <v>0</v>
      </c>
      <c r="BD347" s="1" t="b">
        <v>0</v>
      </c>
      <c r="BE347" s="1">
        <v>11.34</v>
      </c>
      <c r="BF347" s="1">
        <v>13.285</v>
      </c>
      <c r="BG347" s="1" t="b">
        <v>0</v>
      </c>
      <c r="BH347" s="1" t="b">
        <v>0</v>
      </c>
      <c r="BI347" s="1">
        <v>77.78</v>
      </c>
      <c r="BJ347" s="1">
        <v>75.0</v>
      </c>
      <c r="BK347" s="1" t="b">
        <v>0</v>
      </c>
      <c r="BL347" s="1" t="b">
        <v>0</v>
      </c>
      <c r="BM347" s="1">
        <v>13.121</v>
      </c>
      <c r="BN347" s="1">
        <v>14.568</v>
      </c>
      <c r="BO347" s="1" t="b">
        <v>0</v>
      </c>
      <c r="BP347" s="1" t="b">
        <v>0</v>
      </c>
      <c r="BQ347" s="1">
        <v>75.0</v>
      </c>
      <c r="BR347" s="1">
        <v>72.027</v>
      </c>
      <c r="BS347" s="1" t="b">
        <v>0</v>
      </c>
      <c r="BT347" s="1" t="b">
        <v>0</v>
      </c>
      <c r="BU347" s="1" t="s">
        <v>105</v>
      </c>
      <c r="BV347" s="1" t="s">
        <v>105</v>
      </c>
      <c r="BW347" s="1" t="s">
        <v>105</v>
      </c>
      <c r="BX347" s="1" t="s">
        <v>105</v>
      </c>
      <c r="BY347" s="1" t="s">
        <v>105</v>
      </c>
      <c r="BZ347" s="1" t="s">
        <v>105</v>
      </c>
      <c r="CA347" s="1" t="s">
        <v>105</v>
      </c>
      <c r="CB347" s="1" t="s">
        <v>105</v>
      </c>
      <c r="CC347" s="1" t="s">
        <v>105</v>
      </c>
      <c r="CD347" s="1" t="s">
        <v>105</v>
      </c>
      <c r="CE347" s="4"/>
      <c r="CF347" s="4"/>
    </row>
    <row r="348" hidden="1">
      <c r="A348" s="1" t="s">
        <v>82</v>
      </c>
      <c r="B348" s="1" t="s">
        <v>92</v>
      </c>
      <c r="C348" s="1">
        <v>0.0</v>
      </c>
      <c r="D348" s="5" t="s">
        <v>1594</v>
      </c>
      <c r="E348" s="1" t="s">
        <v>1595</v>
      </c>
      <c r="F348" s="1">
        <v>66.0</v>
      </c>
      <c r="G348" s="1">
        <v>-0.6597</v>
      </c>
      <c r="H348" s="1" t="s">
        <v>1596</v>
      </c>
      <c r="I348" s="4" t="b">
        <f>IFERROR(__xludf.DUMMYFUNCTION("IF(H348="""",,REGEXMATCH(H348,""[א-ת]""))"),FALSE)</f>
        <v>0</v>
      </c>
      <c r="J348" s="4"/>
      <c r="K348" s="4"/>
      <c r="L348" s="1">
        <v>-0.3612</v>
      </c>
      <c r="M348" s="1">
        <v>20.19</v>
      </c>
      <c r="N348" s="1">
        <v>59.09</v>
      </c>
      <c r="O348" s="1">
        <v>0.8953030303</v>
      </c>
      <c r="P348" s="4"/>
      <c r="Q348" s="4"/>
      <c r="R348" s="1" t="s">
        <v>96</v>
      </c>
      <c r="S348" s="1" t="s">
        <v>1595</v>
      </c>
      <c r="T348" s="1" t="s">
        <v>92</v>
      </c>
      <c r="U348" s="1">
        <v>1.0</v>
      </c>
      <c r="V348" s="5" t="s">
        <v>1594</v>
      </c>
      <c r="W348" s="1" t="s">
        <v>1595</v>
      </c>
      <c r="X348" s="1" t="s">
        <v>1597</v>
      </c>
      <c r="Y348" s="4"/>
      <c r="Z348" s="4"/>
      <c r="AA348" s="4" t="b">
        <f>IFERROR(__xludf.DUMMYFUNCTION("IF(X348="""",,REGEXMATCH(X348,""[א-ת]""))"),FALSE)</f>
        <v>0</v>
      </c>
      <c r="AB348" s="1">
        <v>33.23</v>
      </c>
      <c r="AC348" s="1">
        <v>45.45</v>
      </c>
      <c r="AD348" s="1">
        <v>0.584732014091566</v>
      </c>
      <c r="AE348" s="1">
        <v>-0.6486</v>
      </c>
      <c r="AF348" s="1">
        <v>-0.6597</v>
      </c>
      <c r="AG348" s="1">
        <v>6.337</v>
      </c>
      <c r="AH348" s="1">
        <v>6.781</v>
      </c>
      <c r="AI348" s="1" t="b">
        <v>0</v>
      </c>
      <c r="AJ348" s="1" t="b">
        <v>0</v>
      </c>
      <c r="AK348" s="1">
        <v>94.182</v>
      </c>
      <c r="AL348" s="1">
        <v>96.508</v>
      </c>
      <c r="AM348" s="1" t="b">
        <v>0</v>
      </c>
      <c r="AN348" s="1" t="b">
        <v>0</v>
      </c>
      <c r="AO348" s="1">
        <v>8.05</v>
      </c>
      <c r="AP348" s="1">
        <v>8.53399999999999</v>
      </c>
      <c r="AQ348" s="1" t="b">
        <v>0</v>
      </c>
      <c r="AR348" s="1" t="b">
        <v>0</v>
      </c>
      <c r="AS348" s="1">
        <v>86.9179999999999</v>
      </c>
      <c r="AT348" s="1">
        <v>87.152</v>
      </c>
      <c r="AU348" s="1" t="b">
        <v>0</v>
      </c>
      <c r="AV348" s="1" t="b">
        <v>0</v>
      </c>
      <c r="AW348" s="1">
        <v>9.61399999999999</v>
      </c>
      <c r="AX348" s="1">
        <v>11.026</v>
      </c>
      <c r="AY348" s="1" t="b">
        <v>0</v>
      </c>
      <c r="AZ348" s="1" t="b">
        <v>0</v>
      </c>
      <c r="BA348" s="1">
        <v>81.25</v>
      </c>
      <c r="BB348" s="1">
        <v>77.78</v>
      </c>
      <c r="BC348" s="1" t="b">
        <v>0</v>
      </c>
      <c r="BD348" s="1" t="b">
        <v>0</v>
      </c>
      <c r="BE348" s="1">
        <v>11.34</v>
      </c>
      <c r="BF348" s="1">
        <v>13.285</v>
      </c>
      <c r="BG348" s="1" t="b">
        <v>0</v>
      </c>
      <c r="BH348" s="1" t="b">
        <v>0</v>
      </c>
      <c r="BI348" s="1">
        <v>77.78</v>
      </c>
      <c r="BJ348" s="1">
        <v>75.0</v>
      </c>
      <c r="BK348" s="1" t="b">
        <v>0</v>
      </c>
      <c r="BL348" s="1" t="b">
        <v>0</v>
      </c>
      <c r="BM348" s="1">
        <v>13.121</v>
      </c>
      <c r="BN348" s="1">
        <v>14.568</v>
      </c>
      <c r="BO348" s="1" t="b">
        <v>0</v>
      </c>
      <c r="BP348" s="1" t="b">
        <v>0</v>
      </c>
      <c r="BQ348" s="1">
        <v>75.0</v>
      </c>
      <c r="BR348" s="1">
        <v>72.027</v>
      </c>
      <c r="BS348" s="1" t="b">
        <v>0</v>
      </c>
      <c r="BT348" s="1" t="b">
        <v>0</v>
      </c>
      <c r="BU348" s="1" t="s">
        <v>105</v>
      </c>
      <c r="BV348" s="1" t="s">
        <v>105</v>
      </c>
      <c r="BW348" s="1" t="s">
        <v>105</v>
      </c>
      <c r="BX348" s="1" t="s">
        <v>105</v>
      </c>
      <c r="BY348" s="1" t="s">
        <v>105</v>
      </c>
      <c r="BZ348" s="1" t="s">
        <v>105</v>
      </c>
      <c r="CA348" s="1" t="s">
        <v>105</v>
      </c>
      <c r="CB348" s="1" t="s">
        <v>105</v>
      </c>
      <c r="CC348" s="1" t="s">
        <v>105</v>
      </c>
      <c r="CD348" s="1" t="s">
        <v>105</v>
      </c>
      <c r="CE348" s="4"/>
      <c r="CF348" s="4"/>
    </row>
    <row r="349" hidden="1">
      <c r="A349" s="1" t="s">
        <v>82</v>
      </c>
      <c r="B349" s="1" t="s">
        <v>83</v>
      </c>
      <c r="C349" s="1">
        <v>16.0</v>
      </c>
      <c r="D349" s="5" t="s">
        <v>1598</v>
      </c>
      <c r="E349" s="1" t="s">
        <v>1599</v>
      </c>
      <c r="F349" s="1">
        <v>51.0</v>
      </c>
      <c r="G349" s="1">
        <v>-0.6908</v>
      </c>
      <c r="H349" s="1" t="s">
        <v>1600</v>
      </c>
      <c r="I349" s="4" t="b">
        <f>IFERROR(__xludf.DUMMYFUNCTION("IF(H349="""",,REGEXMATCH(H349,""[א-ת]""))"),FALSE)</f>
        <v>0</v>
      </c>
      <c r="J349" s="4"/>
      <c r="K349" s="4"/>
      <c r="L349" s="1">
        <v>-0.6908</v>
      </c>
      <c r="M349" s="1">
        <v>20.29</v>
      </c>
      <c r="N349" s="1">
        <v>66.67</v>
      </c>
      <c r="O349" s="1">
        <v>1.307254902</v>
      </c>
      <c r="P349" s="4"/>
      <c r="Q349" s="4"/>
      <c r="R349" s="1" t="s">
        <v>89</v>
      </c>
      <c r="S349" s="1" t="s">
        <v>1599</v>
      </c>
      <c r="T349" s="1" t="s">
        <v>83</v>
      </c>
      <c r="U349" s="1">
        <v>17.0</v>
      </c>
      <c r="V349" s="5" t="s">
        <v>1598</v>
      </c>
      <c r="W349" s="1" t="s">
        <v>1599</v>
      </c>
      <c r="X349" s="1" t="s">
        <v>1601</v>
      </c>
      <c r="Y349" s="4"/>
      <c r="Z349" s="4"/>
      <c r="AA349" s="4" t="b">
        <f>IFERROR(__xludf.DUMMYFUNCTION("IF(X349="""",,REGEXMATCH(X349,""[א-ת]""))"),FALSE)</f>
        <v>0</v>
      </c>
      <c r="AB349" s="1">
        <v>15.52</v>
      </c>
      <c r="AC349" s="1">
        <v>76.47</v>
      </c>
      <c r="AD349" s="1">
        <v>0.840316465768956</v>
      </c>
      <c r="AE349" s="1">
        <v>-0.6908</v>
      </c>
      <c r="AF349" s="1">
        <v>-0.6908</v>
      </c>
      <c r="AG349" s="1">
        <v>6.337</v>
      </c>
      <c r="AH349" s="1">
        <v>6.781</v>
      </c>
      <c r="AI349" s="1" t="b">
        <v>0</v>
      </c>
      <c r="AJ349" s="1" t="b">
        <v>0</v>
      </c>
      <c r="AK349" s="1">
        <v>94.182</v>
      </c>
      <c r="AL349" s="1">
        <v>96.508</v>
      </c>
      <c r="AM349" s="1" t="b">
        <v>0</v>
      </c>
      <c r="AN349" s="1" t="b">
        <v>0</v>
      </c>
      <c r="AO349" s="1">
        <v>8.05</v>
      </c>
      <c r="AP349" s="1">
        <v>8.53399999999999</v>
      </c>
      <c r="AQ349" s="1" t="b">
        <v>0</v>
      </c>
      <c r="AR349" s="1" t="b">
        <v>0</v>
      </c>
      <c r="AS349" s="1">
        <v>86.9179999999999</v>
      </c>
      <c r="AT349" s="1">
        <v>87.152</v>
      </c>
      <c r="AU349" s="1" t="b">
        <v>0</v>
      </c>
      <c r="AV349" s="1" t="b">
        <v>0</v>
      </c>
      <c r="AW349" s="1">
        <v>9.61399999999999</v>
      </c>
      <c r="AX349" s="1">
        <v>11.026</v>
      </c>
      <c r="AY349" s="1" t="b">
        <v>0</v>
      </c>
      <c r="AZ349" s="1" t="b">
        <v>0</v>
      </c>
      <c r="BA349" s="1">
        <v>81.25</v>
      </c>
      <c r="BB349" s="1">
        <v>77.78</v>
      </c>
      <c r="BC349" s="1" t="b">
        <v>0</v>
      </c>
      <c r="BD349" s="1" t="b">
        <v>0</v>
      </c>
      <c r="BE349" s="1">
        <v>11.34</v>
      </c>
      <c r="BF349" s="1">
        <v>13.285</v>
      </c>
      <c r="BG349" s="1" t="b">
        <v>0</v>
      </c>
      <c r="BH349" s="1" t="b">
        <v>0</v>
      </c>
      <c r="BI349" s="1">
        <v>77.78</v>
      </c>
      <c r="BJ349" s="1">
        <v>75.0</v>
      </c>
      <c r="BK349" s="1" t="b">
        <v>0</v>
      </c>
      <c r="BL349" s="1" t="b">
        <v>1</v>
      </c>
      <c r="BM349" s="1">
        <v>13.121</v>
      </c>
      <c r="BN349" s="1">
        <v>14.568</v>
      </c>
      <c r="BO349" s="1" t="b">
        <v>0</v>
      </c>
      <c r="BP349" s="1" t="b">
        <v>0</v>
      </c>
      <c r="BQ349" s="1">
        <v>75.0</v>
      </c>
      <c r="BR349" s="1">
        <v>72.027</v>
      </c>
      <c r="BS349" s="1" t="b">
        <v>0</v>
      </c>
      <c r="BT349" s="1" t="b">
        <v>1</v>
      </c>
      <c r="BU349" s="1" t="s">
        <v>105</v>
      </c>
      <c r="BV349" s="1" t="s">
        <v>105</v>
      </c>
      <c r="BW349" s="1" t="s">
        <v>105</v>
      </c>
      <c r="BX349" s="1" t="s">
        <v>105</v>
      </c>
      <c r="BY349" s="1" t="s">
        <v>105</v>
      </c>
      <c r="BZ349" s="1" t="s">
        <v>105</v>
      </c>
      <c r="CA349" s="1" t="s">
        <v>105</v>
      </c>
      <c r="CB349" s="1" t="s">
        <v>157</v>
      </c>
      <c r="CC349" s="1" t="s">
        <v>105</v>
      </c>
      <c r="CD349" s="1" t="s">
        <v>157</v>
      </c>
      <c r="CE349" s="4"/>
      <c r="CF349" s="4"/>
    </row>
    <row r="350" hidden="1">
      <c r="A350" s="1" t="s">
        <v>82</v>
      </c>
      <c r="B350" s="1" t="s">
        <v>116</v>
      </c>
      <c r="C350" s="1">
        <v>17.0</v>
      </c>
      <c r="D350" s="5" t="s">
        <v>1602</v>
      </c>
      <c r="E350" s="1" t="s">
        <v>1603</v>
      </c>
      <c r="F350" s="1">
        <v>33.0</v>
      </c>
      <c r="G350" s="1">
        <v>0.6652</v>
      </c>
      <c r="H350" s="1" t="s">
        <v>1604</v>
      </c>
      <c r="I350" s="4" t="b">
        <f>IFERROR(__xludf.DUMMYFUNCTION("IF(H350="""",,REGEXMATCH(H350,""[א-ת]""))"),FALSE)</f>
        <v>0</v>
      </c>
      <c r="J350" s="4"/>
      <c r="K350" s="4"/>
      <c r="L350" s="1">
        <v>0.4767</v>
      </c>
      <c r="M350" s="1">
        <v>20.4</v>
      </c>
      <c r="N350" s="1">
        <v>42.42</v>
      </c>
      <c r="O350" s="1">
        <v>1.285454545</v>
      </c>
      <c r="P350" s="4"/>
      <c r="Q350" s="4"/>
      <c r="R350" s="1" t="s">
        <v>89</v>
      </c>
      <c r="S350" s="1" t="s">
        <v>1603</v>
      </c>
      <c r="T350" s="1" t="s">
        <v>116</v>
      </c>
      <c r="U350" s="1">
        <v>18.0</v>
      </c>
      <c r="V350" s="5" t="s">
        <v>1602</v>
      </c>
      <c r="W350" s="1" t="s">
        <v>1603</v>
      </c>
      <c r="X350" s="1" t="s">
        <v>1605</v>
      </c>
      <c r="Y350" s="4"/>
      <c r="Z350" s="4"/>
      <c r="AA350" s="4" t="b">
        <f>IFERROR(__xludf.DUMMYFUNCTION("IF(X350="""",,REGEXMATCH(X350,""[א-ת]""))"),TRUE)</f>
        <v>1</v>
      </c>
      <c r="AB350" s="1">
        <v>15.61</v>
      </c>
      <c r="AC350" s="1">
        <v>90.91</v>
      </c>
      <c r="AD350" s="1">
        <v>0.57337635885986</v>
      </c>
      <c r="AE350" s="1">
        <v>0.7269</v>
      </c>
      <c r="AF350" s="1">
        <v>0.6652</v>
      </c>
      <c r="AG350" s="1">
        <v>6.337</v>
      </c>
      <c r="AH350" s="1">
        <v>6.781</v>
      </c>
      <c r="AI350" s="1" t="b">
        <v>0</v>
      </c>
      <c r="AJ350" s="1" t="b">
        <v>0</v>
      </c>
      <c r="AK350" s="1">
        <v>94.182</v>
      </c>
      <c r="AL350" s="1">
        <v>96.508</v>
      </c>
      <c r="AM350" s="1" t="b">
        <v>0</v>
      </c>
      <c r="AN350" s="1" t="b">
        <v>0</v>
      </c>
      <c r="AO350" s="1">
        <v>8.05</v>
      </c>
      <c r="AP350" s="1">
        <v>8.53399999999999</v>
      </c>
      <c r="AQ350" s="1" t="b">
        <v>0</v>
      </c>
      <c r="AR350" s="1" t="b">
        <v>0</v>
      </c>
      <c r="AS350" s="1">
        <v>86.9179999999999</v>
      </c>
      <c r="AT350" s="1">
        <v>87.152</v>
      </c>
      <c r="AU350" s="1" t="b">
        <v>0</v>
      </c>
      <c r="AV350" s="1" t="b">
        <v>1</v>
      </c>
      <c r="AW350" s="1">
        <v>9.61399999999999</v>
      </c>
      <c r="AX350" s="1">
        <v>11.026</v>
      </c>
      <c r="AY350" s="1" t="b">
        <v>0</v>
      </c>
      <c r="AZ350" s="1" t="b">
        <v>0</v>
      </c>
      <c r="BA350" s="1">
        <v>81.25</v>
      </c>
      <c r="BB350" s="1">
        <v>77.78</v>
      </c>
      <c r="BC350" s="1" t="b">
        <v>0</v>
      </c>
      <c r="BD350" s="1" t="b">
        <v>1</v>
      </c>
      <c r="BE350" s="1">
        <v>11.34</v>
      </c>
      <c r="BF350" s="1">
        <v>13.285</v>
      </c>
      <c r="BG350" s="1" t="b">
        <v>0</v>
      </c>
      <c r="BH350" s="1" t="b">
        <v>0</v>
      </c>
      <c r="BI350" s="1">
        <v>77.78</v>
      </c>
      <c r="BJ350" s="1">
        <v>75.0</v>
      </c>
      <c r="BK350" s="1" t="b">
        <v>0</v>
      </c>
      <c r="BL350" s="1" t="b">
        <v>1</v>
      </c>
      <c r="BM350" s="1">
        <v>13.121</v>
      </c>
      <c r="BN350" s="1">
        <v>14.568</v>
      </c>
      <c r="BO350" s="1" t="b">
        <v>0</v>
      </c>
      <c r="BP350" s="1" t="b">
        <v>0</v>
      </c>
      <c r="BQ350" s="1">
        <v>75.0</v>
      </c>
      <c r="BR350" s="1">
        <v>72.027</v>
      </c>
      <c r="BS350" s="1" t="b">
        <v>0</v>
      </c>
      <c r="BT350" s="1" t="b">
        <v>1</v>
      </c>
      <c r="BU350" s="1" t="s">
        <v>105</v>
      </c>
      <c r="BV350" s="1" t="s">
        <v>105</v>
      </c>
      <c r="BW350" s="1" t="s">
        <v>105</v>
      </c>
      <c r="BX350" s="1" t="s">
        <v>157</v>
      </c>
      <c r="BY350" s="1" t="s">
        <v>105</v>
      </c>
      <c r="BZ350" s="1" t="s">
        <v>157</v>
      </c>
      <c r="CA350" s="1" t="s">
        <v>105</v>
      </c>
      <c r="CB350" s="1" t="s">
        <v>157</v>
      </c>
      <c r="CC350" s="1" t="s">
        <v>105</v>
      </c>
      <c r="CD350" s="1" t="s">
        <v>157</v>
      </c>
      <c r="CE350" s="4"/>
      <c r="CF350" s="4"/>
    </row>
    <row r="351" hidden="1">
      <c r="A351" s="1" t="s">
        <v>82</v>
      </c>
      <c r="B351" s="1" t="s">
        <v>145</v>
      </c>
      <c r="C351" s="1">
        <v>1.0</v>
      </c>
      <c r="D351" s="5" t="s">
        <v>1606</v>
      </c>
      <c r="E351" s="1" t="s">
        <v>1607</v>
      </c>
      <c r="F351" s="1">
        <v>54.0</v>
      </c>
      <c r="G351" s="1">
        <v>-0.0258</v>
      </c>
      <c r="H351" s="1" t="s">
        <v>1608</v>
      </c>
      <c r="I351" s="4" t="b">
        <f>IFERROR(__xludf.DUMMYFUNCTION("IF(H351="""",,REGEXMATCH(H351,""[א-ת]""))"),FALSE)</f>
        <v>0</v>
      </c>
      <c r="J351" s="4"/>
      <c r="K351" s="4"/>
      <c r="L351" s="1">
        <v>0.2406</v>
      </c>
      <c r="M351" s="1">
        <v>20.52</v>
      </c>
      <c r="N351" s="1">
        <v>74.07</v>
      </c>
      <c r="O351" s="1">
        <v>1.371666667</v>
      </c>
      <c r="P351" s="4"/>
      <c r="Q351" s="4"/>
      <c r="R351" s="1" t="s">
        <v>89</v>
      </c>
      <c r="S351" s="1" t="s">
        <v>1607</v>
      </c>
      <c r="T351" s="1" t="s">
        <v>145</v>
      </c>
      <c r="U351" s="1">
        <v>2.0</v>
      </c>
      <c r="V351" s="5" t="s">
        <v>1606</v>
      </c>
      <c r="W351" s="1" t="s">
        <v>1607</v>
      </c>
      <c r="X351" s="1" t="s">
        <v>1609</v>
      </c>
      <c r="Y351" s="4"/>
      <c r="Z351" s="4"/>
      <c r="AA351" s="4" t="b">
        <f>IFERROR(__xludf.DUMMYFUNCTION("IF(X351="""",,REGEXMATCH(X351,""[א-ת]""))"),FALSE)</f>
        <v>0</v>
      </c>
      <c r="AB351" s="1">
        <v>20.38</v>
      </c>
      <c r="AC351" s="1">
        <v>61.11</v>
      </c>
      <c r="AD351" s="1">
        <v>0.437201313848591</v>
      </c>
      <c r="AE351" s="1">
        <v>-0.3818</v>
      </c>
      <c r="AF351" s="1">
        <v>-0.0258</v>
      </c>
      <c r="AG351" s="1">
        <v>6.337</v>
      </c>
      <c r="AH351" s="1">
        <v>6.781</v>
      </c>
      <c r="AI351" s="1" t="b">
        <v>0</v>
      </c>
      <c r="AJ351" s="1" t="b">
        <v>0</v>
      </c>
      <c r="AK351" s="1">
        <v>94.182</v>
      </c>
      <c r="AL351" s="1">
        <v>96.508</v>
      </c>
      <c r="AM351" s="1" t="b">
        <v>0</v>
      </c>
      <c r="AN351" s="1" t="b">
        <v>0</v>
      </c>
      <c r="AO351" s="1">
        <v>8.05</v>
      </c>
      <c r="AP351" s="1">
        <v>8.53399999999999</v>
      </c>
      <c r="AQ351" s="1" t="b">
        <v>0</v>
      </c>
      <c r="AR351" s="1" t="b">
        <v>0</v>
      </c>
      <c r="AS351" s="1">
        <v>86.9179999999999</v>
      </c>
      <c r="AT351" s="1">
        <v>87.152</v>
      </c>
      <c r="AU351" s="1" t="b">
        <v>0</v>
      </c>
      <c r="AV351" s="1" t="b">
        <v>0</v>
      </c>
      <c r="AW351" s="1">
        <v>9.61399999999999</v>
      </c>
      <c r="AX351" s="1">
        <v>11.026</v>
      </c>
      <c r="AY351" s="1" t="b">
        <v>0</v>
      </c>
      <c r="AZ351" s="1" t="b">
        <v>0</v>
      </c>
      <c r="BA351" s="1">
        <v>81.25</v>
      </c>
      <c r="BB351" s="1">
        <v>77.78</v>
      </c>
      <c r="BC351" s="1" t="b">
        <v>0</v>
      </c>
      <c r="BD351" s="1" t="b">
        <v>0</v>
      </c>
      <c r="BE351" s="1">
        <v>11.34</v>
      </c>
      <c r="BF351" s="1">
        <v>13.285</v>
      </c>
      <c r="BG351" s="1" t="b">
        <v>0</v>
      </c>
      <c r="BH351" s="1" t="b">
        <v>0</v>
      </c>
      <c r="BI351" s="1">
        <v>77.78</v>
      </c>
      <c r="BJ351" s="1">
        <v>75.0</v>
      </c>
      <c r="BK351" s="1" t="b">
        <v>0</v>
      </c>
      <c r="BL351" s="1" t="b">
        <v>0</v>
      </c>
      <c r="BM351" s="1">
        <v>13.121</v>
      </c>
      <c r="BN351" s="1">
        <v>14.568</v>
      </c>
      <c r="BO351" s="1" t="b">
        <v>0</v>
      </c>
      <c r="BP351" s="1" t="b">
        <v>0</v>
      </c>
      <c r="BQ351" s="1">
        <v>75.0</v>
      </c>
      <c r="BR351" s="1">
        <v>72.027</v>
      </c>
      <c r="BS351" s="1" t="b">
        <v>0</v>
      </c>
      <c r="BT351" s="1" t="b">
        <v>0</v>
      </c>
      <c r="BU351" s="1" t="s">
        <v>105</v>
      </c>
      <c r="BV351" s="1" t="s">
        <v>105</v>
      </c>
      <c r="BW351" s="1" t="s">
        <v>105</v>
      </c>
      <c r="BX351" s="1" t="s">
        <v>105</v>
      </c>
      <c r="BY351" s="1" t="s">
        <v>105</v>
      </c>
      <c r="BZ351" s="1" t="s">
        <v>105</v>
      </c>
      <c r="CA351" s="1" t="s">
        <v>105</v>
      </c>
      <c r="CB351" s="1" t="s">
        <v>105</v>
      </c>
      <c r="CC351" s="1" t="s">
        <v>105</v>
      </c>
      <c r="CD351" s="1" t="s">
        <v>105</v>
      </c>
      <c r="CE351" s="4"/>
      <c r="CF351" s="4"/>
    </row>
    <row r="352" hidden="1">
      <c r="A352" s="1" t="s">
        <v>82</v>
      </c>
      <c r="B352" s="1" t="s">
        <v>111</v>
      </c>
      <c r="C352" s="1">
        <v>49.0</v>
      </c>
      <c r="D352" s="5" t="s">
        <v>1610</v>
      </c>
      <c r="E352" s="1" t="s">
        <v>1611</v>
      </c>
      <c r="F352" s="1">
        <v>44.0</v>
      </c>
      <c r="G352" s="1">
        <v>0.0</v>
      </c>
      <c r="H352" s="1" t="s">
        <v>1612</v>
      </c>
      <c r="I352" s="4" t="b">
        <f>IFERROR(__xludf.DUMMYFUNCTION("IF(H352="""",,REGEXMATCH(H352,""[א-ת]""))"),FALSE)</f>
        <v>0</v>
      </c>
      <c r="J352" s="4"/>
      <c r="K352" s="4"/>
      <c r="L352" s="1">
        <v>0.296</v>
      </c>
      <c r="M352" s="1">
        <v>20.57</v>
      </c>
      <c r="N352" s="1">
        <v>72.73</v>
      </c>
      <c r="O352" s="1">
        <v>1.652954545</v>
      </c>
      <c r="P352" s="4"/>
      <c r="Q352" s="4"/>
      <c r="R352" s="1" t="s">
        <v>89</v>
      </c>
      <c r="S352" s="1" t="s">
        <v>1611</v>
      </c>
      <c r="T352" s="1" t="s">
        <v>111</v>
      </c>
      <c r="U352" s="1">
        <v>50.0</v>
      </c>
      <c r="V352" s="5" t="s">
        <v>1610</v>
      </c>
      <c r="W352" s="1" t="s">
        <v>1611</v>
      </c>
      <c r="X352" s="1" t="s">
        <v>1613</v>
      </c>
      <c r="Y352" s="4"/>
      <c r="Z352" s="4"/>
      <c r="AA352" s="4" t="b">
        <f>IFERROR(__xludf.DUMMYFUNCTION("IF(X352="""",,REGEXMATCH(X352,""[א-ת]""))"),FALSE)</f>
        <v>0</v>
      </c>
      <c r="AB352" s="1">
        <v>28.99</v>
      </c>
      <c r="AC352" s="1">
        <v>61.36</v>
      </c>
      <c r="AD352" s="1">
        <v>0.791506708463763</v>
      </c>
      <c r="AE352" s="1">
        <v>0.6124</v>
      </c>
      <c r="AF352" s="1">
        <v>0.0</v>
      </c>
      <c r="AG352" s="1">
        <v>6.337</v>
      </c>
      <c r="AH352" s="1">
        <v>6.781</v>
      </c>
      <c r="AI352" s="1" t="b">
        <v>0</v>
      </c>
      <c r="AJ352" s="1" t="b">
        <v>0</v>
      </c>
      <c r="AK352" s="1">
        <v>94.182</v>
      </c>
      <c r="AL352" s="1">
        <v>96.508</v>
      </c>
      <c r="AM352" s="1" t="b">
        <v>0</v>
      </c>
      <c r="AN352" s="1" t="b">
        <v>0</v>
      </c>
      <c r="AO352" s="1">
        <v>8.05</v>
      </c>
      <c r="AP352" s="1">
        <v>8.53399999999999</v>
      </c>
      <c r="AQ352" s="1" t="b">
        <v>0</v>
      </c>
      <c r="AR352" s="1" t="b">
        <v>0</v>
      </c>
      <c r="AS352" s="1">
        <v>86.9179999999999</v>
      </c>
      <c r="AT352" s="1">
        <v>87.152</v>
      </c>
      <c r="AU352" s="1" t="b">
        <v>0</v>
      </c>
      <c r="AV352" s="1" t="b">
        <v>0</v>
      </c>
      <c r="AW352" s="1">
        <v>9.61399999999999</v>
      </c>
      <c r="AX352" s="1">
        <v>11.026</v>
      </c>
      <c r="AY352" s="1" t="b">
        <v>0</v>
      </c>
      <c r="AZ352" s="1" t="b">
        <v>0</v>
      </c>
      <c r="BA352" s="1">
        <v>81.25</v>
      </c>
      <c r="BB352" s="1">
        <v>77.78</v>
      </c>
      <c r="BC352" s="1" t="b">
        <v>0</v>
      </c>
      <c r="BD352" s="1" t="b">
        <v>0</v>
      </c>
      <c r="BE352" s="1">
        <v>11.34</v>
      </c>
      <c r="BF352" s="1">
        <v>13.285</v>
      </c>
      <c r="BG352" s="1" t="b">
        <v>0</v>
      </c>
      <c r="BH352" s="1" t="b">
        <v>0</v>
      </c>
      <c r="BI352" s="1">
        <v>77.78</v>
      </c>
      <c r="BJ352" s="1">
        <v>75.0</v>
      </c>
      <c r="BK352" s="1" t="b">
        <v>0</v>
      </c>
      <c r="BL352" s="1" t="b">
        <v>0</v>
      </c>
      <c r="BM352" s="1">
        <v>13.121</v>
      </c>
      <c r="BN352" s="1">
        <v>14.568</v>
      </c>
      <c r="BO352" s="1" t="b">
        <v>0</v>
      </c>
      <c r="BP352" s="1" t="b">
        <v>0</v>
      </c>
      <c r="BQ352" s="1">
        <v>75.0</v>
      </c>
      <c r="BR352" s="1">
        <v>72.027</v>
      </c>
      <c r="BS352" s="1" t="b">
        <v>0</v>
      </c>
      <c r="BT352" s="1" t="b">
        <v>0</v>
      </c>
      <c r="BU352" s="1" t="s">
        <v>105</v>
      </c>
      <c r="BV352" s="1" t="s">
        <v>105</v>
      </c>
      <c r="BW352" s="1" t="s">
        <v>105</v>
      </c>
      <c r="BX352" s="1" t="s">
        <v>105</v>
      </c>
      <c r="BY352" s="1" t="s">
        <v>105</v>
      </c>
      <c r="BZ352" s="1" t="s">
        <v>105</v>
      </c>
      <c r="CA352" s="1" t="s">
        <v>105</v>
      </c>
      <c r="CB352" s="1" t="s">
        <v>105</v>
      </c>
      <c r="CC352" s="1" t="s">
        <v>105</v>
      </c>
      <c r="CD352" s="1" t="s">
        <v>105</v>
      </c>
      <c r="CE352" s="4"/>
      <c r="CF352" s="4"/>
    </row>
    <row r="353">
      <c r="A353" s="1" t="s">
        <v>82</v>
      </c>
      <c r="B353" s="1" t="s">
        <v>145</v>
      </c>
      <c r="C353" s="1">
        <v>2.0</v>
      </c>
      <c r="D353" s="5" t="s">
        <v>1614</v>
      </c>
      <c r="E353" s="1" t="s">
        <v>1615</v>
      </c>
      <c r="F353" s="1">
        <v>34.0</v>
      </c>
      <c r="G353" s="1">
        <v>-0.7003</v>
      </c>
      <c r="H353" s="1" t="s">
        <v>1616</v>
      </c>
      <c r="I353" s="4" t="b">
        <f>IFERROR(__xludf.DUMMYFUNCTION("IF(H353="""",,REGEXMATCH(H353,""[א-ת]""))"),FALSE)</f>
        <v>0</v>
      </c>
      <c r="J353" s="4"/>
      <c r="K353" s="4"/>
      <c r="L353" s="1">
        <v>-0.296</v>
      </c>
      <c r="M353" s="1">
        <v>20.58</v>
      </c>
      <c r="N353" s="1">
        <v>85.29</v>
      </c>
      <c r="O353" s="1">
        <v>2.508529412</v>
      </c>
      <c r="P353" s="4"/>
      <c r="Q353" s="4"/>
      <c r="R353" s="1" t="s">
        <v>89</v>
      </c>
      <c r="S353" s="1" t="s">
        <v>1615</v>
      </c>
      <c r="T353" s="1" t="s">
        <v>145</v>
      </c>
      <c r="U353" s="1">
        <v>3.0</v>
      </c>
      <c r="V353" s="5" t="s">
        <v>1614</v>
      </c>
      <c r="W353" s="1" t="s">
        <v>1615</v>
      </c>
      <c r="X353" s="1" t="s">
        <v>1617</v>
      </c>
      <c r="Y353" s="1" t="s">
        <v>1618</v>
      </c>
      <c r="Z353" s="4"/>
      <c r="AA353" s="4" t="b">
        <f>IFERROR(__xludf.DUMMYFUNCTION("IF(X353="""",,REGEXMATCH(X353,""[א-ת]""))"),TRUE)</f>
        <v>1</v>
      </c>
      <c r="AB353" s="1">
        <v>4.27</v>
      </c>
      <c r="AC353" s="1">
        <v>152.94</v>
      </c>
      <c r="AD353" s="1">
        <v>0.350726319945252</v>
      </c>
      <c r="AE353" s="1">
        <v>0.0</v>
      </c>
      <c r="AF353" s="1">
        <v>-0.7003</v>
      </c>
      <c r="AG353" s="1">
        <v>6.337</v>
      </c>
      <c r="AH353" s="1">
        <v>6.781</v>
      </c>
      <c r="AI353" s="1" t="b">
        <v>0</v>
      </c>
      <c r="AJ353" s="1" t="b">
        <v>1</v>
      </c>
      <c r="AK353" s="1">
        <v>94.182</v>
      </c>
      <c r="AL353" s="1">
        <v>96.508</v>
      </c>
      <c r="AM353" s="1" t="b">
        <v>0</v>
      </c>
      <c r="AN353" s="1" t="b">
        <v>1</v>
      </c>
      <c r="AO353" s="1">
        <v>8.05</v>
      </c>
      <c r="AP353" s="1">
        <v>8.53399999999999</v>
      </c>
      <c r="AQ353" s="1" t="b">
        <v>0</v>
      </c>
      <c r="AR353" s="1" t="b">
        <v>1</v>
      </c>
      <c r="AS353" s="1">
        <v>86.9179999999999</v>
      </c>
      <c r="AT353" s="1">
        <v>87.152</v>
      </c>
      <c r="AU353" s="1" t="b">
        <v>0</v>
      </c>
      <c r="AV353" s="1" t="b">
        <v>1</v>
      </c>
      <c r="AW353" s="1">
        <v>9.61399999999999</v>
      </c>
      <c r="AX353" s="1">
        <v>11.026</v>
      </c>
      <c r="AY353" s="1" t="b">
        <v>0</v>
      </c>
      <c r="AZ353" s="1" t="b">
        <v>1</v>
      </c>
      <c r="BA353" s="1">
        <v>81.25</v>
      </c>
      <c r="BB353" s="1">
        <v>77.78</v>
      </c>
      <c r="BC353" s="1" t="b">
        <v>1</v>
      </c>
      <c r="BD353" s="1" t="b">
        <v>1</v>
      </c>
      <c r="BE353" s="1">
        <v>11.34</v>
      </c>
      <c r="BF353" s="1">
        <v>13.285</v>
      </c>
      <c r="BG353" s="1" t="b">
        <v>0</v>
      </c>
      <c r="BH353" s="1" t="b">
        <v>1</v>
      </c>
      <c r="BI353" s="1">
        <v>77.78</v>
      </c>
      <c r="BJ353" s="1">
        <v>75.0</v>
      </c>
      <c r="BK353" s="1" t="b">
        <v>1</v>
      </c>
      <c r="BL353" s="1" t="b">
        <v>1</v>
      </c>
      <c r="BM353" s="1">
        <v>13.121</v>
      </c>
      <c r="BN353" s="1">
        <v>14.568</v>
      </c>
      <c r="BO353" s="1" t="b">
        <v>0</v>
      </c>
      <c r="BP353" s="1" t="b">
        <v>1</v>
      </c>
      <c r="BQ353" s="1">
        <v>75.0</v>
      </c>
      <c r="BR353" s="1">
        <v>72.027</v>
      </c>
      <c r="BS353" s="1" t="b">
        <v>1</v>
      </c>
      <c r="BT353" s="1" t="b">
        <v>1</v>
      </c>
      <c r="BU353" s="1" t="s">
        <v>157</v>
      </c>
      <c r="BV353" s="1" t="s">
        <v>157</v>
      </c>
      <c r="BW353" s="1" t="s">
        <v>157</v>
      </c>
      <c r="BX353" s="1" t="s">
        <v>157</v>
      </c>
      <c r="BY353" s="1" t="s">
        <v>157</v>
      </c>
      <c r="BZ353" s="1" t="s">
        <v>104</v>
      </c>
      <c r="CA353" s="1" t="s">
        <v>157</v>
      </c>
      <c r="CB353" s="1" t="s">
        <v>104</v>
      </c>
      <c r="CC353" s="1" t="s">
        <v>157</v>
      </c>
      <c r="CD353" s="1" t="s">
        <v>104</v>
      </c>
      <c r="CE353" s="4"/>
      <c r="CF353" s="4"/>
    </row>
    <row r="354" hidden="1">
      <c r="A354" s="1" t="s">
        <v>82</v>
      </c>
      <c r="B354" s="1" t="s">
        <v>145</v>
      </c>
      <c r="C354" s="1">
        <v>7.0</v>
      </c>
      <c r="D354" s="5" t="s">
        <v>1619</v>
      </c>
      <c r="E354" s="1" t="s">
        <v>1620</v>
      </c>
      <c r="F354" s="1">
        <v>98.0</v>
      </c>
      <c r="G354" s="1">
        <v>0.0</v>
      </c>
      <c r="H354" s="1" t="s">
        <v>1621</v>
      </c>
      <c r="I354" s="4" t="b">
        <f>IFERROR(__xludf.DUMMYFUNCTION("IF(H354="""",,REGEXMATCH(H354,""[א-ת]""))"),FALSE)</f>
        <v>0</v>
      </c>
      <c r="J354" s="4"/>
      <c r="K354" s="4"/>
      <c r="L354" s="1">
        <v>-0.0516</v>
      </c>
      <c r="M354" s="1">
        <v>20.65</v>
      </c>
      <c r="N354" s="1">
        <v>71.43</v>
      </c>
      <c r="O354" s="1">
        <v>0.728877551</v>
      </c>
      <c r="P354" s="4"/>
      <c r="Q354" s="4"/>
      <c r="R354" s="1" t="s">
        <v>89</v>
      </c>
      <c r="S354" s="1" t="s">
        <v>1620</v>
      </c>
      <c r="T354" s="1" t="s">
        <v>145</v>
      </c>
      <c r="U354" s="1">
        <v>8.0</v>
      </c>
      <c r="V354" s="5" t="s">
        <v>1619</v>
      </c>
      <c r="W354" s="1" t="s">
        <v>1620</v>
      </c>
      <c r="X354" s="1" t="s">
        <v>1622</v>
      </c>
      <c r="Y354" s="4"/>
      <c r="Z354" s="4"/>
      <c r="AA354" s="4" t="b">
        <f>IFERROR(__xludf.DUMMYFUNCTION("IF(X354="""",,REGEXMATCH(X354,""[א-ת]""))"),FALSE)</f>
        <v>0</v>
      </c>
      <c r="AB354" s="1">
        <v>25.74</v>
      </c>
      <c r="AC354" s="1">
        <v>57.14</v>
      </c>
      <c r="AD354" s="1">
        <v>0.493106332478115</v>
      </c>
      <c r="AE354" s="1">
        <v>0.3182</v>
      </c>
      <c r="AF354" s="1">
        <v>0.0</v>
      </c>
      <c r="AG354" s="1">
        <v>6.337</v>
      </c>
      <c r="AH354" s="1">
        <v>6.781</v>
      </c>
      <c r="AI354" s="1" t="b">
        <v>0</v>
      </c>
      <c r="AJ354" s="1" t="b">
        <v>0</v>
      </c>
      <c r="AK354" s="1">
        <v>94.182</v>
      </c>
      <c r="AL354" s="1">
        <v>96.508</v>
      </c>
      <c r="AM354" s="1" t="b">
        <v>0</v>
      </c>
      <c r="AN354" s="1" t="b">
        <v>0</v>
      </c>
      <c r="AO354" s="1">
        <v>8.05</v>
      </c>
      <c r="AP354" s="1">
        <v>8.53399999999999</v>
      </c>
      <c r="AQ354" s="1" t="b">
        <v>0</v>
      </c>
      <c r="AR354" s="1" t="b">
        <v>0</v>
      </c>
      <c r="AS354" s="1">
        <v>86.9179999999999</v>
      </c>
      <c r="AT354" s="1">
        <v>87.152</v>
      </c>
      <c r="AU354" s="1" t="b">
        <v>0</v>
      </c>
      <c r="AV354" s="1" t="b">
        <v>0</v>
      </c>
      <c r="AW354" s="1">
        <v>9.61399999999999</v>
      </c>
      <c r="AX354" s="1">
        <v>11.026</v>
      </c>
      <c r="AY354" s="1" t="b">
        <v>0</v>
      </c>
      <c r="AZ354" s="1" t="b">
        <v>0</v>
      </c>
      <c r="BA354" s="1">
        <v>81.25</v>
      </c>
      <c r="BB354" s="1">
        <v>77.78</v>
      </c>
      <c r="BC354" s="1" t="b">
        <v>0</v>
      </c>
      <c r="BD354" s="1" t="b">
        <v>0</v>
      </c>
      <c r="BE354" s="1">
        <v>11.34</v>
      </c>
      <c r="BF354" s="1">
        <v>13.285</v>
      </c>
      <c r="BG354" s="1" t="b">
        <v>0</v>
      </c>
      <c r="BH354" s="1" t="b">
        <v>0</v>
      </c>
      <c r="BI354" s="1">
        <v>77.78</v>
      </c>
      <c r="BJ354" s="1">
        <v>75.0</v>
      </c>
      <c r="BK354" s="1" t="b">
        <v>0</v>
      </c>
      <c r="BL354" s="1" t="b">
        <v>0</v>
      </c>
      <c r="BM354" s="1">
        <v>13.121</v>
      </c>
      <c r="BN354" s="1">
        <v>14.568</v>
      </c>
      <c r="BO354" s="1" t="b">
        <v>0</v>
      </c>
      <c r="BP354" s="1" t="b">
        <v>0</v>
      </c>
      <c r="BQ354" s="1">
        <v>75.0</v>
      </c>
      <c r="BR354" s="1">
        <v>72.027</v>
      </c>
      <c r="BS354" s="1" t="b">
        <v>0</v>
      </c>
      <c r="BT354" s="1" t="b">
        <v>0</v>
      </c>
      <c r="BU354" s="1" t="s">
        <v>105</v>
      </c>
      <c r="BV354" s="1" t="s">
        <v>105</v>
      </c>
      <c r="BW354" s="1" t="s">
        <v>105</v>
      </c>
      <c r="BX354" s="1" t="s">
        <v>105</v>
      </c>
      <c r="BY354" s="1" t="s">
        <v>105</v>
      </c>
      <c r="BZ354" s="1" t="s">
        <v>105</v>
      </c>
      <c r="CA354" s="1" t="s">
        <v>105</v>
      </c>
      <c r="CB354" s="1" t="s">
        <v>105</v>
      </c>
      <c r="CC354" s="1" t="s">
        <v>105</v>
      </c>
      <c r="CD354" s="1" t="s">
        <v>105</v>
      </c>
      <c r="CE354" s="4"/>
      <c r="CF354" s="4"/>
    </row>
    <row r="355" hidden="1">
      <c r="A355" s="1" t="s">
        <v>82</v>
      </c>
      <c r="B355" s="1" t="s">
        <v>167</v>
      </c>
      <c r="C355" s="1">
        <v>8.0</v>
      </c>
      <c r="D355" s="5" t="s">
        <v>1623</v>
      </c>
      <c r="E355" s="1" t="s">
        <v>1624</v>
      </c>
      <c r="F355" s="1">
        <v>45.0</v>
      </c>
      <c r="G355" s="1">
        <v>-0.4767</v>
      </c>
      <c r="H355" s="1" t="s">
        <v>1625</v>
      </c>
      <c r="I355" s="4" t="b">
        <f>IFERROR(__xludf.DUMMYFUNCTION("IF(H355="""",,REGEXMATCH(H355,""[א-ת]""))"),FALSE)</f>
        <v>0</v>
      </c>
      <c r="J355" s="4"/>
      <c r="K355" s="4"/>
      <c r="L355" s="1">
        <v>0.0</v>
      </c>
      <c r="M355" s="1">
        <v>20.71</v>
      </c>
      <c r="N355" s="1">
        <v>68.89</v>
      </c>
      <c r="O355" s="1">
        <v>1.530888889</v>
      </c>
      <c r="P355" s="4"/>
      <c r="Q355" s="4"/>
      <c r="R355" s="1" t="s">
        <v>127</v>
      </c>
      <c r="S355" s="1" t="s">
        <v>1624</v>
      </c>
      <c r="T355" s="1" t="s">
        <v>167</v>
      </c>
      <c r="U355" s="1">
        <v>9.0</v>
      </c>
      <c r="V355" s="5" t="s">
        <v>1623</v>
      </c>
      <c r="W355" s="1" t="s">
        <v>1624</v>
      </c>
      <c r="X355" s="1" t="s">
        <v>1626</v>
      </c>
      <c r="Y355" s="4"/>
      <c r="Z355" s="4"/>
      <c r="AA355" s="4" t="b">
        <f>IFERROR(__xludf.DUMMYFUNCTION("IF(X355="""",,REGEXMATCH(X355,""[א-ת]""))"),TRUE)</f>
        <v>1</v>
      </c>
      <c r="AB355" s="1">
        <v>26.24</v>
      </c>
      <c r="AC355" s="1">
        <v>60.0</v>
      </c>
      <c r="AD355" s="1">
        <v>0.489783641423581</v>
      </c>
      <c r="AE355" s="1">
        <v>0.0</v>
      </c>
      <c r="AF355" s="1">
        <v>-0.4767</v>
      </c>
      <c r="AG355" s="1">
        <v>6.337</v>
      </c>
      <c r="AH355" s="1">
        <v>6.781</v>
      </c>
      <c r="AI355" s="1" t="b">
        <v>0</v>
      </c>
      <c r="AJ355" s="1" t="b">
        <v>0</v>
      </c>
      <c r="AK355" s="1">
        <v>94.182</v>
      </c>
      <c r="AL355" s="1">
        <v>96.508</v>
      </c>
      <c r="AM355" s="1" t="b">
        <v>0</v>
      </c>
      <c r="AN355" s="1" t="b">
        <v>0</v>
      </c>
      <c r="AO355" s="1">
        <v>8.05</v>
      </c>
      <c r="AP355" s="1">
        <v>8.53399999999999</v>
      </c>
      <c r="AQ355" s="1" t="b">
        <v>0</v>
      </c>
      <c r="AR355" s="1" t="b">
        <v>0</v>
      </c>
      <c r="AS355" s="1">
        <v>86.9179999999999</v>
      </c>
      <c r="AT355" s="1">
        <v>87.152</v>
      </c>
      <c r="AU355" s="1" t="b">
        <v>0</v>
      </c>
      <c r="AV355" s="1" t="b">
        <v>0</v>
      </c>
      <c r="AW355" s="1">
        <v>9.61399999999999</v>
      </c>
      <c r="AX355" s="1">
        <v>11.026</v>
      </c>
      <c r="AY355" s="1" t="b">
        <v>0</v>
      </c>
      <c r="AZ355" s="1" t="b">
        <v>0</v>
      </c>
      <c r="BA355" s="1">
        <v>81.25</v>
      </c>
      <c r="BB355" s="1">
        <v>77.78</v>
      </c>
      <c r="BC355" s="1" t="b">
        <v>0</v>
      </c>
      <c r="BD355" s="1" t="b">
        <v>0</v>
      </c>
      <c r="BE355" s="1">
        <v>11.34</v>
      </c>
      <c r="BF355" s="1">
        <v>13.285</v>
      </c>
      <c r="BG355" s="1" t="b">
        <v>0</v>
      </c>
      <c r="BH355" s="1" t="b">
        <v>0</v>
      </c>
      <c r="BI355" s="1">
        <v>77.78</v>
      </c>
      <c r="BJ355" s="1">
        <v>75.0</v>
      </c>
      <c r="BK355" s="1" t="b">
        <v>0</v>
      </c>
      <c r="BL355" s="1" t="b">
        <v>0</v>
      </c>
      <c r="BM355" s="1">
        <v>13.121</v>
      </c>
      <c r="BN355" s="1">
        <v>14.568</v>
      </c>
      <c r="BO355" s="1" t="b">
        <v>0</v>
      </c>
      <c r="BP355" s="1" t="b">
        <v>0</v>
      </c>
      <c r="BQ355" s="1">
        <v>75.0</v>
      </c>
      <c r="BR355" s="1">
        <v>72.027</v>
      </c>
      <c r="BS355" s="1" t="b">
        <v>0</v>
      </c>
      <c r="BT355" s="1" t="b">
        <v>0</v>
      </c>
      <c r="BU355" s="1" t="s">
        <v>105</v>
      </c>
      <c r="BV355" s="1" t="s">
        <v>105</v>
      </c>
      <c r="BW355" s="1" t="s">
        <v>105</v>
      </c>
      <c r="BX355" s="1" t="s">
        <v>105</v>
      </c>
      <c r="BY355" s="1" t="s">
        <v>105</v>
      </c>
      <c r="BZ355" s="1" t="s">
        <v>105</v>
      </c>
      <c r="CA355" s="1" t="s">
        <v>105</v>
      </c>
      <c r="CB355" s="1" t="s">
        <v>105</v>
      </c>
      <c r="CC355" s="1" t="s">
        <v>105</v>
      </c>
      <c r="CD355" s="1" t="s">
        <v>105</v>
      </c>
      <c r="CE355" s="4"/>
      <c r="CF355" s="4"/>
    </row>
    <row r="356">
      <c r="A356" s="1" t="s">
        <v>82</v>
      </c>
      <c r="B356" s="1" t="s">
        <v>333</v>
      </c>
      <c r="C356" s="1">
        <v>6.0</v>
      </c>
      <c r="D356" s="5" t="s">
        <v>1627</v>
      </c>
      <c r="E356" s="1" t="s">
        <v>1628</v>
      </c>
      <c r="F356" s="1">
        <v>14.0</v>
      </c>
      <c r="G356" s="1">
        <v>-0.1901</v>
      </c>
      <c r="H356" s="1" t="s">
        <v>1629</v>
      </c>
      <c r="I356" s="4" t="b">
        <f>IFERROR(__xludf.DUMMYFUNCTION("IF(H356="""",,REGEXMATCH(H356,""[א-ת]""))"),FALSE)</f>
        <v>0</v>
      </c>
      <c r="J356" s="4"/>
      <c r="K356" s="4"/>
      <c r="L356" s="1">
        <v>0.0</v>
      </c>
      <c r="M356" s="1">
        <v>20.76</v>
      </c>
      <c r="N356" s="1">
        <v>78.57</v>
      </c>
      <c r="O356" s="1">
        <v>5.612142857</v>
      </c>
      <c r="P356" s="4"/>
      <c r="Q356" s="4"/>
      <c r="R356" s="1" t="s">
        <v>89</v>
      </c>
      <c r="S356" s="1" t="s">
        <v>1628</v>
      </c>
      <c r="T356" s="1" t="s">
        <v>333</v>
      </c>
      <c r="U356" s="1">
        <v>7.0</v>
      </c>
      <c r="V356" s="5" t="s">
        <v>1627</v>
      </c>
      <c r="W356" s="1" t="s">
        <v>1628</v>
      </c>
      <c r="X356" s="1" t="s">
        <v>1630</v>
      </c>
      <c r="Y356" s="1" t="s">
        <v>1631</v>
      </c>
      <c r="Z356" s="4"/>
      <c r="AA356" s="4" t="b">
        <f>IFERROR(__xludf.DUMMYFUNCTION("IF(X356="""",,REGEXMATCH(X356,""[א-ת]""))"),FALSE)</f>
        <v>0</v>
      </c>
      <c r="AB356" s="1">
        <v>5.36</v>
      </c>
      <c r="AC356" s="1">
        <v>92.86</v>
      </c>
      <c r="AD356" s="1">
        <v>0.499055803903381</v>
      </c>
      <c r="AE356" s="1">
        <v>0.0</v>
      </c>
      <c r="AF356" s="1">
        <v>-0.1901</v>
      </c>
      <c r="AG356" s="1">
        <v>6.337</v>
      </c>
      <c r="AH356" s="1">
        <v>6.781</v>
      </c>
      <c r="AI356" s="1" t="b">
        <v>0</v>
      </c>
      <c r="AJ356" s="1" t="b">
        <v>1</v>
      </c>
      <c r="AK356" s="1">
        <v>94.182</v>
      </c>
      <c r="AL356" s="1">
        <v>96.508</v>
      </c>
      <c r="AM356" s="1" t="b">
        <v>0</v>
      </c>
      <c r="AN356" s="1" t="b">
        <v>0</v>
      </c>
      <c r="AO356" s="1">
        <v>8.05</v>
      </c>
      <c r="AP356" s="1">
        <v>8.53399999999999</v>
      </c>
      <c r="AQ356" s="1" t="b">
        <v>0</v>
      </c>
      <c r="AR356" s="1" t="b">
        <v>1</v>
      </c>
      <c r="AS356" s="1">
        <v>86.9179999999999</v>
      </c>
      <c r="AT356" s="1">
        <v>87.152</v>
      </c>
      <c r="AU356" s="1" t="b">
        <v>0</v>
      </c>
      <c r="AV356" s="1" t="b">
        <v>1</v>
      </c>
      <c r="AW356" s="1">
        <v>9.61399999999999</v>
      </c>
      <c r="AX356" s="1">
        <v>11.026</v>
      </c>
      <c r="AY356" s="1" t="b">
        <v>0</v>
      </c>
      <c r="AZ356" s="1" t="b">
        <v>1</v>
      </c>
      <c r="BA356" s="1">
        <v>81.25</v>
      </c>
      <c r="BB356" s="1">
        <v>77.78</v>
      </c>
      <c r="BC356" s="1" t="b">
        <v>0</v>
      </c>
      <c r="BD356" s="1" t="b">
        <v>1</v>
      </c>
      <c r="BE356" s="1">
        <v>11.34</v>
      </c>
      <c r="BF356" s="1">
        <v>13.285</v>
      </c>
      <c r="BG356" s="1" t="b">
        <v>0</v>
      </c>
      <c r="BH356" s="1" t="b">
        <v>1</v>
      </c>
      <c r="BI356" s="1">
        <v>77.78</v>
      </c>
      <c r="BJ356" s="1">
        <v>75.0</v>
      </c>
      <c r="BK356" s="1" t="b">
        <v>1</v>
      </c>
      <c r="BL356" s="1" t="b">
        <v>1</v>
      </c>
      <c r="BM356" s="1">
        <v>13.121</v>
      </c>
      <c r="BN356" s="1">
        <v>14.568</v>
      </c>
      <c r="BO356" s="1" t="b">
        <v>0</v>
      </c>
      <c r="BP356" s="1" t="b">
        <v>1</v>
      </c>
      <c r="BQ356" s="1">
        <v>75.0</v>
      </c>
      <c r="BR356" s="1">
        <v>72.027</v>
      </c>
      <c r="BS356" s="1" t="b">
        <v>1</v>
      </c>
      <c r="BT356" s="1" t="b">
        <v>1</v>
      </c>
      <c r="BU356" s="1" t="s">
        <v>157</v>
      </c>
      <c r="BV356" s="1" t="s">
        <v>105</v>
      </c>
      <c r="BW356" s="1" t="s">
        <v>157</v>
      </c>
      <c r="BX356" s="1" t="s">
        <v>157</v>
      </c>
      <c r="BY356" s="1" t="s">
        <v>157</v>
      </c>
      <c r="BZ356" s="1" t="s">
        <v>157</v>
      </c>
      <c r="CA356" s="1" t="s">
        <v>157</v>
      </c>
      <c r="CB356" s="1" t="s">
        <v>104</v>
      </c>
      <c r="CC356" s="1" t="s">
        <v>157</v>
      </c>
      <c r="CD356" s="1" t="s">
        <v>104</v>
      </c>
      <c r="CE356" s="4"/>
      <c r="CF356" s="4"/>
    </row>
    <row r="357" hidden="1">
      <c r="A357" s="1" t="s">
        <v>82</v>
      </c>
      <c r="B357" s="1" t="s">
        <v>145</v>
      </c>
      <c r="C357" s="1">
        <v>13.0</v>
      </c>
      <c r="D357" s="5" t="s">
        <v>1632</v>
      </c>
      <c r="E357" s="1" t="s">
        <v>1633</v>
      </c>
      <c r="F357" s="1">
        <v>60.0</v>
      </c>
      <c r="G357" s="1">
        <v>-0.1779</v>
      </c>
      <c r="H357" s="1" t="s">
        <v>1634</v>
      </c>
      <c r="I357" s="4" t="b">
        <f>IFERROR(__xludf.DUMMYFUNCTION("IF(H357="""",,REGEXMATCH(H357,""[א-ת]""))"),FALSE)</f>
        <v>0</v>
      </c>
      <c r="J357" s="4"/>
      <c r="K357" s="4"/>
      <c r="L357" s="1">
        <v>-0.1531</v>
      </c>
      <c r="M357" s="1">
        <v>20.82</v>
      </c>
      <c r="N357" s="1">
        <v>80.0</v>
      </c>
      <c r="O357" s="1">
        <v>1.333333333</v>
      </c>
      <c r="P357" s="4"/>
      <c r="Q357" s="4"/>
      <c r="R357" s="1" t="s">
        <v>89</v>
      </c>
      <c r="S357" s="1" t="s">
        <v>1633</v>
      </c>
      <c r="T357" s="1" t="s">
        <v>145</v>
      </c>
      <c r="U357" s="1">
        <v>14.0</v>
      </c>
      <c r="V357" s="5" t="s">
        <v>1632</v>
      </c>
      <c r="W357" s="1" t="s">
        <v>1633</v>
      </c>
      <c r="X357" s="1" t="s">
        <v>1635</v>
      </c>
      <c r="Y357" s="4"/>
      <c r="Z357" s="4"/>
      <c r="AA357" s="4" t="b">
        <f>IFERROR(__xludf.DUMMYFUNCTION("IF(X357="""",,REGEXMATCH(X357,""[א-ת]""))"),FALSE)</f>
        <v>0</v>
      </c>
      <c r="AB357" s="1">
        <v>32.31</v>
      </c>
      <c r="AC357" s="1">
        <v>60.0</v>
      </c>
      <c r="AD357" s="1">
        <v>0.420157192211968</v>
      </c>
      <c r="AE357" s="1">
        <v>-0.5859</v>
      </c>
      <c r="AF357" s="1">
        <v>-0.1779</v>
      </c>
      <c r="AG357" s="1">
        <v>6.337</v>
      </c>
      <c r="AH357" s="1">
        <v>6.781</v>
      </c>
      <c r="AI357" s="1" t="b">
        <v>0</v>
      </c>
      <c r="AJ357" s="1" t="b">
        <v>0</v>
      </c>
      <c r="AK357" s="1">
        <v>94.182</v>
      </c>
      <c r="AL357" s="1">
        <v>96.508</v>
      </c>
      <c r="AM357" s="1" t="b">
        <v>0</v>
      </c>
      <c r="AN357" s="1" t="b">
        <v>0</v>
      </c>
      <c r="AO357" s="1">
        <v>8.05</v>
      </c>
      <c r="AP357" s="1">
        <v>8.53399999999999</v>
      </c>
      <c r="AQ357" s="1" t="b">
        <v>0</v>
      </c>
      <c r="AR357" s="1" t="b">
        <v>0</v>
      </c>
      <c r="AS357" s="1">
        <v>86.9179999999999</v>
      </c>
      <c r="AT357" s="1">
        <v>87.152</v>
      </c>
      <c r="AU357" s="1" t="b">
        <v>0</v>
      </c>
      <c r="AV357" s="1" t="b">
        <v>0</v>
      </c>
      <c r="AW357" s="1">
        <v>9.61399999999999</v>
      </c>
      <c r="AX357" s="1">
        <v>11.026</v>
      </c>
      <c r="AY357" s="1" t="b">
        <v>0</v>
      </c>
      <c r="AZ357" s="1" t="b">
        <v>0</v>
      </c>
      <c r="BA357" s="1">
        <v>81.25</v>
      </c>
      <c r="BB357" s="1">
        <v>77.78</v>
      </c>
      <c r="BC357" s="1" t="b">
        <v>0</v>
      </c>
      <c r="BD357" s="1" t="b">
        <v>0</v>
      </c>
      <c r="BE357" s="1">
        <v>11.34</v>
      </c>
      <c r="BF357" s="1">
        <v>13.285</v>
      </c>
      <c r="BG357" s="1" t="b">
        <v>0</v>
      </c>
      <c r="BH357" s="1" t="b">
        <v>0</v>
      </c>
      <c r="BI357" s="1">
        <v>77.78</v>
      </c>
      <c r="BJ357" s="1">
        <v>75.0</v>
      </c>
      <c r="BK357" s="1" t="b">
        <v>1</v>
      </c>
      <c r="BL357" s="1" t="b">
        <v>0</v>
      </c>
      <c r="BM357" s="1">
        <v>13.121</v>
      </c>
      <c r="BN357" s="1">
        <v>14.568</v>
      </c>
      <c r="BO357" s="1" t="b">
        <v>0</v>
      </c>
      <c r="BP357" s="1" t="b">
        <v>0</v>
      </c>
      <c r="BQ357" s="1">
        <v>75.0</v>
      </c>
      <c r="BR357" s="1">
        <v>72.027</v>
      </c>
      <c r="BS357" s="1" t="b">
        <v>1</v>
      </c>
      <c r="BT357" s="1" t="b">
        <v>0</v>
      </c>
      <c r="BU357" s="1" t="s">
        <v>105</v>
      </c>
      <c r="BV357" s="1" t="s">
        <v>105</v>
      </c>
      <c r="BW357" s="1" t="s">
        <v>105</v>
      </c>
      <c r="BX357" s="1" t="s">
        <v>105</v>
      </c>
      <c r="BY357" s="1" t="s">
        <v>105</v>
      </c>
      <c r="BZ357" s="1" t="s">
        <v>105</v>
      </c>
      <c r="CA357" s="1" t="s">
        <v>105</v>
      </c>
      <c r="CB357" s="1" t="s">
        <v>91</v>
      </c>
      <c r="CC357" s="1" t="s">
        <v>105</v>
      </c>
      <c r="CD357" s="1" t="s">
        <v>91</v>
      </c>
      <c r="CE357" s="4"/>
      <c r="CF357" s="4"/>
    </row>
    <row r="358" hidden="1">
      <c r="A358" s="1" t="s">
        <v>82</v>
      </c>
      <c r="B358" s="1" t="s">
        <v>92</v>
      </c>
      <c r="C358" s="1">
        <v>14.0</v>
      </c>
      <c r="D358" s="5" t="s">
        <v>1636</v>
      </c>
      <c r="E358" s="1" t="s">
        <v>1637</v>
      </c>
      <c r="F358" s="1">
        <v>68.0</v>
      </c>
      <c r="G358" s="1">
        <v>0.1027</v>
      </c>
      <c r="H358" s="1" t="s">
        <v>1638</v>
      </c>
      <c r="I358" s="4" t="b">
        <f>IFERROR(__xludf.DUMMYFUNCTION("IF(H358="""",,REGEXMATCH(H358,""[א-ת]""))"),FALSE)</f>
        <v>0</v>
      </c>
      <c r="J358" s="4"/>
      <c r="K358" s="4"/>
      <c r="L358" s="1">
        <v>0.0</v>
      </c>
      <c r="M358" s="1">
        <v>20.87</v>
      </c>
      <c r="N358" s="1">
        <v>61.76</v>
      </c>
      <c r="O358" s="1">
        <v>0.9082352941</v>
      </c>
      <c r="P358" s="4"/>
      <c r="Q358" s="4"/>
      <c r="R358" s="1" t="s">
        <v>96</v>
      </c>
      <c r="S358" s="1" t="s">
        <v>1637</v>
      </c>
      <c r="T358" s="1" t="s">
        <v>92</v>
      </c>
      <c r="U358" s="1">
        <v>15.0</v>
      </c>
      <c r="V358" s="5" t="s">
        <v>1636</v>
      </c>
      <c r="W358" s="1" t="s">
        <v>1637</v>
      </c>
      <c r="X358" s="1" t="s">
        <v>1639</v>
      </c>
      <c r="Y358" s="4"/>
      <c r="Z358" s="4"/>
      <c r="AA358" s="4" t="b">
        <f>IFERROR(__xludf.DUMMYFUNCTION("IF(X358="""",,REGEXMATCH(X358,""[א-ת]""))"),FALSE)</f>
        <v>0</v>
      </c>
      <c r="AB358" s="1">
        <v>13.3</v>
      </c>
      <c r="AC358" s="1">
        <v>67.65</v>
      </c>
      <c r="AD358" s="1">
        <v>0.42604964684715</v>
      </c>
      <c r="AE358" s="1">
        <v>0.0</v>
      </c>
      <c r="AF358" s="1">
        <v>0.1027</v>
      </c>
      <c r="AG358" s="1">
        <v>6.337</v>
      </c>
      <c r="AH358" s="1">
        <v>6.781</v>
      </c>
      <c r="AI358" s="1" t="b">
        <v>0</v>
      </c>
      <c r="AJ358" s="1" t="b">
        <v>0</v>
      </c>
      <c r="AK358" s="1">
        <v>94.182</v>
      </c>
      <c r="AL358" s="1">
        <v>96.508</v>
      </c>
      <c r="AM358" s="1" t="b">
        <v>0</v>
      </c>
      <c r="AN358" s="1" t="b">
        <v>0</v>
      </c>
      <c r="AO358" s="1">
        <v>8.05</v>
      </c>
      <c r="AP358" s="1">
        <v>8.53399999999999</v>
      </c>
      <c r="AQ358" s="1" t="b">
        <v>0</v>
      </c>
      <c r="AR358" s="1" t="b">
        <v>0</v>
      </c>
      <c r="AS358" s="1">
        <v>86.9179999999999</v>
      </c>
      <c r="AT358" s="1">
        <v>87.152</v>
      </c>
      <c r="AU358" s="1" t="b">
        <v>0</v>
      </c>
      <c r="AV358" s="1" t="b">
        <v>0</v>
      </c>
      <c r="AW358" s="1">
        <v>9.61399999999999</v>
      </c>
      <c r="AX358" s="1">
        <v>11.026</v>
      </c>
      <c r="AY358" s="1" t="b">
        <v>0</v>
      </c>
      <c r="AZ358" s="1" t="b">
        <v>0</v>
      </c>
      <c r="BA358" s="1">
        <v>81.25</v>
      </c>
      <c r="BB358" s="1">
        <v>77.78</v>
      </c>
      <c r="BC358" s="1" t="b">
        <v>0</v>
      </c>
      <c r="BD358" s="1" t="b">
        <v>0</v>
      </c>
      <c r="BE358" s="1">
        <v>11.34</v>
      </c>
      <c r="BF358" s="1">
        <v>13.285</v>
      </c>
      <c r="BG358" s="1" t="b">
        <v>0</v>
      </c>
      <c r="BH358" s="1" t="b">
        <v>0</v>
      </c>
      <c r="BI358" s="1">
        <v>77.78</v>
      </c>
      <c r="BJ358" s="1">
        <v>75.0</v>
      </c>
      <c r="BK358" s="1" t="b">
        <v>0</v>
      </c>
      <c r="BL358" s="1" t="b">
        <v>0</v>
      </c>
      <c r="BM358" s="1">
        <v>13.121</v>
      </c>
      <c r="BN358" s="1">
        <v>14.568</v>
      </c>
      <c r="BO358" s="1" t="b">
        <v>0</v>
      </c>
      <c r="BP358" s="1" t="b">
        <v>1</v>
      </c>
      <c r="BQ358" s="1">
        <v>75.0</v>
      </c>
      <c r="BR358" s="1">
        <v>72.027</v>
      </c>
      <c r="BS358" s="1" t="b">
        <v>0</v>
      </c>
      <c r="BT358" s="1" t="b">
        <v>0</v>
      </c>
      <c r="BU358" s="1" t="s">
        <v>105</v>
      </c>
      <c r="BV358" s="1" t="s">
        <v>105</v>
      </c>
      <c r="BW358" s="1" t="s">
        <v>105</v>
      </c>
      <c r="BX358" s="1" t="s">
        <v>105</v>
      </c>
      <c r="BY358" s="1" t="s">
        <v>105</v>
      </c>
      <c r="BZ358" s="1" t="s">
        <v>105</v>
      </c>
      <c r="CA358" s="1" t="s">
        <v>105</v>
      </c>
      <c r="CB358" s="1" t="s">
        <v>105</v>
      </c>
      <c r="CC358" s="1" t="s">
        <v>157</v>
      </c>
      <c r="CD358" s="1" t="s">
        <v>105</v>
      </c>
      <c r="CE358" s="4"/>
      <c r="CF358" s="4"/>
    </row>
    <row r="359" hidden="1">
      <c r="A359" s="1" t="s">
        <v>82</v>
      </c>
      <c r="B359" s="1" t="s">
        <v>333</v>
      </c>
      <c r="C359" s="1">
        <v>26.0</v>
      </c>
      <c r="D359" s="5" t="s">
        <v>1640</v>
      </c>
      <c r="E359" s="1" t="s">
        <v>1641</v>
      </c>
      <c r="F359" s="1">
        <v>41.0</v>
      </c>
      <c r="G359" s="1">
        <v>-0.8176</v>
      </c>
      <c r="H359" s="1" t="s">
        <v>1642</v>
      </c>
      <c r="I359" s="4" t="b">
        <f>IFERROR(__xludf.DUMMYFUNCTION("IF(H359="""",,REGEXMATCH(H359,""[א-ת]""))"),FALSE)</f>
        <v>0</v>
      </c>
      <c r="J359" s="4"/>
      <c r="K359" s="4"/>
      <c r="L359" s="1">
        <v>-0.8805</v>
      </c>
      <c r="M359" s="1">
        <v>20.89</v>
      </c>
      <c r="N359" s="1">
        <v>65.85</v>
      </c>
      <c r="O359" s="1">
        <v>1.606097561</v>
      </c>
      <c r="P359" s="4"/>
      <c r="Q359" s="4"/>
      <c r="R359" s="1" t="s">
        <v>89</v>
      </c>
      <c r="S359" s="1" t="s">
        <v>1641</v>
      </c>
      <c r="T359" s="1" t="s">
        <v>333</v>
      </c>
      <c r="U359" s="1">
        <v>27.0</v>
      </c>
      <c r="V359" s="5" t="s">
        <v>1640</v>
      </c>
      <c r="W359" s="1" t="s">
        <v>1641</v>
      </c>
      <c r="X359" s="1" t="s">
        <v>1643</v>
      </c>
      <c r="Y359" s="4"/>
      <c r="Z359" s="4"/>
      <c r="AA359" s="4" t="b">
        <f>IFERROR(__xludf.DUMMYFUNCTION("IF(X359="""",,REGEXMATCH(X359,""[א-ת]""))"),FALSE)</f>
        <v>0</v>
      </c>
      <c r="AB359" s="1">
        <v>16.38</v>
      </c>
      <c r="AC359" s="1">
        <v>65.85</v>
      </c>
      <c r="AD359" s="1">
        <v>0.291321862001298</v>
      </c>
      <c r="AE359" s="1">
        <v>-0.3382</v>
      </c>
      <c r="AF359" s="1">
        <v>-0.8176</v>
      </c>
      <c r="AG359" s="1">
        <v>6.337</v>
      </c>
      <c r="AH359" s="1">
        <v>6.781</v>
      </c>
      <c r="AI359" s="1" t="b">
        <v>0</v>
      </c>
      <c r="AJ359" s="1" t="b">
        <v>0</v>
      </c>
      <c r="AK359" s="1">
        <v>94.182</v>
      </c>
      <c r="AL359" s="1">
        <v>96.508</v>
      </c>
      <c r="AM359" s="1" t="b">
        <v>0</v>
      </c>
      <c r="AN359" s="1" t="b">
        <v>0</v>
      </c>
      <c r="AO359" s="1">
        <v>8.05</v>
      </c>
      <c r="AP359" s="1">
        <v>8.53399999999999</v>
      </c>
      <c r="AQ359" s="1" t="b">
        <v>0</v>
      </c>
      <c r="AR359" s="1" t="b">
        <v>0</v>
      </c>
      <c r="AS359" s="1">
        <v>86.9179999999999</v>
      </c>
      <c r="AT359" s="1">
        <v>87.152</v>
      </c>
      <c r="AU359" s="1" t="b">
        <v>0</v>
      </c>
      <c r="AV359" s="1" t="b">
        <v>0</v>
      </c>
      <c r="AW359" s="1">
        <v>9.61399999999999</v>
      </c>
      <c r="AX359" s="1">
        <v>11.026</v>
      </c>
      <c r="AY359" s="1" t="b">
        <v>0</v>
      </c>
      <c r="AZ359" s="1" t="b">
        <v>0</v>
      </c>
      <c r="BA359" s="1">
        <v>81.25</v>
      </c>
      <c r="BB359" s="1">
        <v>77.78</v>
      </c>
      <c r="BC359" s="1" t="b">
        <v>0</v>
      </c>
      <c r="BD359" s="1" t="b">
        <v>0</v>
      </c>
      <c r="BE359" s="1">
        <v>11.34</v>
      </c>
      <c r="BF359" s="1">
        <v>13.285</v>
      </c>
      <c r="BG359" s="1" t="b">
        <v>0</v>
      </c>
      <c r="BH359" s="1" t="b">
        <v>0</v>
      </c>
      <c r="BI359" s="1">
        <v>77.78</v>
      </c>
      <c r="BJ359" s="1">
        <v>75.0</v>
      </c>
      <c r="BK359" s="1" t="b">
        <v>0</v>
      </c>
      <c r="BL359" s="1" t="b">
        <v>0</v>
      </c>
      <c r="BM359" s="1">
        <v>13.121</v>
      </c>
      <c r="BN359" s="1">
        <v>14.568</v>
      </c>
      <c r="BO359" s="1" t="b">
        <v>0</v>
      </c>
      <c r="BP359" s="1" t="b">
        <v>0</v>
      </c>
      <c r="BQ359" s="1">
        <v>75.0</v>
      </c>
      <c r="BR359" s="1">
        <v>72.027</v>
      </c>
      <c r="BS359" s="1" t="b">
        <v>0</v>
      </c>
      <c r="BT359" s="1" t="b">
        <v>0</v>
      </c>
      <c r="BU359" s="1" t="s">
        <v>105</v>
      </c>
      <c r="BV359" s="1" t="s">
        <v>105</v>
      </c>
      <c r="BW359" s="1" t="s">
        <v>105</v>
      </c>
      <c r="BX359" s="1" t="s">
        <v>105</v>
      </c>
      <c r="BY359" s="1" t="s">
        <v>105</v>
      </c>
      <c r="BZ359" s="1" t="s">
        <v>105</v>
      </c>
      <c r="CA359" s="1" t="s">
        <v>105</v>
      </c>
      <c r="CB359" s="1" t="s">
        <v>105</v>
      </c>
      <c r="CC359" s="1" t="s">
        <v>105</v>
      </c>
      <c r="CD359" s="1" t="s">
        <v>105</v>
      </c>
      <c r="CE359" s="4"/>
      <c r="CF359" s="4"/>
    </row>
    <row r="360" hidden="1">
      <c r="A360" s="1" t="s">
        <v>82</v>
      </c>
      <c r="B360" s="1" t="s">
        <v>111</v>
      </c>
      <c r="C360" s="1">
        <v>22.0</v>
      </c>
      <c r="D360" s="5" t="s">
        <v>1644</v>
      </c>
      <c r="E360" s="1" t="s">
        <v>1645</v>
      </c>
      <c r="F360" s="1">
        <v>71.0</v>
      </c>
      <c r="G360" s="1">
        <v>-0.7184</v>
      </c>
      <c r="H360" s="1" t="s">
        <v>1646</v>
      </c>
      <c r="I360" s="4" t="b">
        <f>IFERROR(__xludf.DUMMYFUNCTION("IF(H360="""",,REGEXMATCH(H360,""[א-ת]""))"),FALSE)</f>
        <v>0</v>
      </c>
      <c r="J360" s="4"/>
      <c r="K360" s="4"/>
      <c r="L360" s="1">
        <v>-0.0572</v>
      </c>
      <c r="M360" s="1">
        <v>20.93</v>
      </c>
      <c r="N360" s="1">
        <v>71.83</v>
      </c>
      <c r="O360" s="1">
        <v>1.011690141</v>
      </c>
      <c r="P360" s="4"/>
      <c r="Q360" s="4"/>
      <c r="R360" s="1" t="s">
        <v>89</v>
      </c>
      <c r="S360" s="1" t="s">
        <v>1645</v>
      </c>
      <c r="T360" s="1" t="s">
        <v>111</v>
      </c>
      <c r="U360" s="1">
        <v>23.0</v>
      </c>
      <c r="V360" s="5" t="s">
        <v>1644</v>
      </c>
      <c r="W360" s="1" t="s">
        <v>1645</v>
      </c>
      <c r="X360" s="1" t="s">
        <v>1647</v>
      </c>
      <c r="Y360" s="4"/>
      <c r="Z360" s="4"/>
      <c r="AA360" s="4" t="b">
        <f>IFERROR(__xludf.DUMMYFUNCTION("IF(X360="""",,REGEXMATCH(X360,""[א-ת]""))"),FALSE)</f>
        <v>0</v>
      </c>
      <c r="AB360" s="1">
        <v>21.73</v>
      </c>
      <c r="AC360" s="1">
        <v>61.97</v>
      </c>
      <c r="AD360" s="1">
        <v>0.699099317081201</v>
      </c>
      <c r="AE360" s="1">
        <v>0.0</v>
      </c>
      <c r="AF360" s="1">
        <v>-0.7184</v>
      </c>
      <c r="AG360" s="1">
        <v>6.337</v>
      </c>
      <c r="AH360" s="1">
        <v>6.781</v>
      </c>
      <c r="AI360" s="1" t="b">
        <v>0</v>
      </c>
      <c r="AJ360" s="1" t="b">
        <v>0</v>
      </c>
      <c r="AK360" s="1">
        <v>94.182</v>
      </c>
      <c r="AL360" s="1">
        <v>96.508</v>
      </c>
      <c r="AM360" s="1" t="b">
        <v>0</v>
      </c>
      <c r="AN360" s="1" t="b">
        <v>0</v>
      </c>
      <c r="AO360" s="1">
        <v>8.05</v>
      </c>
      <c r="AP360" s="1">
        <v>8.53399999999999</v>
      </c>
      <c r="AQ360" s="1" t="b">
        <v>0</v>
      </c>
      <c r="AR360" s="1" t="b">
        <v>0</v>
      </c>
      <c r="AS360" s="1">
        <v>86.9179999999999</v>
      </c>
      <c r="AT360" s="1">
        <v>87.152</v>
      </c>
      <c r="AU360" s="1" t="b">
        <v>0</v>
      </c>
      <c r="AV360" s="1" t="b">
        <v>0</v>
      </c>
      <c r="AW360" s="1">
        <v>9.61399999999999</v>
      </c>
      <c r="AX360" s="1">
        <v>11.026</v>
      </c>
      <c r="AY360" s="1" t="b">
        <v>0</v>
      </c>
      <c r="AZ360" s="1" t="b">
        <v>0</v>
      </c>
      <c r="BA360" s="1">
        <v>81.25</v>
      </c>
      <c r="BB360" s="1">
        <v>77.78</v>
      </c>
      <c r="BC360" s="1" t="b">
        <v>0</v>
      </c>
      <c r="BD360" s="1" t="b">
        <v>0</v>
      </c>
      <c r="BE360" s="1">
        <v>11.34</v>
      </c>
      <c r="BF360" s="1">
        <v>13.285</v>
      </c>
      <c r="BG360" s="1" t="b">
        <v>0</v>
      </c>
      <c r="BH360" s="1" t="b">
        <v>0</v>
      </c>
      <c r="BI360" s="1">
        <v>77.78</v>
      </c>
      <c r="BJ360" s="1">
        <v>75.0</v>
      </c>
      <c r="BK360" s="1" t="b">
        <v>0</v>
      </c>
      <c r="BL360" s="1" t="b">
        <v>0</v>
      </c>
      <c r="BM360" s="1">
        <v>13.121</v>
      </c>
      <c r="BN360" s="1">
        <v>14.568</v>
      </c>
      <c r="BO360" s="1" t="b">
        <v>0</v>
      </c>
      <c r="BP360" s="1" t="b">
        <v>0</v>
      </c>
      <c r="BQ360" s="1">
        <v>75.0</v>
      </c>
      <c r="BR360" s="1">
        <v>72.027</v>
      </c>
      <c r="BS360" s="1" t="b">
        <v>0</v>
      </c>
      <c r="BT360" s="1" t="b">
        <v>0</v>
      </c>
      <c r="BU360" s="1" t="s">
        <v>105</v>
      </c>
      <c r="BV360" s="1" t="s">
        <v>105</v>
      </c>
      <c r="BW360" s="1" t="s">
        <v>105</v>
      </c>
      <c r="BX360" s="1" t="s">
        <v>105</v>
      </c>
      <c r="BY360" s="1" t="s">
        <v>105</v>
      </c>
      <c r="BZ360" s="1" t="s">
        <v>105</v>
      </c>
      <c r="CA360" s="1" t="s">
        <v>105</v>
      </c>
      <c r="CB360" s="1" t="s">
        <v>105</v>
      </c>
      <c r="CC360" s="1" t="s">
        <v>105</v>
      </c>
      <c r="CD360" s="1" t="s">
        <v>105</v>
      </c>
      <c r="CE360" s="4"/>
      <c r="CF360" s="4"/>
    </row>
    <row r="361" hidden="1">
      <c r="A361" s="1" t="s">
        <v>82</v>
      </c>
      <c r="B361" s="1" t="s">
        <v>262</v>
      </c>
      <c r="C361" s="1">
        <v>18.0</v>
      </c>
      <c r="D361" s="5" t="s">
        <v>1648</v>
      </c>
      <c r="E361" s="1" t="s">
        <v>1649</v>
      </c>
      <c r="F361" s="1">
        <v>27.0</v>
      </c>
      <c r="G361" s="1">
        <v>0.0</v>
      </c>
      <c r="H361" s="1" t="s">
        <v>1650</v>
      </c>
      <c r="I361" s="4" t="b">
        <f>IFERROR(__xludf.DUMMYFUNCTION("IF(H361="""",,REGEXMATCH(H361,""[א-ת]""))"),FALSE)</f>
        <v>0</v>
      </c>
      <c r="J361" s="4"/>
      <c r="K361" s="4"/>
      <c r="L361" s="1">
        <v>0.0</v>
      </c>
      <c r="M361" s="1">
        <v>21.0</v>
      </c>
      <c r="N361" s="1">
        <v>44.44</v>
      </c>
      <c r="O361" s="1">
        <v>1.645925926</v>
      </c>
      <c r="P361" s="4"/>
      <c r="Q361" s="4"/>
      <c r="R361" s="1" t="s">
        <v>96</v>
      </c>
      <c r="S361" s="1" t="s">
        <v>1649</v>
      </c>
      <c r="T361" s="1" t="s">
        <v>262</v>
      </c>
      <c r="U361" s="1">
        <v>19.0</v>
      </c>
      <c r="V361" s="5" t="s">
        <v>1648</v>
      </c>
      <c r="W361" s="1" t="s">
        <v>1649</v>
      </c>
      <c r="X361" s="1" t="s">
        <v>1651</v>
      </c>
      <c r="Y361" s="4"/>
      <c r="Z361" s="4"/>
      <c r="AA361" s="4" t="b">
        <f>IFERROR(__xludf.DUMMYFUNCTION("IF(X361="""",,REGEXMATCH(X361,""[א-ת]""))"),FALSE)</f>
        <v>0</v>
      </c>
      <c r="AB361" s="1">
        <v>19.76</v>
      </c>
      <c r="AC361" s="1">
        <v>51.85</v>
      </c>
      <c r="AD361" s="1">
        <v>0.305057306638815</v>
      </c>
      <c r="AE361" s="1">
        <v>0.0</v>
      </c>
      <c r="AF361" s="1">
        <v>0.0</v>
      </c>
      <c r="AG361" s="1">
        <v>6.337</v>
      </c>
      <c r="AH361" s="1">
        <v>6.781</v>
      </c>
      <c r="AI361" s="1" t="b">
        <v>0</v>
      </c>
      <c r="AJ361" s="1" t="b">
        <v>0</v>
      </c>
      <c r="AK361" s="1">
        <v>94.182</v>
      </c>
      <c r="AL361" s="1">
        <v>96.508</v>
      </c>
      <c r="AM361" s="1" t="b">
        <v>0</v>
      </c>
      <c r="AN361" s="1" t="b">
        <v>0</v>
      </c>
      <c r="AO361" s="1">
        <v>8.05</v>
      </c>
      <c r="AP361" s="1">
        <v>8.53399999999999</v>
      </c>
      <c r="AQ361" s="1" t="b">
        <v>0</v>
      </c>
      <c r="AR361" s="1" t="b">
        <v>0</v>
      </c>
      <c r="AS361" s="1">
        <v>86.9179999999999</v>
      </c>
      <c r="AT361" s="1">
        <v>87.152</v>
      </c>
      <c r="AU361" s="1" t="b">
        <v>0</v>
      </c>
      <c r="AV361" s="1" t="b">
        <v>0</v>
      </c>
      <c r="AW361" s="1">
        <v>9.61399999999999</v>
      </c>
      <c r="AX361" s="1">
        <v>11.026</v>
      </c>
      <c r="AY361" s="1" t="b">
        <v>0</v>
      </c>
      <c r="AZ361" s="1" t="b">
        <v>0</v>
      </c>
      <c r="BA361" s="1">
        <v>81.25</v>
      </c>
      <c r="BB361" s="1">
        <v>77.78</v>
      </c>
      <c r="BC361" s="1" t="b">
        <v>0</v>
      </c>
      <c r="BD361" s="1" t="b">
        <v>0</v>
      </c>
      <c r="BE361" s="1">
        <v>11.34</v>
      </c>
      <c r="BF361" s="1">
        <v>13.285</v>
      </c>
      <c r="BG361" s="1" t="b">
        <v>0</v>
      </c>
      <c r="BH361" s="1" t="b">
        <v>0</v>
      </c>
      <c r="BI361" s="1">
        <v>77.78</v>
      </c>
      <c r="BJ361" s="1">
        <v>75.0</v>
      </c>
      <c r="BK361" s="1" t="b">
        <v>0</v>
      </c>
      <c r="BL361" s="1" t="b">
        <v>0</v>
      </c>
      <c r="BM361" s="1">
        <v>13.121</v>
      </c>
      <c r="BN361" s="1">
        <v>14.568</v>
      </c>
      <c r="BO361" s="1" t="b">
        <v>0</v>
      </c>
      <c r="BP361" s="1" t="b">
        <v>0</v>
      </c>
      <c r="BQ361" s="1">
        <v>75.0</v>
      </c>
      <c r="BR361" s="1">
        <v>72.027</v>
      </c>
      <c r="BS361" s="1" t="b">
        <v>0</v>
      </c>
      <c r="BT361" s="1" t="b">
        <v>0</v>
      </c>
      <c r="BU361" s="1" t="s">
        <v>105</v>
      </c>
      <c r="BV361" s="1" t="s">
        <v>105</v>
      </c>
      <c r="BW361" s="1" t="s">
        <v>105</v>
      </c>
      <c r="BX361" s="1" t="s">
        <v>105</v>
      </c>
      <c r="BY361" s="1" t="s">
        <v>105</v>
      </c>
      <c r="BZ361" s="1" t="s">
        <v>105</v>
      </c>
      <c r="CA361" s="1" t="s">
        <v>105</v>
      </c>
      <c r="CB361" s="1" t="s">
        <v>105</v>
      </c>
      <c r="CC361" s="1" t="s">
        <v>105</v>
      </c>
      <c r="CD361" s="1" t="s">
        <v>105</v>
      </c>
      <c r="CE361" s="4"/>
      <c r="CF361" s="4"/>
    </row>
    <row r="362" hidden="1">
      <c r="A362" s="1" t="s">
        <v>82</v>
      </c>
      <c r="B362" s="1" t="s">
        <v>333</v>
      </c>
      <c r="C362" s="1">
        <v>8.0</v>
      </c>
      <c r="D362" s="5" t="s">
        <v>1652</v>
      </c>
      <c r="E362" s="1" t="s">
        <v>1653</v>
      </c>
      <c r="F362" s="1">
        <v>21.0</v>
      </c>
      <c r="G362" s="1">
        <v>0.2755</v>
      </c>
      <c r="H362" s="1" t="s">
        <v>1654</v>
      </c>
      <c r="I362" s="4" t="b">
        <f>IFERROR(__xludf.DUMMYFUNCTION("IF(H362="""",,REGEXMATCH(H362,""[א-ת]""))"),FALSE)</f>
        <v>0</v>
      </c>
      <c r="J362" s="4"/>
      <c r="K362" s="4"/>
      <c r="L362" s="1">
        <v>0.2755</v>
      </c>
      <c r="M362" s="1">
        <v>21.07</v>
      </c>
      <c r="N362" s="1">
        <v>80.95</v>
      </c>
      <c r="O362" s="1">
        <v>3.854761905</v>
      </c>
      <c r="P362" s="4"/>
      <c r="Q362" s="4"/>
      <c r="R362" s="1" t="s">
        <v>89</v>
      </c>
      <c r="S362" s="1" t="s">
        <v>1653</v>
      </c>
      <c r="T362" s="1" t="s">
        <v>333</v>
      </c>
      <c r="U362" s="1">
        <v>9.0</v>
      </c>
      <c r="V362" s="5" t="s">
        <v>1652</v>
      </c>
      <c r="W362" s="1" t="s">
        <v>1653</v>
      </c>
      <c r="X362" s="1" t="s">
        <v>1655</v>
      </c>
      <c r="Y362" s="4"/>
      <c r="Z362" s="4"/>
      <c r="AA362" s="4" t="b">
        <f>IFERROR(__xludf.DUMMYFUNCTION("IF(X362="""",,REGEXMATCH(X362,""[א-ת]""))"),TRUE)</f>
        <v>1</v>
      </c>
      <c r="AB362" s="1">
        <v>10.08</v>
      </c>
      <c r="AC362" s="1">
        <v>128.57</v>
      </c>
      <c r="AD362" s="1">
        <v>0.398471216542128</v>
      </c>
      <c r="AE362" s="1">
        <v>0.2755</v>
      </c>
      <c r="AF362" s="1">
        <v>0.2755</v>
      </c>
      <c r="AG362" s="1">
        <v>6.337</v>
      </c>
      <c r="AH362" s="1">
        <v>6.781</v>
      </c>
      <c r="AI362" s="1" t="b">
        <v>0</v>
      </c>
      <c r="AJ362" s="1" t="b">
        <v>0</v>
      </c>
      <c r="AK362" s="1">
        <v>94.182</v>
      </c>
      <c r="AL362" s="1">
        <v>96.508</v>
      </c>
      <c r="AM362" s="1" t="b">
        <v>0</v>
      </c>
      <c r="AN362" s="1" t="b">
        <v>1</v>
      </c>
      <c r="AO362" s="1">
        <v>8.05</v>
      </c>
      <c r="AP362" s="1">
        <v>8.53399999999999</v>
      </c>
      <c r="AQ362" s="1" t="b">
        <v>0</v>
      </c>
      <c r="AR362" s="1" t="b">
        <v>0</v>
      </c>
      <c r="AS362" s="1">
        <v>86.9179999999999</v>
      </c>
      <c r="AT362" s="1">
        <v>87.152</v>
      </c>
      <c r="AU362" s="1" t="b">
        <v>0</v>
      </c>
      <c r="AV362" s="1" t="b">
        <v>1</v>
      </c>
      <c r="AW362" s="1">
        <v>9.61399999999999</v>
      </c>
      <c r="AX362" s="1">
        <v>11.026</v>
      </c>
      <c r="AY362" s="1" t="b">
        <v>0</v>
      </c>
      <c r="AZ362" s="1" t="b">
        <v>1</v>
      </c>
      <c r="BA362" s="1">
        <v>81.25</v>
      </c>
      <c r="BB362" s="1">
        <v>77.78</v>
      </c>
      <c r="BC362" s="1" t="b">
        <v>0</v>
      </c>
      <c r="BD362" s="1" t="b">
        <v>1</v>
      </c>
      <c r="BE362" s="1">
        <v>11.34</v>
      </c>
      <c r="BF362" s="1">
        <v>13.285</v>
      </c>
      <c r="BG362" s="1" t="b">
        <v>0</v>
      </c>
      <c r="BH362" s="1" t="b">
        <v>1</v>
      </c>
      <c r="BI362" s="1">
        <v>77.78</v>
      </c>
      <c r="BJ362" s="1">
        <v>75.0</v>
      </c>
      <c r="BK362" s="1" t="b">
        <v>1</v>
      </c>
      <c r="BL362" s="1" t="b">
        <v>1</v>
      </c>
      <c r="BM362" s="1">
        <v>13.121</v>
      </c>
      <c r="BN362" s="1">
        <v>14.568</v>
      </c>
      <c r="BO362" s="1" t="b">
        <v>0</v>
      </c>
      <c r="BP362" s="1" t="b">
        <v>1</v>
      </c>
      <c r="BQ362" s="1">
        <v>75.0</v>
      </c>
      <c r="BR362" s="1">
        <v>72.027</v>
      </c>
      <c r="BS362" s="1" t="b">
        <v>1</v>
      </c>
      <c r="BT362" s="1" t="b">
        <v>1</v>
      </c>
      <c r="BU362" s="1" t="s">
        <v>105</v>
      </c>
      <c r="BV362" s="1" t="s">
        <v>157</v>
      </c>
      <c r="BW362" s="1" t="s">
        <v>105</v>
      </c>
      <c r="BX362" s="1" t="s">
        <v>157</v>
      </c>
      <c r="BY362" s="1" t="s">
        <v>157</v>
      </c>
      <c r="BZ362" s="1" t="s">
        <v>157</v>
      </c>
      <c r="CA362" s="1" t="s">
        <v>157</v>
      </c>
      <c r="CB362" s="1" t="s">
        <v>104</v>
      </c>
      <c r="CC362" s="1" t="s">
        <v>157</v>
      </c>
      <c r="CD362" s="1" t="s">
        <v>104</v>
      </c>
      <c r="CE362" s="4"/>
      <c r="CF362" s="4"/>
    </row>
    <row r="363" hidden="1">
      <c r="A363" s="1" t="s">
        <v>82</v>
      </c>
      <c r="B363" s="1" t="s">
        <v>524</v>
      </c>
      <c r="C363" s="1">
        <v>2.0</v>
      </c>
      <c r="D363" s="5" t="s">
        <v>1656</v>
      </c>
      <c r="E363" s="1" t="s">
        <v>1657</v>
      </c>
      <c r="F363" s="1">
        <v>91.0</v>
      </c>
      <c r="G363" s="1">
        <v>0.8979</v>
      </c>
      <c r="H363" s="1" t="s">
        <v>1658</v>
      </c>
      <c r="I363" s="4" t="b">
        <f>IFERROR(__xludf.DUMMYFUNCTION("IF(H363="""",,REGEXMATCH(H363,""[א-ת]""))"),FALSE)</f>
        <v>0</v>
      </c>
      <c r="J363" s="4"/>
      <c r="K363" s="4"/>
      <c r="L363" s="1">
        <v>0.9268</v>
      </c>
      <c r="M363" s="1">
        <v>21.23</v>
      </c>
      <c r="N363" s="1">
        <v>58.24</v>
      </c>
      <c r="O363" s="1">
        <v>0.64</v>
      </c>
      <c r="P363" s="4"/>
      <c r="Q363" s="4"/>
      <c r="R363" s="1" t="s">
        <v>89</v>
      </c>
      <c r="S363" s="1" t="s">
        <v>1657</v>
      </c>
      <c r="T363" s="1" t="s">
        <v>524</v>
      </c>
      <c r="U363" s="1">
        <v>3.0</v>
      </c>
      <c r="V363" s="5" t="s">
        <v>1656</v>
      </c>
      <c r="W363" s="1" t="s">
        <v>1657</v>
      </c>
      <c r="X363" s="1" t="s">
        <v>1659</v>
      </c>
      <c r="Y363" s="4"/>
      <c r="Z363" s="4"/>
      <c r="AA363" s="4" t="b">
        <f>IFERROR(__xludf.DUMMYFUNCTION("IF(X363="""",,REGEXMATCH(X363,""[א-ת]""))"),FALSE)</f>
        <v>0</v>
      </c>
      <c r="AB363" s="1">
        <v>29.89</v>
      </c>
      <c r="AC363" s="1">
        <v>58.24</v>
      </c>
      <c r="AD363" s="1">
        <v>0.549591738464912</v>
      </c>
      <c r="AE363" s="1">
        <v>0.0</v>
      </c>
      <c r="AF363" s="1">
        <v>0.8979</v>
      </c>
      <c r="AG363" s="1">
        <v>6.337</v>
      </c>
      <c r="AH363" s="1">
        <v>6.781</v>
      </c>
      <c r="AI363" s="1" t="b">
        <v>0</v>
      </c>
      <c r="AJ363" s="1" t="b">
        <v>0</v>
      </c>
      <c r="AK363" s="1">
        <v>94.182</v>
      </c>
      <c r="AL363" s="1">
        <v>96.508</v>
      </c>
      <c r="AM363" s="1" t="b">
        <v>0</v>
      </c>
      <c r="AN363" s="1" t="b">
        <v>0</v>
      </c>
      <c r="AO363" s="1">
        <v>8.05</v>
      </c>
      <c r="AP363" s="1">
        <v>8.53399999999999</v>
      </c>
      <c r="AQ363" s="1" t="b">
        <v>0</v>
      </c>
      <c r="AR363" s="1" t="b">
        <v>0</v>
      </c>
      <c r="AS363" s="1">
        <v>86.9179999999999</v>
      </c>
      <c r="AT363" s="1">
        <v>87.152</v>
      </c>
      <c r="AU363" s="1" t="b">
        <v>0</v>
      </c>
      <c r="AV363" s="1" t="b">
        <v>0</v>
      </c>
      <c r="AW363" s="1">
        <v>9.61399999999999</v>
      </c>
      <c r="AX363" s="1">
        <v>11.026</v>
      </c>
      <c r="AY363" s="1" t="b">
        <v>0</v>
      </c>
      <c r="AZ363" s="1" t="b">
        <v>0</v>
      </c>
      <c r="BA363" s="1">
        <v>81.25</v>
      </c>
      <c r="BB363" s="1">
        <v>77.78</v>
      </c>
      <c r="BC363" s="1" t="b">
        <v>0</v>
      </c>
      <c r="BD363" s="1" t="b">
        <v>0</v>
      </c>
      <c r="BE363" s="1">
        <v>11.34</v>
      </c>
      <c r="BF363" s="1">
        <v>13.285</v>
      </c>
      <c r="BG363" s="1" t="b">
        <v>0</v>
      </c>
      <c r="BH363" s="1" t="b">
        <v>0</v>
      </c>
      <c r="BI363" s="1">
        <v>77.78</v>
      </c>
      <c r="BJ363" s="1">
        <v>75.0</v>
      </c>
      <c r="BK363" s="1" t="b">
        <v>0</v>
      </c>
      <c r="BL363" s="1" t="b">
        <v>0</v>
      </c>
      <c r="BM363" s="1">
        <v>13.121</v>
      </c>
      <c r="BN363" s="1">
        <v>14.568</v>
      </c>
      <c r="BO363" s="1" t="b">
        <v>0</v>
      </c>
      <c r="BP363" s="1" t="b">
        <v>0</v>
      </c>
      <c r="BQ363" s="1">
        <v>75.0</v>
      </c>
      <c r="BR363" s="1">
        <v>72.027</v>
      </c>
      <c r="BS363" s="1" t="b">
        <v>0</v>
      </c>
      <c r="BT363" s="1" t="b">
        <v>0</v>
      </c>
      <c r="BU363" s="1" t="s">
        <v>105</v>
      </c>
      <c r="BV363" s="1" t="s">
        <v>105</v>
      </c>
      <c r="BW363" s="1" t="s">
        <v>105</v>
      </c>
      <c r="BX363" s="1" t="s">
        <v>105</v>
      </c>
      <c r="BY363" s="1" t="s">
        <v>105</v>
      </c>
      <c r="BZ363" s="1" t="s">
        <v>105</v>
      </c>
      <c r="CA363" s="1" t="s">
        <v>105</v>
      </c>
      <c r="CB363" s="1" t="s">
        <v>105</v>
      </c>
      <c r="CC363" s="1" t="s">
        <v>105</v>
      </c>
      <c r="CD363" s="1" t="s">
        <v>105</v>
      </c>
      <c r="CE363" s="4"/>
      <c r="CF363" s="4"/>
    </row>
    <row r="364" hidden="1">
      <c r="A364" s="1" t="s">
        <v>82</v>
      </c>
      <c r="B364" s="1" t="s">
        <v>111</v>
      </c>
      <c r="C364" s="1">
        <v>75.0</v>
      </c>
      <c r="D364" s="5" t="s">
        <v>1660</v>
      </c>
      <c r="E364" s="1" t="s">
        <v>1661</v>
      </c>
      <c r="F364" s="1">
        <v>26.0</v>
      </c>
      <c r="G364" s="1">
        <v>-0.4973</v>
      </c>
      <c r="H364" s="1" t="s">
        <v>1662</v>
      </c>
      <c r="I364" s="4" t="b">
        <f>IFERROR(__xludf.DUMMYFUNCTION("IF(H364="""",,REGEXMATCH(H364,""[א-ת]""))"),FALSE)</f>
        <v>0</v>
      </c>
      <c r="J364" s="4"/>
      <c r="K364" s="4"/>
      <c r="L364" s="1">
        <v>-0.6828</v>
      </c>
      <c r="M364" s="1">
        <v>21.31</v>
      </c>
      <c r="N364" s="1">
        <v>53.85</v>
      </c>
      <c r="O364" s="1">
        <v>2.071153846</v>
      </c>
      <c r="P364" s="4"/>
      <c r="Q364" s="4"/>
      <c r="R364" s="1" t="s">
        <v>89</v>
      </c>
      <c r="S364" s="1" t="s">
        <v>1661</v>
      </c>
      <c r="T364" s="1" t="s">
        <v>111</v>
      </c>
      <c r="U364" s="1">
        <v>76.0</v>
      </c>
      <c r="V364" s="5" t="s">
        <v>1660</v>
      </c>
      <c r="W364" s="1" t="s">
        <v>1661</v>
      </c>
      <c r="X364" s="1" t="s">
        <v>1663</v>
      </c>
      <c r="Y364" s="4"/>
      <c r="Z364" s="4"/>
      <c r="AA364" s="4" t="b">
        <f>IFERROR(__xludf.DUMMYFUNCTION("IF(X364="""",,REGEXMATCH(X364,""[א-ת]""))"),FALSE)</f>
        <v>0</v>
      </c>
      <c r="AB364" s="1">
        <v>32.35</v>
      </c>
      <c r="AC364" s="1">
        <v>53.85</v>
      </c>
      <c r="AD364" s="1">
        <v>0.260037441165116</v>
      </c>
      <c r="AE364" s="1">
        <v>-0.4059</v>
      </c>
      <c r="AF364" s="1">
        <v>-0.4973</v>
      </c>
      <c r="AG364" s="1">
        <v>6.337</v>
      </c>
      <c r="AH364" s="1">
        <v>6.781</v>
      </c>
      <c r="AI364" s="1" t="b">
        <v>0</v>
      </c>
      <c r="AJ364" s="1" t="b">
        <v>0</v>
      </c>
      <c r="AK364" s="1">
        <v>94.182</v>
      </c>
      <c r="AL364" s="1">
        <v>96.508</v>
      </c>
      <c r="AM364" s="1" t="b">
        <v>0</v>
      </c>
      <c r="AN364" s="1" t="b">
        <v>0</v>
      </c>
      <c r="AO364" s="1">
        <v>8.05</v>
      </c>
      <c r="AP364" s="1">
        <v>8.53399999999999</v>
      </c>
      <c r="AQ364" s="1" t="b">
        <v>0</v>
      </c>
      <c r="AR364" s="1" t="b">
        <v>0</v>
      </c>
      <c r="AS364" s="1">
        <v>86.9179999999999</v>
      </c>
      <c r="AT364" s="1">
        <v>87.152</v>
      </c>
      <c r="AU364" s="1" t="b">
        <v>0</v>
      </c>
      <c r="AV364" s="1" t="b">
        <v>0</v>
      </c>
      <c r="AW364" s="1">
        <v>9.61399999999999</v>
      </c>
      <c r="AX364" s="1">
        <v>11.026</v>
      </c>
      <c r="AY364" s="1" t="b">
        <v>0</v>
      </c>
      <c r="AZ364" s="1" t="b">
        <v>0</v>
      </c>
      <c r="BA364" s="1">
        <v>81.25</v>
      </c>
      <c r="BB364" s="1">
        <v>77.78</v>
      </c>
      <c r="BC364" s="1" t="b">
        <v>0</v>
      </c>
      <c r="BD364" s="1" t="b">
        <v>0</v>
      </c>
      <c r="BE364" s="1">
        <v>11.34</v>
      </c>
      <c r="BF364" s="1">
        <v>13.285</v>
      </c>
      <c r="BG364" s="1" t="b">
        <v>0</v>
      </c>
      <c r="BH364" s="1" t="b">
        <v>0</v>
      </c>
      <c r="BI364" s="1">
        <v>77.78</v>
      </c>
      <c r="BJ364" s="1">
        <v>75.0</v>
      </c>
      <c r="BK364" s="1" t="b">
        <v>0</v>
      </c>
      <c r="BL364" s="1" t="b">
        <v>0</v>
      </c>
      <c r="BM364" s="1">
        <v>13.121</v>
      </c>
      <c r="BN364" s="1">
        <v>14.568</v>
      </c>
      <c r="BO364" s="1" t="b">
        <v>0</v>
      </c>
      <c r="BP364" s="1" t="b">
        <v>0</v>
      </c>
      <c r="BQ364" s="1">
        <v>75.0</v>
      </c>
      <c r="BR364" s="1">
        <v>72.027</v>
      </c>
      <c r="BS364" s="1" t="b">
        <v>0</v>
      </c>
      <c r="BT364" s="1" t="b">
        <v>0</v>
      </c>
      <c r="BU364" s="1" t="s">
        <v>105</v>
      </c>
      <c r="BV364" s="1" t="s">
        <v>105</v>
      </c>
      <c r="BW364" s="1" t="s">
        <v>105</v>
      </c>
      <c r="BX364" s="1" t="s">
        <v>105</v>
      </c>
      <c r="BY364" s="1" t="s">
        <v>105</v>
      </c>
      <c r="BZ364" s="1" t="s">
        <v>105</v>
      </c>
      <c r="CA364" s="1" t="s">
        <v>105</v>
      </c>
      <c r="CB364" s="1" t="s">
        <v>105</v>
      </c>
      <c r="CC364" s="1" t="s">
        <v>105</v>
      </c>
      <c r="CD364" s="1" t="s">
        <v>105</v>
      </c>
      <c r="CE364" s="4"/>
      <c r="CF364" s="4"/>
    </row>
    <row r="365" hidden="1">
      <c r="A365" s="1" t="s">
        <v>82</v>
      </c>
      <c r="B365" s="1" t="s">
        <v>139</v>
      </c>
      <c r="C365" s="1">
        <v>22.0</v>
      </c>
      <c r="D365" s="5" t="s">
        <v>1664</v>
      </c>
      <c r="E365" s="1" t="s">
        <v>1665</v>
      </c>
      <c r="F365" s="1">
        <v>49.0</v>
      </c>
      <c r="G365" s="1">
        <v>0.8555</v>
      </c>
      <c r="H365" s="1" t="s">
        <v>1666</v>
      </c>
      <c r="I365" s="4" t="b">
        <f>IFERROR(__xludf.DUMMYFUNCTION("IF(H365="""",,REGEXMATCH(H365,""[א-ת]""))"),FALSE)</f>
        <v>0</v>
      </c>
      <c r="J365" s="4"/>
      <c r="K365" s="4"/>
      <c r="L365" s="1">
        <v>0.6808</v>
      </c>
      <c r="M365" s="1">
        <v>21.35</v>
      </c>
      <c r="N365" s="1">
        <v>65.31</v>
      </c>
      <c r="O365" s="1">
        <v>1.332857143</v>
      </c>
      <c r="P365" s="4"/>
      <c r="Q365" s="4"/>
      <c r="R365" s="1" t="s">
        <v>96</v>
      </c>
      <c r="S365" s="1" t="s">
        <v>1665</v>
      </c>
      <c r="T365" s="1" t="s">
        <v>139</v>
      </c>
      <c r="U365" s="1">
        <v>23.0</v>
      </c>
      <c r="V365" s="5" t="s">
        <v>1664</v>
      </c>
      <c r="W365" s="1" t="s">
        <v>1665</v>
      </c>
      <c r="X365" s="1" t="s">
        <v>1667</v>
      </c>
      <c r="Y365" s="4"/>
      <c r="Z365" s="4"/>
      <c r="AA365" s="4" t="b">
        <f>IFERROR(__xludf.DUMMYFUNCTION("IF(X365="""",,REGEXMATCH(X365,""[א-ת]""))"),FALSE)</f>
        <v>0</v>
      </c>
      <c r="AB365" s="1">
        <v>23.46</v>
      </c>
      <c r="AC365" s="1">
        <v>51.02</v>
      </c>
      <c r="AD365" s="1">
        <v>0.75210088705992</v>
      </c>
      <c r="AE365" s="1">
        <v>0.8555</v>
      </c>
      <c r="AF365" s="1">
        <v>0.8555</v>
      </c>
      <c r="AG365" s="1">
        <v>6.337</v>
      </c>
      <c r="AH365" s="1">
        <v>6.781</v>
      </c>
      <c r="AI365" s="1" t="b">
        <v>0</v>
      </c>
      <c r="AJ365" s="1" t="b">
        <v>0</v>
      </c>
      <c r="AK365" s="1">
        <v>94.182</v>
      </c>
      <c r="AL365" s="1">
        <v>96.508</v>
      </c>
      <c r="AM365" s="1" t="b">
        <v>0</v>
      </c>
      <c r="AN365" s="1" t="b">
        <v>0</v>
      </c>
      <c r="AO365" s="1">
        <v>8.05</v>
      </c>
      <c r="AP365" s="1">
        <v>8.53399999999999</v>
      </c>
      <c r="AQ365" s="1" t="b">
        <v>0</v>
      </c>
      <c r="AR365" s="1" t="b">
        <v>0</v>
      </c>
      <c r="AS365" s="1">
        <v>86.9179999999999</v>
      </c>
      <c r="AT365" s="1">
        <v>87.152</v>
      </c>
      <c r="AU365" s="1" t="b">
        <v>0</v>
      </c>
      <c r="AV365" s="1" t="b">
        <v>0</v>
      </c>
      <c r="AW365" s="1">
        <v>9.61399999999999</v>
      </c>
      <c r="AX365" s="1">
        <v>11.026</v>
      </c>
      <c r="AY365" s="1" t="b">
        <v>0</v>
      </c>
      <c r="AZ365" s="1" t="b">
        <v>0</v>
      </c>
      <c r="BA365" s="1">
        <v>81.25</v>
      </c>
      <c r="BB365" s="1">
        <v>77.78</v>
      </c>
      <c r="BC365" s="1" t="b">
        <v>0</v>
      </c>
      <c r="BD365" s="1" t="b">
        <v>0</v>
      </c>
      <c r="BE365" s="1">
        <v>11.34</v>
      </c>
      <c r="BF365" s="1">
        <v>13.285</v>
      </c>
      <c r="BG365" s="1" t="b">
        <v>0</v>
      </c>
      <c r="BH365" s="1" t="b">
        <v>0</v>
      </c>
      <c r="BI365" s="1">
        <v>77.78</v>
      </c>
      <c r="BJ365" s="1">
        <v>75.0</v>
      </c>
      <c r="BK365" s="1" t="b">
        <v>0</v>
      </c>
      <c r="BL365" s="1" t="b">
        <v>0</v>
      </c>
      <c r="BM365" s="1">
        <v>13.121</v>
      </c>
      <c r="BN365" s="1">
        <v>14.568</v>
      </c>
      <c r="BO365" s="1" t="b">
        <v>0</v>
      </c>
      <c r="BP365" s="1" t="b">
        <v>0</v>
      </c>
      <c r="BQ365" s="1">
        <v>75.0</v>
      </c>
      <c r="BR365" s="1">
        <v>72.027</v>
      </c>
      <c r="BS365" s="1" t="b">
        <v>0</v>
      </c>
      <c r="BT365" s="1" t="b">
        <v>0</v>
      </c>
      <c r="BU365" s="1" t="s">
        <v>105</v>
      </c>
      <c r="BV365" s="1" t="s">
        <v>105</v>
      </c>
      <c r="BW365" s="1" t="s">
        <v>105</v>
      </c>
      <c r="BX365" s="1" t="s">
        <v>105</v>
      </c>
      <c r="BY365" s="1" t="s">
        <v>105</v>
      </c>
      <c r="BZ365" s="1" t="s">
        <v>105</v>
      </c>
      <c r="CA365" s="1" t="s">
        <v>105</v>
      </c>
      <c r="CB365" s="1" t="s">
        <v>105</v>
      </c>
      <c r="CC365" s="1" t="s">
        <v>105</v>
      </c>
      <c r="CD365" s="1" t="s">
        <v>105</v>
      </c>
      <c r="CE365" s="4"/>
      <c r="CF365" s="4"/>
    </row>
    <row r="366" hidden="1">
      <c r="A366" s="1" t="s">
        <v>82</v>
      </c>
      <c r="B366" s="1" t="s">
        <v>83</v>
      </c>
      <c r="C366" s="1">
        <v>8.0</v>
      </c>
      <c r="D366" s="5" t="s">
        <v>1668</v>
      </c>
      <c r="E366" s="1" t="s">
        <v>1669</v>
      </c>
      <c r="F366" s="1">
        <v>75.0</v>
      </c>
      <c r="G366" s="1">
        <v>0.6486</v>
      </c>
      <c r="H366" s="1" t="s">
        <v>1670</v>
      </c>
      <c r="I366" s="4" t="b">
        <f>IFERROR(__xludf.DUMMYFUNCTION("IF(H366="""",,REGEXMATCH(H366,""[א-ת]""))"),FALSE)</f>
        <v>0</v>
      </c>
      <c r="J366" s="4"/>
      <c r="K366" s="4"/>
      <c r="L366" s="1">
        <v>0.5411</v>
      </c>
      <c r="M366" s="1">
        <v>21.45</v>
      </c>
      <c r="N366" s="1">
        <v>58.67</v>
      </c>
      <c r="O366" s="1">
        <v>0.7822666667</v>
      </c>
      <c r="P366" s="4"/>
      <c r="Q366" s="4"/>
      <c r="R366" s="1" t="s">
        <v>89</v>
      </c>
      <c r="S366" s="1" t="s">
        <v>1669</v>
      </c>
      <c r="T366" s="1" t="s">
        <v>83</v>
      </c>
      <c r="U366" s="1">
        <v>9.0</v>
      </c>
      <c r="V366" s="5" t="s">
        <v>1668</v>
      </c>
      <c r="W366" s="1" t="s">
        <v>1669</v>
      </c>
      <c r="X366" s="1" t="s">
        <v>1671</v>
      </c>
      <c r="Y366" s="4"/>
      <c r="Z366" s="4"/>
      <c r="AA366" s="4" t="b">
        <f>IFERROR(__xludf.DUMMYFUNCTION("IF(X366="""",,REGEXMATCH(X366,""[א-ת]""))"),FALSE)</f>
        <v>0</v>
      </c>
      <c r="AB366" s="1">
        <v>29.03</v>
      </c>
      <c r="AC366" s="1">
        <v>46.67</v>
      </c>
      <c r="AD366" s="1">
        <v>0.651839358475117</v>
      </c>
      <c r="AE366" s="1">
        <v>0.68</v>
      </c>
      <c r="AF366" s="1">
        <v>0.6486</v>
      </c>
      <c r="AG366" s="1">
        <v>6.337</v>
      </c>
      <c r="AH366" s="1">
        <v>6.781</v>
      </c>
      <c r="AI366" s="1" t="b">
        <v>0</v>
      </c>
      <c r="AJ366" s="1" t="b">
        <v>0</v>
      </c>
      <c r="AK366" s="1">
        <v>94.182</v>
      </c>
      <c r="AL366" s="1">
        <v>96.508</v>
      </c>
      <c r="AM366" s="1" t="b">
        <v>0</v>
      </c>
      <c r="AN366" s="1" t="b">
        <v>0</v>
      </c>
      <c r="AO366" s="1">
        <v>8.05</v>
      </c>
      <c r="AP366" s="1">
        <v>8.53399999999999</v>
      </c>
      <c r="AQ366" s="1" t="b">
        <v>0</v>
      </c>
      <c r="AR366" s="1" t="b">
        <v>0</v>
      </c>
      <c r="AS366" s="1">
        <v>86.9179999999999</v>
      </c>
      <c r="AT366" s="1">
        <v>87.152</v>
      </c>
      <c r="AU366" s="1" t="b">
        <v>0</v>
      </c>
      <c r="AV366" s="1" t="b">
        <v>0</v>
      </c>
      <c r="AW366" s="1">
        <v>9.61399999999999</v>
      </c>
      <c r="AX366" s="1">
        <v>11.026</v>
      </c>
      <c r="AY366" s="1" t="b">
        <v>0</v>
      </c>
      <c r="AZ366" s="1" t="b">
        <v>0</v>
      </c>
      <c r="BA366" s="1">
        <v>81.25</v>
      </c>
      <c r="BB366" s="1">
        <v>77.78</v>
      </c>
      <c r="BC366" s="1" t="b">
        <v>0</v>
      </c>
      <c r="BD366" s="1" t="b">
        <v>0</v>
      </c>
      <c r="BE366" s="1">
        <v>11.34</v>
      </c>
      <c r="BF366" s="1">
        <v>13.285</v>
      </c>
      <c r="BG366" s="1" t="b">
        <v>0</v>
      </c>
      <c r="BH366" s="1" t="b">
        <v>0</v>
      </c>
      <c r="BI366" s="1">
        <v>77.78</v>
      </c>
      <c r="BJ366" s="1">
        <v>75.0</v>
      </c>
      <c r="BK366" s="1" t="b">
        <v>0</v>
      </c>
      <c r="BL366" s="1" t="b">
        <v>0</v>
      </c>
      <c r="BM366" s="1">
        <v>13.121</v>
      </c>
      <c r="BN366" s="1">
        <v>14.568</v>
      </c>
      <c r="BO366" s="1" t="b">
        <v>0</v>
      </c>
      <c r="BP366" s="1" t="b">
        <v>0</v>
      </c>
      <c r="BQ366" s="1">
        <v>75.0</v>
      </c>
      <c r="BR366" s="1">
        <v>72.027</v>
      </c>
      <c r="BS366" s="1" t="b">
        <v>0</v>
      </c>
      <c r="BT366" s="1" t="b">
        <v>0</v>
      </c>
      <c r="BU366" s="1" t="s">
        <v>105</v>
      </c>
      <c r="BV366" s="1" t="s">
        <v>105</v>
      </c>
      <c r="BW366" s="1" t="s">
        <v>105</v>
      </c>
      <c r="BX366" s="1" t="s">
        <v>105</v>
      </c>
      <c r="BY366" s="1" t="s">
        <v>105</v>
      </c>
      <c r="BZ366" s="1" t="s">
        <v>105</v>
      </c>
      <c r="CA366" s="1" t="s">
        <v>105</v>
      </c>
      <c r="CB366" s="1" t="s">
        <v>105</v>
      </c>
      <c r="CC366" s="1" t="s">
        <v>105</v>
      </c>
      <c r="CD366" s="1" t="s">
        <v>105</v>
      </c>
      <c r="CE366" s="4"/>
      <c r="CF366" s="4"/>
    </row>
    <row r="367" hidden="1">
      <c r="A367" s="1" t="s">
        <v>82</v>
      </c>
      <c r="B367" s="1" t="s">
        <v>92</v>
      </c>
      <c r="C367" s="1">
        <v>4.0</v>
      </c>
      <c r="D367" s="5" t="s">
        <v>1672</v>
      </c>
      <c r="E367" s="1" t="s">
        <v>1673</v>
      </c>
      <c r="F367" s="1">
        <v>112.0</v>
      </c>
      <c r="G367" s="1">
        <v>0.9413</v>
      </c>
      <c r="H367" s="1" t="s">
        <v>1674</v>
      </c>
      <c r="I367" s="4" t="b">
        <f>IFERROR(__xludf.DUMMYFUNCTION("IF(H367="""",,REGEXMATCH(H367,""[א-ת]""))"),FALSE)</f>
        <v>0</v>
      </c>
      <c r="J367" s="1" t="s">
        <v>1675</v>
      </c>
      <c r="K367" s="4"/>
      <c r="L367" s="1">
        <v>0.8807</v>
      </c>
      <c r="M367" s="1">
        <v>21.51</v>
      </c>
      <c r="N367" s="1">
        <v>60.71</v>
      </c>
      <c r="O367" s="1">
        <v>0.5420535714</v>
      </c>
      <c r="P367" s="4"/>
      <c r="Q367" s="4"/>
      <c r="R367" s="1" t="s">
        <v>96</v>
      </c>
      <c r="S367" s="1" t="s">
        <v>1673</v>
      </c>
      <c r="T367" s="1" t="s">
        <v>92</v>
      </c>
      <c r="U367" s="1">
        <v>5.0</v>
      </c>
      <c r="V367" s="5" t="s">
        <v>1672</v>
      </c>
      <c r="W367" s="1" t="s">
        <v>1673</v>
      </c>
      <c r="X367" s="1" t="s">
        <v>1676</v>
      </c>
      <c r="Y367" s="4"/>
      <c r="Z367" s="4"/>
      <c r="AA367" s="4" t="b">
        <f>IFERROR(__xludf.DUMMYFUNCTION("IF(X367="""",,REGEXMATCH(X367,""[א-ת]""))"),FALSE)</f>
        <v>0</v>
      </c>
      <c r="AB367" s="1">
        <v>36.05</v>
      </c>
      <c r="AC367" s="1">
        <v>50.89</v>
      </c>
      <c r="AD367" s="1">
        <v>0.895605258336221</v>
      </c>
      <c r="AE367" s="1">
        <v>0.8271</v>
      </c>
      <c r="AF367" s="1">
        <v>0.9413</v>
      </c>
      <c r="AG367" s="1">
        <v>6.337</v>
      </c>
      <c r="AH367" s="1">
        <v>6.781</v>
      </c>
      <c r="AI367" s="1" t="b">
        <v>0</v>
      </c>
      <c r="AJ367" s="1" t="b">
        <v>0</v>
      </c>
      <c r="AK367" s="1">
        <v>94.182</v>
      </c>
      <c r="AL367" s="1">
        <v>96.508</v>
      </c>
      <c r="AM367" s="1" t="b">
        <v>0</v>
      </c>
      <c r="AN367" s="1" t="b">
        <v>0</v>
      </c>
      <c r="AO367" s="1">
        <v>8.05</v>
      </c>
      <c r="AP367" s="1">
        <v>8.53399999999999</v>
      </c>
      <c r="AQ367" s="1" t="b">
        <v>0</v>
      </c>
      <c r="AR367" s="1" t="b">
        <v>0</v>
      </c>
      <c r="AS367" s="1">
        <v>86.9179999999999</v>
      </c>
      <c r="AT367" s="1">
        <v>87.152</v>
      </c>
      <c r="AU367" s="1" t="b">
        <v>0</v>
      </c>
      <c r="AV367" s="1" t="b">
        <v>0</v>
      </c>
      <c r="AW367" s="1">
        <v>9.61399999999999</v>
      </c>
      <c r="AX367" s="1">
        <v>11.026</v>
      </c>
      <c r="AY367" s="1" t="b">
        <v>0</v>
      </c>
      <c r="AZ367" s="1" t="b">
        <v>0</v>
      </c>
      <c r="BA367" s="1">
        <v>81.25</v>
      </c>
      <c r="BB367" s="1">
        <v>77.78</v>
      </c>
      <c r="BC367" s="1" t="b">
        <v>0</v>
      </c>
      <c r="BD367" s="1" t="b">
        <v>0</v>
      </c>
      <c r="BE367" s="1">
        <v>11.34</v>
      </c>
      <c r="BF367" s="1">
        <v>13.285</v>
      </c>
      <c r="BG367" s="1" t="b">
        <v>0</v>
      </c>
      <c r="BH367" s="1" t="b">
        <v>0</v>
      </c>
      <c r="BI367" s="1">
        <v>77.78</v>
      </c>
      <c r="BJ367" s="1">
        <v>75.0</v>
      </c>
      <c r="BK367" s="1" t="b">
        <v>0</v>
      </c>
      <c r="BL367" s="1" t="b">
        <v>0</v>
      </c>
      <c r="BM367" s="1">
        <v>13.121</v>
      </c>
      <c r="BN367" s="1">
        <v>14.568</v>
      </c>
      <c r="BO367" s="1" t="b">
        <v>0</v>
      </c>
      <c r="BP367" s="1" t="b">
        <v>0</v>
      </c>
      <c r="BQ367" s="1">
        <v>75.0</v>
      </c>
      <c r="BR367" s="1">
        <v>72.027</v>
      </c>
      <c r="BS367" s="1" t="b">
        <v>0</v>
      </c>
      <c r="BT367" s="1" t="b">
        <v>0</v>
      </c>
      <c r="BU367" s="1" t="s">
        <v>105</v>
      </c>
      <c r="BV367" s="1" t="s">
        <v>105</v>
      </c>
      <c r="BW367" s="1" t="s">
        <v>105</v>
      </c>
      <c r="BX367" s="1" t="s">
        <v>105</v>
      </c>
      <c r="BY367" s="1" t="s">
        <v>105</v>
      </c>
      <c r="BZ367" s="1" t="s">
        <v>105</v>
      </c>
      <c r="CA367" s="1" t="s">
        <v>105</v>
      </c>
      <c r="CB367" s="1" t="s">
        <v>105</v>
      </c>
      <c r="CC367" s="1" t="s">
        <v>105</v>
      </c>
      <c r="CD367" s="1" t="s">
        <v>105</v>
      </c>
      <c r="CE367" s="4"/>
      <c r="CF367" s="4"/>
    </row>
    <row r="368" hidden="1">
      <c r="A368" s="1" t="s">
        <v>82</v>
      </c>
      <c r="B368" s="1" t="s">
        <v>631</v>
      </c>
      <c r="C368" s="1">
        <v>8.0</v>
      </c>
      <c r="D368" s="5" t="s">
        <v>1677</v>
      </c>
      <c r="E368" s="1" t="s">
        <v>1678</v>
      </c>
      <c r="F368" s="1">
        <v>38.0</v>
      </c>
      <c r="G368" s="1">
        <v>-0.3875</v>
      </c>
      <c r="H368" s="1" t="s">
        <v>1679</v>
      </c>
      <c r="I368" s="4" t="b">
        <f>IFERROR(__xludf.DUMMYFUNCTION("IF(H368="""",,REGEXMATCH(H368,""[א-ת]""))"),FALSE)</f>
        <v>0</v>
      </c>
      <c r="J368" s="4"/>
      <c r="K368" s="4"/>
      <c r="L368" s="1">
        <v>-0.3875</v>
      </c>
      <c r="M368" s="1">
        <v>21.55</v>
      </c>
      <c r="N368" s="1">
        <v>65.79</v>
      </c>
      <c r="O368" s="1">
        <v>1.731315789</v>
      </c>
      <c r="P368" s="4"/>
      <c r="Q368" s="4"/>
      <c r="R368" s="1" t="s">
        <v>89</v>
      </c>
      <c r="S368" s="1" t="s">
        <v>1678</v>
      </c>
      <c r="T368" s="1" t="s">
        <v>631</v>
      </c>
      <c r="U368" s="1">
        <v>9.0</v>
      </c>
      <c r="V368" s="5" t="s">
        <v>1677</v>
      </c>
      <c r="W368" s="1" t="s">
        <v>1678</v>
      </c>
      <c r="X368" s="1" t="s">
        <v>1680</v>
      </c>
      <c r="Y368" s="4"/>
      <c r="Z368" s="4"/>
      <c r="AA368" s="4" t="b">
        <f>IFERROR(__xludf.DUMMYFUNCTION("IF(X368="""",,REGEXMATCH(X368,""[א-ת]""))"),FALSE)</f>
        <v>0</v>
      </c>
      <c r="AB368" s="1">
        <v>18.47</v>
      </c>
      <c r="AC368" s="1">
        <v>60.53</v>
      </c>
      <c r="AD368" s="1">
        <v>0.348121975493311</v>
      </c>
      <c r="AE368" s="1">
        <v>-0.3875</v>
      </c>
      <c r="AF368" s="1">
        <v>-0.3875</v>
      </c>
      <c r="AG368" s="1">
        <v>6.337</v>
      </c>
      <c r="AH368" s="1">
        <v>6.781</v>
      </c>
      <c r="AI368" s="1" t="b">
        <v>0</v>
      </c>
      <c r="AJ368" s="1" t="b">
        <v>0</v>
      </c>
      <c r="AK368" s="1">
        <v>94.182</v>
      </c>
      <c r="AL368" s="1">
        <v>96.508</v>
      </c>
      <c r="AM368" s="1" t="b">
        <v>0</v>
      </c>
      <c r="AN368" s="1" t="b">
        <v>0</v>
      </c>
      <c r="AO368" s="1">
        <v>8.05</v>
      </c>
      <c r="AP368" s="1">
        <v>8.53399999999999</v>
      </c>
      <c r="AQ368" s="1" t="b">
        <v>0</v>
      </c>
      <c r="AR368" s="1" t="b">
        <v>0</v>
      </c>
      <c r="AS368" s="1">
        <v>86.9179999999999</v>
      </c>
      <c r="AT368" s="1">
        <v>87.152</v>
      </c>
      <c r="AU368" s="1" t="b">
        <v>0</v>
      </c>
      <c r="AV368" s="1" t="b">
        <v>0</v>
      </c>
      <c r="AW368" s="1">
        <v>9.61399999999999</v>
      </c>
      <c r="AX368" s="1">
        <v>11.026</v>
      </c>
      <c r="AY368" s="1" t="b">
        <v>0</v>
      </c>
      <c r="AZ368" s="1" t="b">
        <v>0</v>
      </c>
      <c r="BA368" s="1">
        <v>81.25</v>
      </c>
      <c r="BB368" s="1">
        <v>77.78</v>
      </c>
      <c r="BC368" s="1" t="b">
        <v>0</v>
      </c>
      <c r="BD368" s="1" t="b">
        <v>0</v>
      </c>
      <c r="BE368" s="1">
        <v>11.34</v>
      </c>
      <c r="BF368" s="1">
        <v>13.285</v>
      </c>
      <c r="BG368" s="1" t="b">
        <v>0</v>
      </c>
      <c r="BH368" s="1" t="b">
        <v>0</v>
      </c>
      <c r="BI368" s="1">
        <v>77.78</v>
      </c>
      <c r="BJ368" s="1">
        <v>75.0</v>
      </c>
      <c r="BK368" s="1" t="b">
        <v>0</v>
      </c>
      <c r="BL368" s="1" t="b">
        <v>0</v>
      </c>
      <c r="BM368" s="1">
        <v>13.121</v>
      </c>
      <c r="BN368" s="1">
        <v>14.568</v>
      </c>
      <c r="BO368" s="1" t="b">
        <v>0</v>
      </c>
      <c r="BP368" s="1" t="b">
        <v>0</v>
      </c>
      <c r="BQ368" s="1">
        <v>75.0</v>
      </c>
      <c r="BR368" s="1">
        <v>72.027</v>
      </c>
      <c r="BS368" s="1" t="b">
        <v>0</v>
      </c>
      <c r="BT368" s="1" t="b">
        <v>0</v>
      </c>
      <c r="BU368" s="1" t="s">
        <v>105</v>
      </c>
      <c r="BV368" s="1" t="s">
        <v>105</v>
      </c>
      <c r="BW368" s="1" t="s">
        <v>105</v>
      </c>
      <c r="BX368" s="1" t="s">
        <v>105</v>
      </c>
      <c r="BY368" s="1" t="s">
        <v>105</v>
      </c>
      <c r="BZ368" s="1" t="s">
        <v>105</v>
      </c>
      <c r="CA368" s="1" t="s">
        <v>105</v>
      </c>
      <c r="CB368" s="1" t="s">
        <v>105</v>
      </c>
      <c r="CC368" s="1" t="s">
        <v>105</v>
      </c>
      <c r="CD368" s="1" t="s">
        <v>105</v>
      </c>
      <c r="CE368" s="4"/>
      <c r="CF368" s="4"/>
    </row>
    <row r="369" hidden="1">
      <c r="A369" s="1" t="s">
        <v>82</v>
      </c>
      <c r="B369" s="1" t="s">
        <v>524</v>
      </c>
      <c r="C369" s="1">
        <v>5.0</v>
      </c>
      <c r="D369" s="5" t="s">
        <v>1681</v>
      </c>
      <c r="E369" s="1" t="s">
        <v>1682</v>
      </c>
      <c r="F369" s="1">
        <v>82.0</v>
      </c>
      <c r="G369" s="1">
        <v>-0.8374</v>
      </c>
      <c r="H369" s="1" t="s">
        <v>1683</v>
      </c>
      <c r="I369" s="4" t="b">
        <f>IFERROR(__xludf.DUMMYFUNCTION("IF(H369="""",,REGEXMATCH(H369,""[א-ת]""))"),FALSE)</f>
        <v>0</v>
      </c>
      <c r="J369" s="4"/>
      <c r="K369" s="4"/>
      <c r="L369" s="1">
        <v>-0.8374</v>
      </c>
      <c r="M369" s="1">
        <v>21.62</v>
      </c>
      <c r="N369" s="1">
        <v>69.51</v>
      </c>
      <c r="O369" s="1">
        <v>0.8476829268</v>
      </c>
      <c r="P369" s="4"/>
      <c r="Q369" s="4"/>
      <c r="R369" s="1" t="s">
        <v>89</v>
      </c>
      <c r="S369" s="1" t="s">
        <v>1682</v>
      </c>
      <c r="T369" s="1" t="s">
        <v>524</v>
      </c>
      <c r="U369" s="1">
        <v>6.0</v>
      </c>
      <c r="V369" s="5" t="s">
        <v>1681</v>
      </c>
      <c r="W369" s="1" t="s">
        <v>1682</v>
      </c>
      <c r="X369" s="1" t="s">
        <v>1684</v>
      </c>
      <c r="Y369" s="4"/>
      <c r="Z369" s="4"/>
      <c r="AA369" s="4" t="b">
        <f>IFERROR(__xludf.DUMMYFUNCTION("IF(X369="""",,REGEXMATCH(X369,""[א-ת]""))"),FALSE)</f>
        <v>0</v>
      </c>
      <c r="AB369" s="1">
        <v>28.0</v>
      </c>
      <c r="AC369" s="1">
        <v>59.76</v>
      </c>
      <c r="AD369" s="1">
        <v>0.615573780875724</v>
      </c>
      <c r="AE369" s="1">
        <v>-0.7579</v>
      </c>
      <c r="AF369" s="1">
        <v>-0.8374</v>
      </c>
      <c r="AG369" s="1">
        <v>6.337</v>
      </c>
      <c r="AH369" s="1">
        <v>6.781</v>
      </c>
      <c r="AI369" s="1" t="b">
        <v>0</v>
      </c>
      <c r="AJ369" s="1" t="b">
        <v>0</v>
      </c>
      <c r="AK369" s="1">
        <v>94.182</v>
      </c>
      <c r="AL369" s="1">
        <v>96.508</v>
      </c>
      <c r="AM369" s="1" t="b">
        <v>0</v>
      </c>
      <c r="AN369" s="1" t="b">
        <v>0</v>
      </c>
      <c r="AO369" s="1">
        <v>8.05</v>
      </c>
      <c r="AP369" s="1">
        <v>8.53399999999999</v>
      </c>
      <c r="AQ369" s="1" t="b">
        <v>0</v>
      </c>
      <c r="AR369" s="1" t="b">
        <v>0</v>
      </c>
      <c r="AS369" s="1">
        <v>86.9179999999999</v>
      </c>
      <c r="AT369" s="1">
        <v>87.152</v>
      </c>
      <c r="AU369" s="1" t="b">
        <v>0</v>
      </c>
      <c r="AV369" s="1" t="b">
        <v>0</v>
      </c>
      <c r="AW369" s="1">
        <v>9.61399999999999</v>
      </c>
      <c r="AX369" s="1">
        <v>11.026</v>
      </c>
      <c r="AY369" s="1" t="b">
        <v>0</v>
      </c>
      <c r="AZ369" s="1" t="b">
        <v>0</v>
      </c>
      <c r="BA369" s="1">
        <v>81.25</v>
      </c>
      <c r="BB369" s="1">
        <v>77.78</v>
      </c>
      <c r="BC369" s="1" t="b">
        <v>0</v>
      </c>
      <c r="BD369" s="1" t="b">
        <v>0</v>
      </c>
      <c r="BE369" s="1">
        <v>11.34</v>
      </c>
      <c r="BF369" s="1">
        <v>13.285</v>
      </c>
      <c r="BG369" s="1" t="b">
        <v>0</v>
      </c>
      <c r="BH369" s="1" t="b">
        <v>0</v>
      </c>
      <c r="BI369" s="1">
        <v>77.78</v>
      </c>
      <c r="BJ369" s="1">
        <v>75.0</v>
      </c>
      <c r="BK369" s="1" t="b">
        <v>0</v>
      </c>
      <c r="BL369" s="1" t="b">
        <v>0</v>
      </c>
      <c r="BM369" s="1">
        <v>13.121</v>
      </c>
      <c r="BN369" s="1">
        <v>14.568</v>
      </c>
      <c r="BO369" s="1" t="b">
        <v>0</v>
      </c>
      <c r="BP369" s="1" t="b">
        <v>0</v>
      </c>
      <c r="BQ369" s="1">
        <v>75.0</v>
      </c>
      <c r="BR369" s="1">
        <v>72.027</v>
      </c>
      <c r="BS369" s="1" t="b">
        <v>0</v>
      </c>
      <c r="BT369" s="1" t="b">
        <v>0</v>
      </c>
      <c r="BU369" s="1" t="s">
        <v>105</v>
      </c>
      <c r="BV369" s="1" t="s">
        <v>105</v>
      </c>
      <c r="BW369" s="1" t="s">
        <v>105</v>
      </c>
      <c r="BX369" s="1" t="s">
        <v>105</v>
      </c>
      <c r="BY369" s="1" t="s">
        <v>105</v>
      </c>
      <c r="BZ369" s="1" t="s">
        <v>105</v>
      </c>
      <c r="CA369" s="1" t="s">
        <v>105</v>
      </c>
      <c r="CB369" s="1" t="s">
        <v>105</v>
      </c>
      <c r="CC369" s="1" t="s">
        <v>105</v>
      </c>
      <c r="CD369" s="1" t="s">
        <v>105</v>
      </c>
      <c r="CE369" s="4"/>
      <c r="CF369" s="4"/>
    </row>
    <row r="370" hidden="1">
      <c r="A370" s="1" t="s">
        <v>82</v>
      </c>
      <c r="B370" s="1" t="s">
        <v>116</v>
      </c>
      <c r="C370" s="1">
        <v>22.0</v>
      </c>
      <c r="D370" s="5" t="s">
        <v>1685</v>
      </c>
      <c r="E370" s="1" t="s">
        <v>1686</v>
      </c>
      <c r="F370" s="1">
        <v>24.0</v>
      </c>
      <c r="G370" s="1">
        <v>0.0</v>
      </c>
      <c r="H370" s="1" t="s">
        <v>1687</v>
      </c>
      <c r="I370" s="4" t="b">
        <f>IFERROR(__xludf.DUMMYFUNCTION("IF(H370="""",,REGEXMATCH(H370,""[א-ת]""))"),FALSE)</f>
        <v>0</v>
      </c>
      <c r="J370" s="4"/>
      <c r="K370" s="4"/>
      <c r="L370" s="1">
        <v>0.0</v>
      </c>
      <c r="M370" s="1">
        <v>21.66</v>
      </c>
      <c r="N370" s="1">
        <v>50.0</v>
      </c>
      <c r="O370" s="1">
        <v>2.083333333</v>
      </c>
      <c r="P370" s="4"/>
      <c r="Q370" s="4"/>
      <c r="R370" s="1" t="s">
        <v>89</v>
      </c>
      <c r="S370" s="1" t="s">
        <v>1686</v>
      </c>
      <c r="T370" s="1" t="s">
        <v>116</v>
      </c>
      <c r="U370" s="1">
        <v>23.0</v>
      </c>
      <c r="V370" s="5" t="s">
        <v>1685</v>
      </c>
      <c r="W370" s="1" t="s">
        <v>1686</v>
      </c>
      <c r="X370" s="1" t="s">
        <v>1688</v>
      </c>
      <c r="Y370" s="4"/>
      <c r="Z370" s="4"/>
      <c r="AA370" s="4" t="b">
        <f>IFERROR(__xludf.DUMMYFUNCTION("IF(X370="""",,REGEXMATCH(X370,""[א-ת]""))"),FALSE)</f>
        <v>0</v>
      </c>
      <c r="AB370" s="1">
        <v>21.22</v>
      </c>
      <c r="AC370" s="1">
        <v>58.33</v>
      </c>
      <c r="AD370" s="1">
        <v>0.336246179646701</v>
      </c>
      <c r="AE370" s="1">
        <v>0.0</v>
      </c>
      <c r="AF370" s="1">
        <v>0.0</v>
      </c>
      <c r="AG370" s="1">
        <v>6.337</v>
      </c>
      <c r="AH370" s="1">
        <v>6.781</v>
      </c>
      <c r="AI370" s="1" t="b">
        <v>0</v>
      </c>
      <c r="AJ370" s="1" t="b">
        <v>0</v>
      </c>
      <c r="AK370" s="1">
        <v>94.182</v>
      </c>
      <c r="AL370" s="1">
        <v>96.508</v>
      </c>
      <c r="AM370" s="1" t="b">
        <v>0</v>
      </c>
      <c r="AN370" s="1" t="b">
        <v>0</v>
      </c>
      <c r="AO370" s="1">
        <v>8.05</v>
      </c>
      <c r="AP370" s="1">
        <v>8.53399999999999</v>
      </c>
      <c r="AQ370" s="1" t="b">
        <v>0</v>
      </c>
      <c r="AR370" s="1" t="b">
        <v>0</v>
      </c>
      <c r="AS370" s="1">
        <v>86.9179999999999</v>
      </c>
      <c r="AT370" s="1">
        <v>87.152</v>
      </c>
      <c r="AU370" s="1" t="b">
        <v>0</v>
      </c>
      <c r="AV370" s="1" t="b">
        <v>0</v>
      </c>
      <c r="AW370" s="1">
        <v>9.61399999999999</v>
      </c>
      <c r="AX370" s="1">
        <v>11.026</v>
      </c>
      <c r="AY370" s="1" t="b">
        <v>0</v>
      </c>
      <c r="AZ370" s="1" t="b">
        <v>0</v>
      </c>
      <c r="BA370" s="1">
        <v>81.25</v>
      </c>
      <c r="BB370" s="1">
        <v>77.78</v>
      </c>
      <c r="BC370" s="1" t="b">
        <v>0</v>
      </c>
      <c r="BD370" s="1" t="b">
        <v>0</v>
      </c>
      <c r="BE370" s="1">
        <v>11.34</v>
      </c>
      <c r="BF370" s="1">
        <v>13.285</v>
      </c>
      <c r="BG370" s="1" t="b">
        <v>0</v>
      </c>
      <c r="BH370" s="1" t="b">
        <v>0</v>
      </c>
      <c r="BI370" s="1">
        <v>77.78</v>
      </c>
      <c r="BJ370" s="1">
        <v>75.0</v>
      </c>
      <c r="BK370" s="1" t="b">
        <v>0</v>
      </c>
      <c r="BL370" s="1" t="b">
        <v>0</v>
      </c>
      <c r="BM370" s="1">
        <v>13.121</v>
      </c>
      <c r="BN370" s="1">
        <v>14.568</v>
      </c>
      <c r="BO370" s="1" t="b">
        <v>0</v>
      </c>
      <c r="BP370" s="1" t="b">
        <v>0</v>
      </c>
      <c r="BQ370" s="1">
        <v>75.0</v>
      </c>
      <c r="BR370" s="1">
        <v>72.027</v>
      </c>
      <c r="BS370" s="1" t="b">
        <v>0</v>
      </c>
      <c r="BT370" s="1" t="b">
        <v>0</v>
      </c>
      <c r="BU370" s="1" t="s">
        <v>105</v>
      </c>
      <c r="BV370" s="1" t="s">
        <v>105</v>
      </c>
      <c r="BW370" s="1" t="s">
        <v>105</v>
      </c>
      <c r="BX370" s="1" t="s">
        <v>105</v>
      </c>
      <c r="BY370" s="1" t="s">
        <v>105</v>
      </c>
      <c r="BZ370" s="1" t="s">
        <v>105</v>
      </c>
      <c r="CA370" s="1" t="s">
        <v>105</v>
      </c>
      <c r="CB370" s="1" t="s">
        <v>105</v>
      </c>
      <c r="CC370" s="1" t="s">
        <v>105</v>
      </c>
      <c r="CD370" s="1" t="s">
        <v>105</v>
      </c>
      <c r="CE370" s="4"/>
      <c r="CF370" s="4"/>
    </row>
    <row r="371">
      <c r="A371" s="1" t="s">
        <v>82</v>
      </c>
      <c r="B371" s="1" t="s">
        <v>333</v>
      </c>
      <c r="C371" s="1">
        <v>22.0</v>
      </c>
      <c r="D371" s="5" t="s">
        <v>1689</v>
      </c>
      <c r="E371" s="1" t="s">
        <v>1690</v>
      </c>
      <c r="F371" s="1">
        <v>19.0</v>
      </c>
      <c r="G371" s="1">
        <v>0.0</v>
      </c>
      <c r="H371" s="1" t="s">
        <v>1691</v>
      </c>
      <c r="I371" s="4" t="b">
        <f>IFERROR(__xludf.DUMMYFUNCTION("IF(H371="""",,REGEXMATCH(H371,""[א-ת]""))"),FALSE)</f>
        <v>0</v>
      </c>
      <c r="J371" s="1" t="s">
        <v>1692</v>
      </c>
      <c r="K371" s="4"/>
      <c r="L371" s="1">
        <v>0.0</v>
      </c>
      <c r="M371" s="1">
        <v>21.68</v>
      </c>
      <c r="N371" s="1">
        <v>68.42</v>
      </c>
      <c r="O371" s="1">
        <v>3.601052632</v>
      </c>
      <c r="P371" s="4"/>
      <c r="Q371" s="4"/>
      <c r="R371" s="1" t="s">
        <v>89</v>
      </c>
      <c r="S371" s="1" t="s">
        <v>1690</v>
      </c>
      <c r="T371" s="1" t="s">
        <v>333</v>
      </c>
      <c r="U371" s="1">
        <v>23.0</v>
      </c>
      <c r="V371" s="5" t="s">
        <v>1689</v>
      </c>
      <c r="W371" s="1" t="s">
        <v>1690</v>
      </c>
      <c r="X371" s="1" t="s">
        <v>1693</v>
      </c>
      <c r="Y371" s="1" t="s">
        <v>1694</v>
      </c>
      <c r="Z371" s="1" t="s">
        <v>1695</v>
      </c>
      <c r="AA371" s="4" t="b">
        <f>IFERROR(__xludf.DUMMYFUNCTION("IF(X371="""",,REGEXMATCH(X371,""[א-ת]""))"),TRUE)</f>
        <v>1</v>
      </c>
      <c r="AB371" s="1">
        <v>4.26</v>
      </c>
      <c r="AC371" s="1">
        <v>94.74</v>
      </c>
      <c r="AD371" s="1">
        <v>0.160209460625679</v>
      </c>
      <c r="AE371" s="1">
        <v>0.0</v>
      </c>
      <c r="AF371" s="1">
        <v>0.0</v>
      </c>
      <c r="AG371" s="1">
        <v>6.337</v>
      </c>
      <c r="AH371" s="1">
        <v>6.781</v>
      </c>
      <c r="AI371" s="1" t="b">
        <v>0</v>
      </c>
      <c r="AJ371" s="1" t="b">
        <v>1</v>
      </c>
      <c r="AK371" s="1">
        <v>94.182</v>
      </c>
      <c r="AL371" s="1">
        <v>96.508</v>
      </c>
      <c r="AM371" s="1" t="b">
        <v>0</v>
      </c>
      <c r="AN371" s="1" t="b">
        <v>0</v>
      </c>
      <c r="AO371" s="1">
        <v>8.05</v>
      </c>
      <c r="AP371" s="1">
        <v>8.53399999999999</v>
      </c>
      <c r="AQ371" s="1" t="b">
        <v>0</v>
      </c>
      <c r="AR371" s="1" t="b">
        <v>1</v>
      </c>
      <c r="AS371" s="1">
        <v>86.9179999999999</v>
      </c>
      <c r="AT371" s="1">
        <v>87.152</v>
      </c>
      <c r="AU371" s="1" t="b">
        <v>0</v>
      </c>
      <c r="AV371" s="1" t="b">
        <v>1</v>
      </c>
      <c r="AW371" s="1">
        <v>9.61399999999999</v>
      </c>
      <c r="AX371" s="1">
        <v>11.026</v>
      </c>
      <c r="AY371" s="1" t="b">
        <v>0</v>
      </c>
      <c r="AZ371" s="1" t="b">
        <v>1</v>
      </c>
      <c r="BA371" s="1">
        <v>81.25</v>
      </c>
      <c r="BB371" s="1">
        <v>77.78</v>
      </c>
      <c r="BC371" s="1" t="b">
        <v>0</v>
      </c>
      <c r="BD371" s="1" t="b">
        <v>1</v>
      </c>
      <c r="BE371" s="1">
        <v>11.34</v>
      </c>
      <c r="BF371" s="1">
        <v>13.285</v>
      </c>
      <c r="BG371" s="1" t="b">
        <v>0</v>
      </c>
      <c r="BH371" s="1" t="b">
        <v>1</v>
      </c>
      <c r="BI371" s="1">
        <v>77.78</v>
      </c>
      <c r="BJ371" s="1">
        <v>75.0</v>
      </c>
      <c r="BK371" s="1" t="b">
        <v>0</v>
      </c>
      <c r="BL371" s="1" t="b">
        <v>1</v>
      </c>
      <c r="BM371" s="1">
        <v>13.121</v>
      </c>
      <c r="BN371" s="1">
        <v>14.568</v>
      </c>
      <c r="BO371" s="1" t="b">
        <v>0</v>
      </c>
      <c r="BP371" s="1" t="b">
        <v>1</v>
      </c>
      <c r="BQ371" s="1">
        <v>75.0</v>
      </c>
      <c r="BR371" s="1">
        <v>72.027</v>
      </c>
      <c r="BS371" s="1" t="b">
        <v>0</v>
      </c>
      <c r="BT371" s="1" t="b">
        <v>1</v>
      </c>
      <c r="BU371" s="1" t="s">
        <v>157</v>
      </c>
      <c r="BV371" s="1" t="s">
        <v>105</v>
      </c>
      <c r="BW371" s="1" t="s">
        <v>157</v>
      </c>
      <c r="BX371" s="1" t="s">
        <v>157</v>
      </c>
      <c r="BY371" s="1" t="s">
        <v>157</v>
      </c>
      <c r="BZ371" s="1" t="s">
        <v>157</v>
      </c>
      <c r="CA371" s="1" t="s">
        <v>157</v>
      </c>
      <c r="CB371" s="1" t="s">
        <v>157</v>
      </c>
      <c r="CC371" s="1" t="s">
        <v>157</v>
      </c>
      <c r="CD371" s="1" t="s">
        <v>157</v>
      </c>
      <c r="CE371" s="4"/>
      <c r="CF371" s="4"/>
    </row>
    <row r="372" hidden="1">
      <c r="A372" s="1" t="s">
        <v>82</v>
      </c>
      <c r="B372" s="1" t="s">
        <v>158</v>
      </c>
      <c r="C372" s="1">
        <v>15.0</v>
      </c>
      <c r="D372" s="5" t="s">
        <v>1696</v>
      </c>
      <c r="E372" s="1" t="s">
        <v>1697</v>
      </c>
      <c r="F372" s="1">
        <v>21.0</v>
      </c>
      <c r="G372" s="1">
        <v>0.0</v>
      </c>
      <c r="H372" s="1" t="s">
        <v>1698</v>
      </c>
      <c r="I372" s="4" t="b">
        <f>IFERROR(__xludf.DUMMYFUNCTION("IF(H372="""",,REGEXMATCH(H372,""[א-ת]""))"),FALSE)</f>
        <v>0</v>
      </c>
      <c r="J372" s="4"/>
      <c r="K372" s="4"/>
      <c r="L372" s="1">
        <v>0.0</v>
      </c>
      <c r="M372" s="1">
        <v>21.69</v>
      </c>
      <c r="N372" s="1">
        <v>57.14</v>
      </c>
      <c r="O372" s="1">
        <v>2.720952381</v>
      </c>
      <c r="P372" s="4"/>
      <c r="Q372" s="4"/>
      <c r="R372" s="1" t="s">
        <v>89</v>
      </c>
      <c r="S372" s="1" t="s">
        <v>1697</v>
      </c>
      <c r="T372" s="1" t="s">
        <v>158</v>
      </c>
      <c r="U372" s="1">
        <v>16.0</v>
      </c>
      <c r="V372" s="5" t="s">
        <v>1696</v>
      </c>
      <c r="W372" s="1" t="s">
        <v>1697</v>
      </c>
      <c r="X372" s="1" t="s">
        <v>1699</v>
      </c>
      <c r="Y372" s="4"/>
      <c r="Z372" s="4"/>
      <c r="AA372" s="4" t="b">
        <f>IFERROR(__xludf.DUMMYFUNCTION("IF(X372="""",,REGEXMATCH(X372,""[א-ת]""))"),FALSE)</f>
        <v>0</v>
      </c>
      <c r="AB372" s="1">
        <v>29.91</v>
      </c>
      <c r="AC372" s="1">
        <v>38.1</v>
      </c>
      <c r="AD372" s="1">
        <v>0.601440598507394</v>
      </c>
      <c r="AE372" s="1">
        <v>0.0</v>
      </c>
      <c r="AF372" s="1">
        <v>0.0</v>
      </c>
      <c r="AG372" s="1">
        <v>6.337</v>
      </c>
      <c r="AH372" s="1">
        <v>6.781</v>
      </c>
      <c r="AI372" s="1" t="b">
        <v>0</v>
      </c>
      <c r="AJ372" s="1" t="b">
        <v>0</v>
      </c>
      <c r="AK372" s="1">
        <v>94.182</v>
      </c>
      <c r="AL372" s="1">
        <v>96.508</v>
      </c>
      <c r="AM372" s="1" t="b">
        <v>0</v>
      </c>
      <c r="AN372" s="1" t="b">
        <v>0</v>
      </c>
      <c r="AO372" s="1">
        <v>8.05</v>
      </c>
      <c r="AP372" s="1">
        <v>8.53399999999999</v>
      </c>
      <c r="AQ372" s="1" t="b">
        <v>0</v>
      </c>
      <c r="AR372" s="1" t="b">
        <v>0</v>
      </c>
      <c r="AS372" s="1">
        <v>86.9179999999999</v>
      </c>
      <c r="AT372" s="1">
        <v>87.152</v>
      </c>
      <c r="AU372" s="1" t="b">
        <v>0</v>
      </c>
      <c r="AV372" s="1" t="b">
        <v>0</v>
      </c>
      <c r="AW372" s="1">
        <v>9.61399999999999</v>
      </c>
      <c r="AX372" s="1">
        <v>11.026</v>
      </c>
      <c r="AY372" s="1" t="b">
        <v>0</v>
      </c>
      <c r="AZ372" s="1" t="b">
        <v>0</v>
      </c>
      <c r="BA372" s="1">
        <v>81.25</v>
      </c>
      <c r="BB372" s="1">
        <v>77.78</v>
      </c>
      <c r="BC372" s="1" t="b">
        <v>0</v>
      </c>
      <c r="BD372" s="1" t="b">
        <v>0</v>
      </c>
      <c r="BE372" s="1">
        <v>11.34</v>
      </c>
      <c r="BF372" s="1">
        <v>13.285</v>
      </c>
      <c r="BG372" s="1" t="b">
        <v>0</v>
      </c>
      <c r="BH372" s="1" t="b">
        <v>0</v>
      </c>
      <c r="BI372" s="1">
        <v>77.78</v>
      </c>
      <c r="BJ372" s="1">
        <v>75.0</v>
      </c>
      <c r="BK372" s="1" t="b">
        <v>0</v>
      </c>
      <c r="BL372" s="1" t="b">
        <v>0</v>
      </c>
      <c r="BM372" s="1">
        <v>13.121</v>
      </c>
      <c r="BN372" s="1">
        <v>14.568</v>
      </c>
      <c r="BO372" s="1" t="b">
        <v>0</v>
      </c>
      <c r="BP372" s="1" t="b">
        <v>0</v>
      </c>
      <c r="BQ372" s="1">
        <v>75.0</v>
      </c>
      <c r="BR372" s="1">
        <v>72.027</v>
      </c>
      <c r="BS372" s="1" t="b">
        <v>0</v>
      </c>
      <c r="BT372" s="1" t="b">
        <v>0</v>
      </c>
      <c r="BU372" s="1" t="s">
        <v>105</v>
      </c>
      <c r="BV372" s="1" t="s">
        <v>105</v>
      </c>
      <c r="BW372" s="1" t="s">
        <v>105</v>
      </c>
      <c r="BX372" s="1" t="s">
        <v>105</v>
      </c>
      <c r="BY372" s="1" t="s">
        <v>105</v>
      </c>
      <c r="BZ372" s="1" t="s">
        <v>105</v>
      </c>
      <c r="CA372" s="1" t="s">
        <v>105</v>
      </c>
      <c r="CB372" s="1" t="s">
        <v>105</v>
      </c>
      <c r="CC372" s="1" t="s">
        <v>105</v>
      </c>
      <c r="CD372" s="1" t="s">
        <v>105</v>
      </c>
      <c r="CE372" s="4"/>
      <c r="CF372" s="4"/>
    </row>
    <row r="373" hidden="1">
      <c r="A373" s="1" t="s">
        <v>82</v>
      </c>
      <c r="B373" s="1" t="s">
        <v>631</v>
      </c>
      <c r="C373" s="1">
        <v>3.0</v>
      </c>
      <c r="D373" s="5" t="s">
        <v>1700</v>
      </c>
      <c r="E373" s="1" t="s">
        <v>1701</v>
      </c>
      <c r="F373" s="1">
        <v>65.0</v>
      </c>
      <c r="G373" s="1">
        <v>-0.9022</v>
      </c>
      <c r="H373" s="1" t="s">
        <v>1702</v>
      </c>
      <c r="I373" s="4" t="b">
        <f>IFERROR(__xludf.DUMMYFUNCTION("IF(H373="""",,REGEXMATCH(H373,""[א-ת]""))"),FALSE)</f>
        <v>0</v>
      </c>
      <c r="J373" s="4"/>
      <c r="K373" s="4"/>
      <c r="L373" s="1">
        <v>-0.9403</v>
      </c>
      <c r="M373" s="1">
        <v>21.72</v>
      </c>
      <c r="N373" s="1">
        <v>63.08</v>
      </c>
      <c r="O373" s="1">
        <v>0.9704615385</v>
      </c>
      <c r="P373" s="4"/>
      <c r="Q373" s="4"/>
      <c r="R373" s="1" t="s">
        <v>89</v>
      </c>
      <c r="S373" s="1" t="s">
        <v>1701</v>
      </c>
      <c r="T373" s="1" t="s">
        <v>631</v>
      </c>
      <c r="U373" s="1">
        <v>4.0</v>
      </c>
      <c r="V373" s="5" t="s">
        <v>1700</v>
      </c>
      <c r="W373" s="1" t="s">
        <v>1701</v>
      </c>
      <c r="X373" s="1" t="s">
        <v>1703</v>
      </c>
      <c r="Y373" s="4"/>
      <c r="Z373" s="4"/>
      <c r="AA373" s="4" t="b">
        <f>IFERROR(__xludf.DUMMYFUNCTION("IF(X373="""",,REGEXMATCH(X373,""[א-ת]""))"),FALSE)</f>
        <v>0</v>
      </c>
      <c r="AB373" s="1">
        <v>27.05</v>
      </c>
      <c r="AC373" s="1">
        <v>50.77</v>
      </c>
      <c r="AD373" s="1">
        <v>0.693105305295246</v>
      </c>
      <c r="AE373" s="1">
        <v>-0.9234</v>
      </c>
      <c r="AF373" s="1">
        <v>-0.9022</v>
      </c>
      <c r="AG373" s="1">
        <v>6.337</v>
      </c>
      <c r="AH373" s="1">
        <v>6.781</v>
      </c>
      <c r="AI373" s="1" t="b">
        <v>0</v>
      </c>
      <c r="AJ373" s="1" t="b">
        <v>0</v>
      </c>
      <c r="AK373" s="1">
        <v>94.182</v>
      </c>
      <c r="AL373" s="1">
        <v>96.508</v>
      </c>
      <c r="AM373" s="1" t="b">
        <v>0</v>
      </c>
      <c r="AN373" s="1" t="b">
        <v>0</v>
      </c>
      <c r="AO373" s="1">
        <v>8.05</v>
      </c>
      <c r="AP373" s="1">
        <v>8.53399999999999</v>
      </c>
      <c r="AQ373" s="1" t="b">
        <v>0</v>
      </c>
      <c r="AR373" s="1" t="b">
        <v>0</v>
      </c>
      <c r="AS373" s="1">
        <v>86.9179999999999</v>
      </c>
      <c r="AT373" s="1">
        <v>87.152</v>
      </c>
      <c r="AU373" s="1" t="b">
        <v>0</v>
      </c>
      <c r="AV373" s="1" t="b">
        <v>0</v>
      </c>
      <c r="AW373" s="1">
        <v>9.61399999999999</v>
      </c>
      <c r="AX373" s="1">
        <v>11.026</v>
      </c>
      <c r="AY373" s="1" t="b">
        <v>0</v>
      </c>
      <c r="AZ373" s="1" t="b">
        <v>0</v>
      </c>
      <c r="BA373" s="1">
        <v>81.25</v>
      </c>
      <c r="BB373" s="1">
        <v>77.78</v>
      </c>
      <c r="BC373" s="1" t="b">
        <v>0</v>
      </c>
      <c r="BD373" s="1" t="b">
        <v>0</v>
      </c>
      <c r="BE373" s="1">
        <v>11.34</v>
      </c>
      <c r="BF373" s="1">
        <v>13.285</v>
      </c>
      <c r="BG373" s="1" t="b">
        <v>0</v>
      </c>
      <c r="BH373" s="1" t="b">
        <v>0</v>
      </c>
      <c r="BI373" s="1">
        <v>77.78</v>
      </c>
      <c r="BJ373" s="1">
        <v>75.0</v>
      </c>
      <c r="BK373" s="1" t="b">
        <v>0</v>
      </c>
      <c r="BL373" s="1" t="b">
        <v>0</v>
      </c>
      <c r="BM373" s="1">
        <v>13.121</v>
      </c>
      <c r="BN373" s="1">
        <v>14.568</v>
      </c>
      <c r="BO373" s="1" t="b">
        <v>0</v>
      </c>
      <c r="BP373" s="1" t="b">
        <v>0</v>
      </c>
      <c r="BQ373" s="1">
        <v>75.0</v>
      </c>
      <c r="BR373" s="1">
        <v>72.027</v>
      </c>
      <c r="BS373" s="1" t="b">
        <v>0</v>
      </c>
      <c r="BT373" s="1" t="b">
        <v>0</v>
      </c>
      <c r="BU373" s="1" t="s">
        <v>105</v>
      </c>
      <c r="BV373" s="1" t="s">
        <v>105</v>
      </c>
      <c r="BW373" s="1" t="s">
        <v>105</v>
      </c>
      <c r="BX373" s="1" t="s">
        <v>105</v>
      </c>
      <c r="BY373" s="1" t="s">
        <v>105</v>
      </c>
      <c r="BZ373" s="1" t="s">
        <v>105</v>
      </c>
      <c r="CA373" s="1" t="s">
        <v>105</v>
      </c>
      <c r="CB373" s="1" t="s">
        <v>105</v>
      </c>
      <c r="CC373" s="1" t="s">
        <v>105</v>
      </c>
      <c r="CD373" s="1" t="s">
        <v>105</v>
      </c>
      <c r="CE373" s="4"/>
      <c r="CF373" s="4"/>
    </row>
    <row r="374" hidden="1">
      <c r="A374" s="1" t="s">
        <v>82</v>
      </c>
      <c r="B374" s="1" t="s">
        <v>139</v>
      </c>
      <c r="C374" s="1">
        <v>11.0</v>
      </c>
      <c r="D374" s="5" t="s">
        <v>1704</v>
      </c>
      <c r="E374" s="1" t="s">
        <v>1705</v>
      </c>
      <c r="F374" s="1">
        <v>53.0</v>
      </c>
      <c r="G374" s="1">
        <v>0.3612</v>
      </c>
      <c r="H374" s="1" t="s">
        <v>1706</v>
      </c>
      <c r="I374" s="4" t="b">
        <f>IFERROR(__xludf.DUMMYFUNCTION("IF(H374="""",,REGEXMATCH(H374,""[א-ת]""))"),FALSE)</f>
        <v>0</v>
      </c>
      <c r="J374" s="4"/>
      <c r="K374" s="4"/>
      <c r="L374" s="1">
        <v>0.3612</v>
      </c>
      <c r="M374" s="1">
        <v>21.76</v>
      </c>
      <c r="N374" s="1">
        <v>56.6</v>
      </c>
      <c r="O374" s="1">
        <v>1.067924528</v>
      </c>
      <c r="P374" s="4"/>
      <c r="Q374" s="4"/>
      <c r="R374" s="1" t="s">
        <v>96</v>
      </c>
      <c r="S374" s="1" t="s">
        <v>1705</v>
      </c>
      <c r="T374" s="1" t="s">
        <v>139</v>
      </c>
      <c r="U374" s="1">
        <v>12.0</v>
      </c>
      <c r="V374" s="5" t="s">
        <v>1704</v>
      </c>
      <c r="W374" s="1" t="s">
        <v>1705</v>
      </c>
      <c r="X374" s="1" t="s">
        <v>1707</v>
      </c>
      <c r="Y374" s="4"/>
      <c r="Z374" s="4"/>
      <c r="AA374" s="4" t="b">
        <f>IFERROR(__xludf.DUMMYFUNCTION("IF(X374="""",,REGEXMATCH(X374,""[א-ת]""))"),FALSE)</f>
        <v>0</v>
      </c>
      <c r="AB374" s="1">
        <v>22.32</v>
      </c>
      <c r="AC374" s="1">
        <v>54.72</v>
      </c>
      <c r="AD374" s="1">
        <v>0.42368878632924</v>
      </c>
      <c r="AE374" s="1">
        <v>0.836</v>
      </c>
      <c r="AF374" s="1">
        <v>0.3612</v>
      </c>
      <c r="AG374" s="1">
        <v>6.337</v>
      </c>
      <c r="AH374" s="1">
        <v>6.781</v>
      </c>
      <c r="AI374" s="1" t="b">
        <v>0</v>
      </c>
      <c r="AJ374" s="1" t="b">
        <v>0</v>
      </c>
      <c r="AK374" s="1">
        <v>94.182</v>
      </c>
      <c r="AL374" s="1">
        <v>96.508</v>
      </c>
      <c r="AM374" s="1" t="b">
        <v>0</v>
      </c>
      <c r="AN374" s="1" t="b">
        <v>0</v>
      </c>
      <c r="AO374" s="1">
        <v>8.05</v>
      </c>
      <c r="AP374" s="1">
        <v>8.53399999999999</v>
      </c>
      <c r="AQ374" s="1" t="b">
        <v>0</v>
      </c>
      <c r="AR374" s="1" t="b">
        <v>0</v>
      </c>
      <c r="AS374" s="1">
        <v>86.9179999999999</v>
      </c>
      <c r="AT374" s="1">
        <v>87.152</v>
      </c>
      <c r="AU374" s="1" t="b">
        <v>0</v>
      </c>
      <c r="AV374" s="1" t="b">
        <v>0</v>
      </c>
      <c r="AW374" s="1">
        <v>9.61399999999999</v>
      </c>
      <c r="AX374" s="1">
        <v>11.026</v>
      </c>
      <c r="AY374" s="1" t="b">
        <v>0</v>
      </c>
      <c r="AZ374" s="1" t="b">
        <v>0</v>
      </c>
      <c r="BA374" s="1">
        <v>81.25</v>
      </c>
      <c r="BB374" s="1">
        <v>77.78</v>
      </c>
      <c r="BC374" s="1" t="b">
        <v>0</v>
      </c>
      <c r="BD374" s="1" t="b">
        <v>0</v>
      </c>
      <c r="BE374" s="1">
        <v>11.34</v>
      </c>
      <c r="BF374" s="1">
        <v>13.285</v>
      </c>
      <c r="BG374" s="1" t="b">
        <v>0</v>
      </c>
      <c r="BH374" s="1" t="b">
        <v>0</v>
      </c>
      <c r="BI374" s="1">
        <v>77.78</v>
      </c>
      <c r="BJ374" s="1">
        <v>75.0</v>
      </c>
      <c r="BK374" s="1" t="b">
        <v>0</v>
      </c>
      <c r="BL374" s="1" t="b">
        <v>0</v>
      </c>
      <c r="BM374" s="1">
        <v>13.121</v>
      </c>
      <c r="BN374" s="1">
        <v>14.568</v>
      </c>
      <c r="BO374" s="1" t="b">
        <v>0</v>
      </c>
      <c r="BP374" s="1" t="b">
        <v>0</v>
      </c>
      <c r="BQ374" s="1">
        <v>75.0</v>
      </c>
      <c r="BR374" s="1">
        <v>72.027</v>
      </c>
      <c r="BS374" s="1" t="b">
        <v>0</v>
      </c>
      <c r="BT374" s="1" t="b">
        <v>0</v>
      </c>
      <c r="BU374" s="1" t="s">
        <v>105</v>
      </c>
      <c r="BV374" s="1" t="s">
        <v>105</v>
      </c>
      <c r="BW374" s="1" t="s">
        <v>105</v>
      </c>
      <c r="BX374" s="1" t="s">
        <v>105</v>
      </c>
      <c r="BY374" s="1" t="s">
        <v>105</v>
      </c>
      <c r="BZ374" s="1" t="s">
        <v>105</v>
      </c>
      <c r="CA374" s="1" t="s">
        <v>105</v>
      </c>
      <c r="CB374" s="1" t="s">
        <v>105</v>
      </c>
      <c r="CC374" s="1" t="s">
        <v>105</v>
      </c>
      <c r="CD374" s="1" t="s">
        <v>105</v>
      </c>
      <c r="CE374" s="4"/>
      <c r="CF374" s="4"/>
    </row>
    <row r="375" hidden="1">
      <c r="A375" s="1" t="s">
        <v>82</v>
      </c>
      <c r="B375" s="1" t="s">
        <v>145</v>
      </c>
      <c r="C375" s="1">
        <v>26.0</v>
      </c>
      <c r="D375" s="5" t="s">
        <v>1708</v>
      </c>
      <c r="E375" s="1" t="s">
        <v>1709</v>
      </c>
      <c r="F375" s="1">
        <v>23.0</v>
      </c>
      <c r="G375" s="1">
        <v>0.5023</v>
      </c>
      <c r="H375" s="1" t="s">
        <v>1710</v>
      </c>
      <c r="I375" s="4" t="b">
        <f>IFERROR(__xludf.DUMMYFUNCTION("IF(H375="""",,REGEXMATCH(H375,""[א-ת]""))"),FALSE)</f>
        <v>0</v>
      </c>
      <c r="J375" s="4"/>
      <c r="K375" s="4"/>
      <c r="L375" s="1">
        <v>0.0</v>
      </c>
      <c r="M375" s="1">
        <v>21.77</v>
      </c>
      <c r="N375" s="1">
        <v>65.22</v>
      </c>
      <c r="O375" s="1">
        <v>2.835652174</v>
      </c>
      <c r="P375" s="4"/>
      <c r="Q375" s="4"/>
      <c r="R375" s="1" t="s">
        <v>89</v>
      </c>
      <c r="S375" s="1" t="s">
        <v>1709</v>
      </c>
      <c r="T375" s="1" t="s">
        <v>145</v>
      </c>
      <c r="U375" s="1">
        <v>27.0</v>
      </c>
      <c r="V375" s="5" t="s">
        <v>1708</v>
      </c>
      <c r="W375" s="1" t="s">
        <v>1709</v>
      </c>
      <c r="X375" s="1" t="s">
        <v>1711</v>
      </c>
      <c r="Y375" s="4"/>
      <c r="Z375" s="4"/>
      <c r="AA375" s="4" t="b">
        <f>IFERROR(__xludf.DUMMYFUNCTION("IF(X375="""",,REGEXMATCH(X375,""[א-ת]""))"),FALSE)</f>
        <v>0</v>
      </c>
      <c r="AB375" s="1">
        <v>17.76</v>
      </c>
      <c r="AC375" s="1">
        <v>78.26</v>
      </c>
      <c r="AD375" s="1">
        <v>0.432833844858091</v>
      </c>
      <c r="AE375" s="1">
        <v>0.0</v>
      </c>
      <c r="AF375" s="1">
        <v>0.5023</v>
      </c>
      <c r="AG375" s="1">
        <v>6.337</v>
      </c>
      <c r="AH375" s="1">
        <v>6.781</v>
      </c>
      <c r="AI375" s="1" t="b">
        <v>0</v>
      </c>
      <c r="AJ375" s="1" t="b">
        <v>0</v>
      </c>
      <c r="AK375" s="1">
        <v>94.182</v>
      </c>
      <c r="AL375" s="1">
        <v>96.508</v>
      </c>
      <c r="AM375" s="1" t="b">
        <v>0</v>
      </c>
      <c r="AN375" s="1" t="b">
        <v>0</v>
      </c>
      <c r="AO375" s="1">
        <v>8.05</v>
      </c>
      <c r="AP375" s="1">
        <v>8.53399999999999</v>
      </c>
      <c r="AQ375" s="1" t="b">
        <v>0</v>
      </c>
      <c r="AR375" s="1" t="b">
        <v>0</v>
      </c>
      <c r="AS375" s="1">
        <v>86.9179999999999</v>
      </c>
      <c r="AT375" s="1">
        <v>87.152</v>
      </c>
      <c r="AU375" s="1" t="b">
        <v>0</v>
      </c>
      <c r="AV375" s="1" t="b">
        <v>0</v>
      </c>
      <c r="AW375" s="1">
        <v>9.61399999999999</v>
      </c>
      <c r="AX375" s="1">
        <v>11.026</v>
      </c>
      <c r="AY375" s="1" t="b">
        <v>0</v>
      </c>
      <c r="AZ375" s="1" t="b">
        <v>0</v>
      </c>
      <c r="BA375" s="1">
        <v>81.25</v>
      </c>
      <c r="BB375" s="1">
        <v>77.78</v>
      </c>
      <c r="BC375" s="1" t="b">
        <v>0</v>
      </c>
      <c r="BD375" s="1" t="b">
        <v>1</v>
      </c>
      <c r="BE375" s="1">
        <v>11.34</v>
      </c>
      <c r="BF375" s="1">
        <v>13.285</v>
      </c>
      <c r="BG375" s="1" t="b">
        <v>0</v>
      </c>
      <c r="BH375" s="1" t="b">
        <v>0</v>
      </c>
      <c r="BI375" s="1">
        <v>77.78</v>
      </c>
      <c r="BJ375" s="1">
        <v>75.0</v>
      </c>
      <c r="BK375" s="1" t="b">
        <v>0</v>
      </c>
      <c r="BL375" s="1" t="b">
        <v>1</v>
      </c>
      <c r="BM375" s="1">
        <v>13.121</v>
      </c>
      <c r="BN375" s="1">
        <v>14.568</v>
      </c>
      <c r="BO375" s="1" t="b">
        <v>0</v>
      </c>
      <c r="BP375" s="1" t="b">
        <v>0</v>
      </c>
      <c r="BQ375" s="1">
        <v>75.0</v>
      </c>
      <c r="BR375" s="1">
        <v>72.027</v>
      </c>
      <c r="BS375" s="1" t="b">
        <v>0</v>
      </c>
      <c r="BT375" s="1" t="b">
        <v>1</v>
      </c>
      <c r="BU375" s="1" t="s">
        <v>105</v>
      </c>
      <c r="BV375" s="1" t="s">
        <v>105</v>
      </c>
      <c r="BW375" s="1" t="s">
        <v>105</v>
      </c>
      <c r="BX375" s="1" t="s">
        <v>105</v>
      </c>
      <c r="BY375" s="1" t="s">
        <v>105</v>
      </c>
      <c r="BZ375" s="1" t="s">
        <v>157</v>
      </c>
      <c r="CA375" s="1" t="s">
        <v>105</v>
      </c>
      <c r="CB375" s="1" t="s">
        <v>157</v>
      </c>
      <c r="CC375" s="1" t="s">
        <v>105</v>
      </c>
      <c r="CD375" s="1" t="s">
        <v>157</v>
      </c>
      <c r="CE375" s="4"/>
      <c r="CF375" s="4"/>
    </row>
    <row r="376" hidden="1">
      <c r="A376" s="1" t="s">
        <v>82</v>
      </c>
      <c r="B376" s="1" t="s">
        <v>631</v>
      </c>
      <c r="C376" s="1">
        <v>14.0</v>
      </c>
      <c r="D376" s="5" t="s">
        <v>1712</v>
      </c>
      <c r="E376" s="1" t="s">
        <v>1713</v>
      </c>
      <c r="F376" s="1">
        <v>76.0</v>
      </c>
      <c r="G376" s="1">
        <v>-0.9666</v>
      </c>
      <c r="H376" s="1" t="s">
        <v>1714</v>
      </c>
      <c r="I376" s="4" t="b">
        <f>IFERROR(__xludf.DUMMYFUNCTION("IF(H376="""",,REGEXMATCH(H376,""[א-ת]""))"),FALSE)</f>
        <v>0</v>
      </c>
      <c r="J376" s="4"/>
      <c r="K376" s="4"/>
      <c r="L376" s="1">
        <v>-0.969</v>
      </c>
      <c r="M376" s="1">
        <v>21.83</v>
      </c>
      <c r="N376" s="1">
        <v>65.79</v>
      </c>
      <c r="O376" s="1">
        <v>0.8656578947</v>
      </c>
      <c r="P376" s="4"/>
      <c r="Q376" s="4"/>
      <c r="R376" s="1" t="s">
        <v>89</v>
      </c>
      <c r="S376" s="1" t="s">
        <v>1713</v>
      </c>
      <c r="T376" s="1" t="s">
        <v>631</v>
      </c>
      <c r="U376" s="1">
        <v>15.0</v>
      </c>
      <c r="V376" s="5" t="s">
        <v>1712</v>
      </c>
      <c r="W376" s="1" t="s">
        <v>1713</v>
      </c>
      <c r="X376" s="1" t="s">
        <v>1715</v>
      </c>
      <c r="Y376" s="4"/>
      <c r="Z376" s="4"/>
      <c r="AA376" s="4" t="b">
        <f>IFERROR(__xludf.DUMMYFUNCTION("IF(X376="""",,REGEXMATCH(X376,""[א-ת]""))"),FALSE)</f>
        <v>0</v>
      </c>
      <c r="AB376" s="1">
        <v>37.99</v>
      </c>
      <c r="AC376" s="1">
        <v>32.89</v>
      </c>
      <c r="AD376" s="1">
        <v>0.840090716710048</v>
      </c>
      <c r="AE376" s="1">
        <v>-0.9652</v>
      </c>
      <c r="AF376" s="1">
        <v>-0.9666</v>
      </c>
      <c r="AG376" s="1">
        <v>6.337</v>
      </c>
      <c r="AH376" s="1">
        <v>6.781</v>
      </c>
      <c r="AI376" s="1" t="b">
        <v>0</v>
      </c>
      <c r="AJ376" s="1" t="b">
        <v>0</v>
      </c>
      <c r="AK376" s="1">
        <v>94.182</v>
      </c>
      <c r="AL376" s="1">
        <v>96.508</v>
      </c>
      <c r="AM376" s="1" t="b">
        <v>0</v>
      </c>
      <c r="AN376" s="1" t="b">
        <v>0</v>
      </c>
      <c r="AO376" s="1">
        <v>8.05</v>
      </c>
      <c r="AP376" s="1">
        <v>8.53399999999999</v>
      </c>
      <c r="AQ376" s="1" t="b">
        <v>0</v>
      </c>
      <c r="AR376" s="1" t="b">
        <v>0</v>
      </c>
      <c r="AS376" s="1">
        <v>86.9179999999999</v>
      </c>
      <c r="AT376" s="1">
        <v>87.152</v>
      </c>
      <c r="AU376" s="1" t="b">
        <v>0</v>
      </c>
      <c r="AV376" s="1" t="b">
        <v>0</v>
      </c>
      <c r="AW376" s="1">
        <v>9.61399999999999</v>
      </c>
      <c r="AX376" s="1">
        <v>11.026</v>
      </c>
      <c r="AY376" s="1" t="b">
        <v>0</v>
      </c>
      <c r="AZ376" s="1" t="b">
        <v>0</v>
      </c>
      <c r="BA376" s="1">
        <v>81.25</v>
      </c>
      <c r="BB376" s="1">
        <v>77.78</v>
      </c>
      <c r="BC376" s="1" t="b">
        <v>0</v>
      </c>
      <c r="BD376" s="1" t="b">
        <v>0</v>
      </c>
      <c r="BE376" s="1">
        <v>11.34</v>
      </c>
      <c r="BF376" s="1">
        <v>13.285</v>
      </c>
      <c r="BG376" s="1" t="b">
        <v>0</v>
      </c>
      <c r="BH376" s="1" t="b">
        <v>0</v>
      </c>
      <c r="BI376" s="1">
        <v>77.78</v>
      </c>
      <c r="BJ376" s="1">
        <v>75.0</v>
      </c>
      <c r="BK376" s="1" t="b">
        <v>0</v>
      </c>
      <c r="BL376" s="1" t="b">
        <v>0</v>
      </c>
      <c r="BM376" s="1">
        <v>13.121</v>
      </c>
      <c r="BN376" s="1">
        <v>14.568</v>
      </c>
      <c r="BO376" s="1" t="b">
        <v>0</v>
      </c>
      <c r="BP376" s="1" t="b">
        <v>0</v>
      </c>
      <c r="BQ376" s="1">
        <v>75.0</v>
      </c>
      <c r="BR376" s="1">
        <v>72.027</v>
      </c>
      <c r="BS376" s="1" t="b">
        <v>0</v>
      </c>
      <c r="BT376" s="1" t="b">
        <v>0</v>
      </c>
      <c r="BU376" s="1" t="s">
        <v>105</v>
      </c>
      <c r="BV376" s="1" t="s">
        <v>105</v>
      </c>
      <c r="BW376" s="1" t="s">
        <v>105</v>
      </c>
      <c r="BX376" s="1" t="s">
        <v>105</v>
      </c>
      <c r="BY376" s="1" t="s">
        <v>105</v>
      </c>
      <c r="BZ376" s="1" t="s">
        <v>105</v>
      </c>
      <c r="CA376" s="1" t="s">
        <v>105</v>
      </c>
      <c r="CB376" s="1" t="s">
        <v>105</v>
      </c>
      <c r="CC376" s="1" t="s">
        <v>105</v>
      </c>
      <c r="CD376" s="1" t="s">
        <v>105</v>
      </c>
      <c r="CE376" s="4"/>
      <c r="CF376" s="4"/>
    </row>
    <row r="377" hidden="1">
      <c r="A377" s="1" t="s">
        <v>82</v>
      </c>
      <c r="B377" s="1" t="s">
        <v>631</v>
      </c>
      <c r="C377" s="1">
        <v>0.0</v>
      </c>
      <c r="D377" s="5" t="s">
        <v>1716</v>
      </c>
      <c r="E377" s="1" t="s">
        <v>1717</v>
      </c>
      <c r="F377" s="1">
        <v>28.0</v>
      </c>
      <c r="G377" s="1">
        <v>-0.4939</v>
      </c>
      <c r="H377" s="1" t="s">
        <v>1718</v>
      </c>
      <c r="I377" s="4" t="b">
        <f>IFERROR(__xludf.DUMMYFUNCTION("IF(H377="""",,REGEXMATCH(H377,""[א-ת]""))"),FALSE)</f>
        <v>0</v>
      </c>
      <c r="J377" s="4"/>
      <c r="K377" s="4"/>
      <c r="L377" s="1">
        <v>-0.3182</v>
      </c>
      <c r="M377" s="1">
        <v>21.89</v>
      </c>
      <c r="N377" s="1">
        <v>71.43</v>
      </c>
      <c r="O377" s="1">
        <v>2.551071429</v>
      </c>
      <c r="P377" s="4"/>
      <c r="Q377" s="4"/>
      <c r="R377" s="1" t="s">
        <v>89</v>
      </c>
      <c r="S377" s="1" t="s">
        <v>1717</v>
      </c>
      <c r="T377" s="1" t="s">
        <v>631</v>
      </c>
      <c r="U377" s="1">
        <v>1.0</v>
      </c>
      <c r="V377" s="5" t="s">
        <v>1716</v>
      </c>
      <c r="W377" s="1" t="s">
        <v>1717</v>
      </c>
      <c r="X377" s="1" t="s">
        <v>1719</v>
      </c>
      <c r="Y377" s="4"/>
      <c r="Z377" s="4"/>
      <c r="AA377" s="4" t="b">
        <f>IFERROR(__xludf.DUMMYFUNCTION("IF(X377="""",,REGEXMATCH(X377,""[א-ת]""))"),FALSE)</f>
        <v>0</v>
      </c>
      <c r="AB377" s="1">
        <v>31.93</v>
      </c>
      <c r="AC377" s="1">
        <v>60.71</v>
      </c>
      <c r="AD377" s="1">
        <v>0.692715081338841</v>
      </c>
      <c r="AE377" s="1">
        <v>0.0</v>
      </c>
      <c r="AF377" s="1">
        <v>-0.4939</v>
      </c>
      <c r="AG377" s="1">
        <v>6.337</v>
      </c>
      <c r="AH377" s="1">
        <v>6.781</v>
      </c>
      <c r="AI377" s="1" t="b">
        <v>0</v>
      </c>
      <c r="AJ377" s="1" t="b">
        <v>0</v>
      </c>
      <c r="AK377" s="1">
        <v>94.182</v>
      </c>
      <c r="AL377" s="1">
        <v>96.508</v>
      </c>
      <c r="AM377" s="1" t="b">
        <v>0</v>
      </c>
      <c r="AN377" s="1" t="b">
        <v>0</v>
      </c>
      <c r="AO377" s="1">
        <v>8.05</v>
      </c>
      <c r="AP377" s="1">
        <v>8.53399999999999</v>
      </c>
      <c r="AQ377" s="1" t="b">
        <v>0</v>
      </c>
      <c r="AR377" s="1" t="b">
        <v>0</v>
      </c>
      <c r="AS377" s="1">
        <v>86.9179999999999</v>
      </c>
      <c r="AT377" s="1">
        <v>87.152</v>
      </c>
      <c r="AU377" s="1" t="b">
        <v>0</v>
      </c>
      <c r="AV377" s="1" t="b">
        <v>0</v>
      </c>
      <c r="AW377" s="1">
        <v>9.61399999999999</v>
      </c>
      <c r="AX377" s="1">
        <v>11.026</v>
      </c>
      <c r="AY377" s="1" t="b">
        <v>0</v>
      </c>
      <c r="AZ377" s="1" t="b">
        <v>0</v>
      </c>
      <c r="BA377" s="1">
        <v>81.25</v>
      </c>
      <c r="BB377" s="1">
        <v>77.78</v>
      </c>
      <c r="BC377" s="1" t="b">
        <v>0</v>
      </c>
      <c r="BD377" s="1" t="b">
        <v>0</v>
      </c>
      <c r="BE377" s="1">
        <v>11.34</v>
      </c>
      <c r="BF377" s="1">
        <v>13.285</v>
      </c>
      <c r="BG377" s="1" t="b">
        <v>0</v>
      </c>
      <c r="BH377" s="1" t="b">
        <v>0</v>
      </c>
      <c r="BI377" s="1">
        <v>77.78</v>
      </c>
      <c r="BJ377" s="1">
        <v>75.0</v>
      </c>
      <c r="BK377" s="1" t="b">
        <v>0</v>
      </c>
      <c r="BL377" s="1" t="b">
        <v>0</v>
      </c>
      <c r="BM377" s="1">
        <v>13.121</v>
      </c>
      <c r="BN377" s="1">
        <v>14.568</v>
      </c>
      <c r="BO377" s="1" t="b">
        <v>0</v>
      </c>
      <c r="BP377" s="1" t="b">
        <v>0</v>
      </c>
      <c r="BQ377" s="1">
        <v>75.0</v>
      </c>
      <c r="BR377" s="1">
        <v>72.027</v>
      </c>
      <c r="BS377" s="1" t="b">
        <v>0</v>
      </c>
      <c r="BT377" s="1" t="b">
        <v>0</v>
      </c>
      <c r="BU377" s="1" t="s">
        <v>105</v>
      </c>
      <c r="BV377" s="1" t="s">
        <v>105</v>
      </c>
      <c r="BW377" s="1" t="s">
        <v>105</v>
      </c>
      <c r="BX377" s="1" t="s">
        <v>105</v>
      </c>
      <c r="BY377" s="1" t="s">
        <v>105</v>
      </c>
      <c r="BZ377" s="1" t="s">
        <v>105</v>
      </c>
      <c r="CA377" s="1" t="s">
        <v>105</v>
      </c>
      <c r="CB377" s="1" t="s">
        <v>105</v>
      </c>
      <c r="CC377" s="1" t="s">
        <v>105</v>
      </c>
      <c r="CD377" s="1" t="s">
        <v>105</v>
      </c>
      <c r="CE377" s="4"/>
      <c r="CF377" s="4"/>
    </row>
    <row r="378" hidden="1">
      <c r="A378" s="1" t="s">
        <v>82</v>
      </c>
      <c r="B378" s="1" t="s">
        <v>92</v>
      </c>
      <c r="C378" s="1">
        <v>28.0</v>
      </c>
      <c r="D378" s="5" t="s">
        <v>1720</v>
      </c>
      <c r="E378" s="1" t="s">
        <v>1721</v>
      </c>
      <c r="F378" s="1">
        <v>75.0</v>
      </c>
      <c r="G378" s="1">
        <v>0.9127</v>
      </c>
      <c r="H378" s="1" t="s">
        <v>1722</v>
      </c>
      <c r="I378" s="4" t="b">
        <f>IFERROR(__xludf.DUMMYFUNCTION("IF(H378="""",,REGEXMATCH(H378,""[א-ת]""))"),FALSE)</f>
        <v>0</v>
      </c>
      <c r="J378" s="4"/>
      <c r="K378" s="4"/>
      <c r="L378" s="1">
        <v>0.0772</v>
      </c>
      <c r="M378" s="1">
        <v>21.98</v>
      </c>
      <c r="N378" s="1">
        <v>53.33</v>
      </c>
      <c r="O378" s="1">
        <v>0.7110666667</v>
      </c>
      <c r="P378" s="4"/>
      <c r="Q378" s="4"/>
      <c r="R378" s="1" t="s">
        <v>96</v>
      </c>
      <c r="S378" s="1" t="s">
        <v>1721</v>
      </c>
      <c r="T378" s="1" t="s">
        <v>92</v>
      </c>
      <c r="U378" s="1">
        <v>29.0</v>
      </c>
      <c r="V378" s="5" t="s">
        <v>1720</v>
      </c>
      <c r="W378" s="1" t="s">
        <v>1721</v>
      </c>
      <c r="X378" s="1" t="s">
        <v>1723</v>
      </c>
      <c r="Y378" s="4"/>
      <c r="Z378" s="4"/>
      <c r="AA378" s="4" t="b">
        <f>IFERROR(__xludf.DUMMYFUNCTION("IF(X378="""",,REGEXMATCH(X378,""[א-ת]""))"),FALSE)</f>
        <v>0</v>
      </c>
      <c r="AB378" s="1">
        <v>22.73</v>
      </c>
      <c r="AC378" s="1">
        <v>64.0</v>
      </c>
      <c r="AD378" s="1">
        <v>0.520473521544065</v>
      </c>
      <c r="AE378" s="1">
        <v>0.6705</v>
      </c>
      <c r="AF378" s="1">
        <v>0.9127</v>
      </c>
      <c r="AG378" s="1">
        <v>6.337</v>
      </c>
      <c r="AH378" s="1">
        <v>6.781</v>
      </c>
      <c r="AI378" s="1" t="b">
        <v>0</v>
      </c>
      <c r="AJ378" s="1" t="b">
        <v>0</v>
      </c>
      <c r="AK378" s="1">
        <v>94.182</v>
      </c>
      <c r="AL378" s="1">
        <v>96.508</v>
      </c>
      <c r="AM378" s="1" t="b">
        <v>0</v>
      </c>
      <c r="AN378" s="1" t="b">
        <v>0</v>
      </c>
      <c r="AO378" s="1">
        <v>8.05</v>
      </c>
      <c r="AP378" s="1">
        <v>8.53399999999999</v>
      </c>
      <c r="AQ378" s="1" t="b">
        <v>0</v>
      </c>
      <c r="AR378" s="1" t="b">
        <v>0</v>
      </c>
      <c r="AS378" s="1">
        <v>86.9179999999999</v>
      </c>
      <c r="AT378" s="1">
        <v>87.152</v>
      </c>
      <c r="AU378" s="1" t="b">
        <v>0</v>
      </c>
      <c r="AV378" s="1" t="b">
        <v>0</v>
      </c>
      <c r="AW378" s="1">
        <v>9.61399999999999</v>
      </c>
      <c r="AX378" s="1">
        <v>11.026</v>
      </c>
      <c r="AY378" s="1" t="b">
        <v>0</v>
      </c>
      <c r="AZ378" s="1" t="b">
        <v>0</v>
      </c>
      <c r="BA378" s="1">
        <v>81.25</v>
      </c>
      <c r="BB378" s="1">
        <v>77.78</v>
      </c>
      <c r="BC378" s="1" t="b">
        <v>0</v>
      </c>
      <c r="BD378" s="1" t="b">
        <v>0</v>
      </c>
      <c r="BE378" s="1">
        <v>11.34</v>
      </c>
      <c r="BF378" s="1">
        <v>13.285</v>
      </c>
      <c r="BG378" s="1" t="b">
        <v>0</v>
      </c>
      <c r="BH378" s="1" t="b">
        <v>0</v>
      </c>
      <c r="BI378" s="1">
        <v>77.78</v>
      </c>
      <c r="BJ378" s="1">
        <v>75.0</v>
      </c>
      <c r="BK378" s="1" t="b">
        <v>0</v>
      </c>
      <c r="BL378" s="1" t="b">
        <v>0</v>
      </c>
      <c r="BM378" s="1">
        <v>13.121</v>
      </c>
      <c r="BN378" s="1">
        <v>14.568</v>
      </c>
      <c r="BO378" s="1" t="b">
        <v>0</v>
      </c>
      <c r="BP378" s="1" t="b">
        <v>0</v>
      </c>
      <c r="BQ378" s="1">
        <v>75.0</v>
      </c>
      <c r="BR378" s="1">
        <v>72.027</v>
      </c>
      <c r="BS378" s="1" t="b">
        <v>0</v>
      </c>
      <c r="BT378" s="1" t="b">
        <v>0</v>
      </c>
      <c r="BU378" s="1" t="s">
        <v>105</v>
      </c>
      <c r="BV378" s="1" t="s">
        <v>105</v>
      </c>
      <c r="BW378" s="1" t="s">
        <v>105</v>
      </c>
      <c r="BX378" s="1" t="s">
        <v>105</v>
      </c>
      <c r="BY378" s="1" t="s">
        <v>105</v>
      </c>
      <c r="BZ378" s="1" t="s">
        <v>105</v>
      </c>
      <c r="CA378" s="1" t="s">
        <v>105</v>
      </c>
      <c r="CB378" s="1" t="s">
        <v>105</v>
      </c>
      <c r="CC378" s="1" t="s">
        <v>105</v>
      </c>
      <c r="CD378" s="1" t="s">
        <v>105</v>
      </c>
      <c r="CE378" s="4"/>
      <c r="CF378" s="4"/>
    </row>
    <row r="379" hidden="1">
      <c r="A379" s="1" t="s">
        <v>82</v>
      </c>
      <c r="B379" s="1" t="s">
        <v>262</v>
      </c>
      <c r="C379" s="1">
        <v>4.0</v>
      </c>
      <c r="D379" s="5" t="s">
        <v>1724</v>
      </c>
      <c r="E379" s="1" t="s">
        <v>1725</v>
      </c>
      <c r="F379" s="1">
        <v>51.0</v>
      </c>
      <c r="G379" s="1">
        <v>-0.3875</v>
      </c>
      <c r="H379" s="1" t="s">
        <v>1726</v>
      </c>
      <c r="I379" s="4" t="b">
        <f>IFERROR(__xludf.DUMMYFUNCTION("IF(H379="""",,REGEXMATCH(H379,""[א-ת]""))"),FALSE)</f>
        <v>0</v>
      </c>
      <c r="J379" s="4"/>
      <c r="K379" s="4"/>
      <c r="L379" s="1">
        <v>0.7506</v>
      </c>
      <c r="M379" s="1">
        <v>22.12</v>
      </c>
      <c r="N379" s="1">
        <v>47.06</v>
      </c>
      <c r="O379" s="1">
        <v>0.922745098</v>
      </c>
      <c r="P379" s="4"/>
      <c r="Q379" s="4"/>
      <c r="R379" s="1" t="s">
        <v>96</v>
      </c>
      <c r="S379" s="1" t="s">
        <v>1725</v>
      </c>
      <c r="T379" s="1" t="s">
        <v>262</v>
      </c>
      <c r="U379" s="1">
        <v>5.0</v>
      </c>
      <c r="V379" s="5" t="s">
        <v>1724</v>
      </c>
      <c r="W379" s="1" t="s">
        <v>1725</v>
      </c>
      <c r="X379" s="1" t="s">
        <v>1727</v>
      </c>
      <c r="Y379" s="4"/>
      <c r="Z379" s="4"/>
      <c r="AA379" s="4" t="b">
        <f>IFERROR(__xludf.DUMMYFUNCTION("IF(X379="""",,REGEXMATCH(X379,""[א-ת]""))"),FALSE)</f>
        <v>0</v>
      </c>
      <c r="AB379" s="1">
        <v>14.86</v>
      </c>
      <c r="AC379" s="1">
        <v>58.82</v>
      </c>
      <c r="AD379" s="1">
        <v>0.743455619365058</v>
      </c>
      <c r="AE379" s="1">
        <v>0.7506</v>
      </c>
      <c r="AF379" s="1">
        <v>-0.3875</v>
      </c>
      <c r="AG379" s="1">
        <v>6.337</v>
      </c>
      <c r="AH379" s="1">
        <v>6.781</v>
      </c>
      <c r="AI379" s="1" t="b">
        <v>0</v>
      </c>
      <c r="AJ379" s="1" t="b">
        <v>0</v>
      </c>
      <c r="AK379" s="1">
        <v>94.182</v>
      </c>
      <c r="AL379" s="1">
        <v>96.508</v>
      </c>
      <c r="AM379" s="1" t="b">
        <v>0</v>
      </c>
      <c r="AN379" s="1" t="b">
        <v>0</v>
      </c>
      <c r="AO379" s="1">
        <v>8.05</v>
      </c>
      <c r="AP379" s="1">
        <v>8.53399999999999</v>
      </c>
      <c r="AQ379" s="1" t="b">
        <v>0</v>
      </c>
      <c r="AR379" s="1" t="b">
        <v>0</v>
      </c>
      <c r="AS379" s="1">
        <v>86.9179999999999</v>
      </c>
      <c r="AT379" s="1">
        <v>87.152</v>
      </c>
      <c r="AU379" s="1" t="b">
        <v>0</v>
      </c>
      <c r="AV379" s="1" t="b">
        <v>0</v>
      </c>
      <c r="AW379" s="1">
        <v>9.61399999999999</v>
      </c>
      <c r="AX379" s="1">
        <v>11.026</v>
      </c>
      <c r="AY379" s="1" t="b">
        <v>0</v>
      </c>
      <c r="AZ379" s="1" t="b">
        <v>0</v>
      </c>
      <c r="BA379" s="1">
        <v>81.25</v>
      </c>
      <c r="BB379" s="1">
        <v>77.78</v>
      </c>
      <c r="BC379" s="1" t="b">
        <v>0</v>
      </c>
      <c r="BD379" s="1" t="b">
        <v>0</v>
      </c>
      <c r="BE379" s="1">
        <v>11.34</v>
      </c>
      <c r="BF379" s="1">
        <v>13.285</v>
      </c>
      <c r="BG379" s="1" t="b">
        <v>0</v>
      </c>
      <c r="BH379" s="1" t="b">
        <v>0</v>
      </c>
      <c r="BI379" s="1">
        <v>77.78</v>
      </c>
      <c r="BJ379" s="1">
        <v>75.0</v>
      </c>
      <c r="BK379" s="1" t="b">
        <v>0</v>
      </c>
      <c r="BL379" s="1" t="b">
        <v>0</v>
      </c>
      <c r="BM379" s="1">
        <v>13.121</v>
      </c>
      <c r="BN379" s="1">
        <v>14.568</v>
      </c>
      <c r="BO379" s="1" t="b">
        <v>0</v>
      </c>
      <c r="BP379" s="1" t="b">
        <v>0</v>
      </c>
      <c r="BQ379" s="1">
        <v>75.0</v>
      </c>
      <c r="BR379" s="1">
        <v>72.027</v>
      </c>
      <c r="BS379" s="1" t="b">
        <v>0</v>
      </c>
      <c r="BT379" s="1" t="b">
        <v>0</v>
      </c>
      <c r="BU379" s="1" t="s">
        <v>105</v>
      </c>
      <c r="BV379" s="1" t="s">
        <v>105</v>
      </c>
      <c r="BW379" s="1" t="s">
        <v>105</v>
      </c>
      <c r="BX379" s="1" t="s">
        <v>105</v>
      </c>
      <c r="BY379" s="1" t="s">
        <v>105</v>
      </c>
      <c r="BZ379" s="1" t="s">
        <v>105</v>
      </c>
      <c r="CA379" s="1" t="s">
        <v>105</v>
      </c>
      <c r="CB379" s="1" t="s">
        <v>105</v>
      </c>
      <c r="CC379" s="1" t="s">
        <v>105</v>
      </c>
      <c r="CD379" s="1" t="s">
        <v>105</v>
      </c>
      <c r="CE379" s="4"/>
      <c r="CF379" s="4"/>
    </row>
    <row r="380" hidden="1">
      <c r="A380" s="1" t="s">
        <v>82</v>
      </c>
      <c r="B380" s="1" t="s">
        <v>333</v>
      </c>
      <c r="C380" s="1">
        <v>31.0</v>
      </c>
      <c r="D380" s="5" t="s">
        <v>1728</v>
      </c>
      <c r="E380" s="1" t="s">
        <v>1729</v>
      </c>
      <c r="F380" s="1">
        <v>83.0</v>
      </c>
      <c r="G380" s="1">
        <v>0.3612</v>
      </c>
      <c r="H380" s="1" t="s">
        <v>1730</v>
      </c>
      <c r="I380" s="4" t="b">
        <f>IFERROR(__xludf.DUMMYFUNCTION("IF(H380="""",,REGEXMATCH(H380,""[א-ת]""))"),FALSE)</f>
        <v>0</v>
      </c>
      <c r="J380" s="4"/>
      <c r="K380" s="4"/>
      <c r="L380" s="1">
        <v>-0.296</v>
      </c>
      <c r="M380" s="1">
        <v>22.31</v>
      </c>
      <c r="N380" s="1">
        <v>55.42</v>
      </c>
      <c r="O380" s="1">
        <v>0.6677108434</v>
      </c>
      <c r="P380" s="4"/>
      <c r="Q380" s="4"/>
      <c r="R380" s="1" t="s">
        <v>89</v>
      </c>
      <c r="S380" s="1" t="s">
        <v>1729</v>
      </c>
      <c r="T380" s="1" t="s">
        <v>333</v>
      </c>
      <c r="U380" s="1">
        <v>32.0</v>
      </c>
      <c r="V380" s="5" t="s">
        <v>1728</v>
      </c>
      <c r="W380" s="1" t="s">
        <v>1729</v>
      </c>
      <c r="X380" s="1" t="s">
        <v>1731</v>
      </c>
      <c r="Y380" s="4"/>
      <c r="Z380" s="4"/>
      <c r="AA380" s="4" t="b">
        <f>IFERROR(__xludf.DUMMYFUNCTION("IF(X380="""",,REGEXMATCH(X380,""[א-ת]""))"),FALSE)</f>
        <v>0</v>
      </c>
      <c r="AB380" s="1">
        <v>23.53</v>
      </c>
      <c r="AC380" s="1">
        <v>55.42</v>
      </c>
      <c r="AD380" s="1">
        <v>0.683952553428952</v>
      </c>
      <c r="AE380" s="1">
        <v>-0.1531</v>
      </c>
      <c r="AF380" s="1">
        <v>0.3612</v>
      </c>
      <c r="AG380" s="1">
        <v>6.337</v>
      </c>
      <c r="AH380" s="1">
        <v>6.781</v>
      </c>
      <c r="AI380" s="1" t="b">
        <v>0</v>
      </c>
      <c r="AJ380" s="1" t="b">
        <v>0</v>
      </c>
      <c r="AK380" s="1">
        <v>94.182</v>
      </c>
      <c r="AL380" s="1">
        <v>96.508</v>
      </c>
      <c r="AM380" s="1" t="b">
        <v>0</v>
      </c>
      <c r="AN380" s="1" t="b">
        <v>0</v>
      </c>
      <c r="AO380" s="1">
        <v>8.05</v>
      </c>
      <c r="AP380" s="1">
        <v>8.53399999999999</v>
      </c>
      <c r="AQ380" s="1" t="b">
        <v>0</v>
      </c>
      <c r="AR380" s="1" t="b">
        <v>0</v>
      </c>
      <c r="AS380" s="1">
        <v>86.9179999999999</v>
      </c>
      <c r="AT380" s="1">
        <v>87.152</v>
      </c>
      <c r="AU380" s="1" t="b">
        <v>0</v>
      </c>
      <c r="AV380" s="1" t="b">
        <v>0</v>
      </c>
      <c r="AW380" s="1">
        <v>9.61399999999999</v>
      </c>
      <c r="AX380" s="1">
        <v>11.026</v>
      </c>
      <c r="AY380" s="1" t="b">
        <v>0</v>
      </c>
      <c r="AZ380" s="1" t="b">
        <v>0</v>
      </c>
      <c r="BA380" s="1">
        <v>81.25</v>
      </c>
      <c r="BB380" s="1">
        <v>77.78</v>
      </c>
      <c r="BC380" s="1" t="b">
        <v>0</v>
      </c>
      <c r="BD380" s="1" t="b">
        <v>0</v>
      </c>
      <c r="BE380" s="1">
        <v>11.34</v>
      </c>
      <c r="BF380" s="1">
        <v>13.285</v>
      </c>
      <c r="BG380" s="1" t="b">
        <v>0</v>
      </c>
      <c r="BH380" s="1" t="b">
        <v>0</v>
      </c>
      <c r="BI380" s="1">
        <v>77.78</v>
      </c>
      <c r="BJ380" s="1">
        <v>75.0</v>
      </c>
      <c r="BK380" s="1" t="b">
        <v>0</v>
      </c>
      <c r="BL380" s="1" t="b">
        <v>0</v>
      </c>
      <c r="BM380" s="1">
        <v>13.121</v>
      </c>
      <c r="BN380" s="1">
        <v>14.568</v>
      </c>
      <c r="BO380" s="1" t="b">
        <v>0</v>
      </c>
      <c r="BP380" s="1" t="b">
        <v>0</v>
      </c>
      <c r="BQ380" s="1">
        <v>75.0</v>
      </c>
      <c r="BR380" s="1">
        <v>72.027</v>
      </c>
      <c r="BS380" s="1" t="b">
        <v>0</v>
      </c>
      <c r="BT380" s="1" t="b">
        <v>0</v>
      </c>
      <c r="BU380" s="1" t="s">
        <v>105</v>
      </c>
      <c r="BV380" s="1" t="s">
        <v>105</v>
      </c>
      <c r="BW380" s="1" t="s">
        <v>105</v>
      </c>
      <c r="BX380" s="1" t="s">
        <v>105</v>
      </c>
      <c r="BY380" s="1" t="s">
        <v>105</v>
      </c>
      <c r="BZ380" s="1" t="s">
        <v>105</v>
      </c>
      <c r="CA380" s="1" t="s">
        <v>105</v>
      </c>
      <c r="CB380" s="1" t="s">
        <v>105</v>
      </c>
      <c r="CC380" s="1" t="s">
        <v>105</v>
      </c>
      <c r="CD380" s="1" t="s">
        <v>105</v>
      </c>
      <c r="CE380" s="4"/>
      <c r="CF380" s="4"/>
    </row>
    <row r="381" hidden="1">
      <c r="A381" s="1" t="s">
        <v>82</v>
      </c>
      <c r="B381" s="1" t="s">
        <v>333</v>
      </c>
      <c r="C381" s="1">
        <v>3.0</v>
      </c>
      <c r="D381" s="5" t="s">
        <v>1732</v>
      </c>
      <c r="E381" s="1" t="s">
        <v>1733</v>
      </c>
      <c r="F381" s="1">
        <v>40.0</v>
      </c>
      <c r="G381" s="1">
        <v>-0.25</v>
      </c>
      <c r="H381" s="1" t="s">
        <v>1734</v>
      </c>
      <c r="I381" s="4" t="b">
        <f>IFERROR(__xludf.DUMMYFUNCTION("IF(H381="""",,REGEXMATCH(H381,""[א-ת]""))"),FALSE)</f>
        <v>0</v>
      </c>
      <c r="J381" s="1" t="s">
        <v>1735</v>
      </c>
      <c r="K381" s="4"/>
      <c r="L381" s="1">
        <v>0.2057</v>
      </c>
      <c r="M381" s="1">
        <v>22.35</v>
      </c>
      <c r="N381" s="1">
        <v>70.0</v>
      </c>
      <c r="O381" s="1">
        <v>1.75</v>
      </c>
      <c r="P381" s="4"/>
      <c r="Q381" s="4"/>
      <c r="R381" s="1" t="s">
        <v>89</v>
      </c>
      <c r="S381" s="1" t="s">
        <v>1733</v>
      </c>
      <c r="T381" s="1" t="s">
        <v>333</v>
      </c>
      <c r="U381" s="1">
        <v>4.0</v>
      </c>
      <c r="V381" s="5" t="s">
        <v>1732</v>
      </c>
      <c r="W381" s="1" t="s">
        <v>1733</v>
      </c>
      <c r="X381" s="1" t="s">
        <v>1736</v>
      </c>
      <c r="Y381" s="4"/>
      <c r="Z381" s="4"/>
      <c r="AA381" s="4" t="b">
        <f>IFERROR(__xludf.DUMMYFUNCTION("IF(X381="""",,REGEXMATCH(X381,""[א-ת]""))"),FALSE)</f>
        <v>0</v>
      </c>
      <c r="AB381" s="1">
        <v>16.97</v>
      </c>
      <c r="AC381" s="1">
        <v>70.0</v>
      </c>
      <c r="AD381" s="1">
        <v>0.432023802657817</v>
      </c>
      <c r="AE381" s="1">
        <v>-0.1511</v>
      </c>
      <c r="AF381" s="1">
        <v>-0.25</v>
      </c>
      <c r="AG381" s="1">
        <v>6.337</v>
      </c>
      <c r="AH381" s="1">
        <v>6.781</v>
      </c>
      <c r="AI381" s="1" t="b">
        <v>0</v>
      </c>
      <c r="AJ381" s="1" t="b">
        <v>0</v>
      </c>
      <c r="AK381" s="1">
        <v>94.182</v>
      </c>
      <c r="AL381" s="1">
        <v>96.508</v>
      </c>
      <c r="AM381" s="1" t="b">
        <v>0</v>
      </c>
      <c r="AN381" s="1" t="b">
        <v>0</v>
      </c>
      <c r="AO381" s="1">
        <v>8.05</v>
      </c>
      <c r="AP381" s="1">
        <v>8.53399999999999</v>
      </c>
      <c r="AQ381" s="1" t="b">
        <v>0</v>
      </c>
      <c r="AR381" s="1" t="b">
        <v>0</v>
      </c>
      <c r="AS381" s="1">
        <v>86.9179999999999</v>
      </c>
      <c r="AT381" s="1">
        <v>87.152</v>
      </c>
      <c r="AU381" s="1" t="b">
        <v>0</v>
      </c>
      <c r="AV381" s="1" t="b">
        <v>0</v>
      </c>
      <c r="AW381" s="1">
        <v>9.61399999999999</v>
      </c>
      <c r="AX381" s="1">
        <v>11.026</v>
      </c>
      <c r="AY381" s="1" t="b">
        <v>0</v>
      </c>
      <c r="AZ381" s="1" t="b">
        <v>0</v>
      </c>
      <c r="BA381" s="1">
        <v>81.25</v>
      </c>
      <c r="BB381" s="1">
        <v>77.78</v>
      </c>
      <c r="BC381" s="1" t="b">
        <v>0</v>
      </c>
      <c r="BD381" s="1" t="b">
        <v>0</v>
      </c>
      <c r="BE381" s="1">
        <v>11.34</v>
      </c>
      <c r="BF381" s="1">
        <v>13.285</v>
      </c>
      <c r="BG381" s="1" t="b">
        <v>0</v>
      </c>
      <c r="BH381" s="1" t="b">
        <v>0</v>
      </c>
      <c r="BI381" s="1">
        <v>77.78</v>
      </c>
      <c r="BJ381" s="1">
        <v>75.0</v>
      </c>
      <c r="BK381" s="1" t="b">
        <v>0</v>
      </c>
      <c r="BL381" s="1" t="b">
        <v>0</v>
      </c>
      <c r="BM381" s="1">
        <v>13.121</v>
      </c>
      <c r="BN381" s="1">
        <v>14.568</v>
      </c>
      <c r="BO381" s="1" t="b">
        <v>0</v>
      </c>
      <c r="BP381" s="1" t="b">
        <v>0</v>
      </c>
      <c r="BQ381" s="1">
        <v>75.0</v>
      </c>
      <c r="BR381" s="1">
        <v>72.027</v>
      </c>
      <c r="BS381" s="1" t="b">
        <v>0</v>
      </c>
      <c r="BT381" s="1" t="b">
        <v>0</v>
      </c>
      <c r="BU381" s="1" t="s">
        <v>105</v>
      </c>
      <c r="BV381" s="1" t="s">
        <v>105</v>
      </c>
      <c r="BW381" s="1" t="s">
        <v>105</v>
      </c>
      <c r="BX381" s="1" t="s">
        <v>105</v>
      </c>
      <c r="BY381" s="1" t="s">
        <v>105</v>
      </c>
      <c r="BZ381" s="1" t="s">
        <v>105</v>
      </c>
      <c r="CA381" s="1" t="s">
        <v>105</v>
      </c>
      <c r="CB381" s="1" t="s">
        <v>105</v>
      </c>
      <c r="CC381" s="1" t="s">
        <v>105</v>
      </c>
      <c r="CD381" s="1" t="s">
        <v>105</v>
      </c>
      <c r="CE381" s="4"/>
      <c r="CF381" s="4"/>
    </row>
    <row r="382" hidden="1">
      <c r="A382" s="1" t="s">
        <v>82</v>
      </c>
      <c r="B382" s="1" t="s">
        <v>333</v>
      </c>
      <c r="C382" s="1">
        <v>19.0</v>
      </c>
      <c r="D382" s="5" t="s">
        <v>1737</v>
      </c>
      <c r="E382" s="1" t="s">
        <v>1738</v>
      </c>
      <c r="F382" s="1">
        <v>70.0</v>
      </c>
      <c r="G382" s="1">
        <v>-0.1779</v>
      </c>
      <c r="H382" s="1" t="s">
        <v>1739</v>
      </c>
      <c r="I382" s="4" t="b">
        <f>IFERROR(__xludf.DUMMYFUNCTION("IF(H382="""",,REGEXMATCH(H382,""[א-ת]""))"),FALSE)</f>
        <v>0</v>
      </c>
      <c r="J382" s="4"/>
      <c r="K382" s="4"/>
      <c r="L382" s="1">
        <v>0.5362</v>
      </c>
      <c r="M382" s="1">
        <v>22.4</v>
      </c>
      <c r="N382" s="1">
        <v>68.57</v>
      </c>
      <c r="O382" s="1">
        <v>0.9795714286</v>
      </c>
      <c r="P382" s="4"/>
      <c r="Q382" s="4"/>
      <c r="R382" s="1" t="s">
        <v>89</v>
      </c>
      <c r="S382" s="1" t="s">
        <v>1738</v>
      </c>
      <c r="T382" s="1" t="s">
        <v>333</v>
      </c>
      <c r="U382" s="1">
        <v>20.0</v>
      </c>
      <c r="V382" s="5" t="s">
        <v>1737</v>
      </c>
      <c r="W382" s="1" t="s">
        <v>1738</v>
      </c>
      <c r="X382" s="1" t="s">
        <v>1740</v>
      </c>
      <c r="Y382" s="4"/>
      <c r="Z382" s="4"/>
      <c r="AA382" s="4" t="b">
        <f>IFERROR(__xludf.DUMMYFUNCTION("IF(X382="""",,REGEXMATCH(X382,""[א-ת]""))"),TRUE)</f>
        <v>1</v>
      </c>
      <c r="AB382" s="1">
        <v>13.9</v>
      </c>
      <c r="AC382" s="1">
        <v>72.86</v>
      </c>
      <c r="AD382" s="1">
        <v>0.358775557417385</v>
      </c>
      <c r="AE382" s="1">
        <v>0.0</v>
      </c>
      <c r="AF382" s="1">
        <v>-0.1779</v>
      </c>
      <c r="AG382" s="1">
        <v>6.337</v>
      </c>
      <c r="AH382" s="1">
        <v>6.781</v>
      </c>
      <c r="AI382" s="1" t="b">
        <v>0</v>
      </c>
      <c r="AJ382" s="1" t="b">
        <v>0</v>
      </c>
      <c r="AK382" s="1">
        <v>94.182</v>
      </c>
      <c r="AL382" s="1">
        <v>96.508</v>
      </c>
      <c r="AM382" s="1" t="b">
        <v>0</v>
      </c>
      <c r="AN382" s="1" t="b">
        <v>0</v>
      </c>
      <c r="AO382" s="1">
        <v>8.05</v>
      </c>
      <c r="AP382" s="1">
        <v>8.53399999999999</v>
      </c>
      <c r="AQ382" s="1" t="b">
        <v>0</v>
      </c>
      <c r="AR382" s="1" t="b">
        <v>0</v>
      </c>
      <c r="AS382" s="1">
        <v>86.9179999999999</v>
      </c>
      <c r="AT382" s="1">
        <v>87.152</v>
      </c>
      <c r="AU382" s="1" t="b">
        <v>0</v>
      </c>
      <c r="AV382" s="1" t="b">
        <v>0</v>
      </c>
      <c r="AW382" s="1">
        <v>9.61399999999999</v>
      </c>
      <c r="AX382" s="1">
        <v>11.026</v>
      </c>
      <c r="AY382" s="1" t="b">
        <v>0</v>
      </c>
      <c r="AZ382" s="1" t="b">
        <v>0</v>
      </c>
      <c r="BA382" s="1">
        <v>81.25</v>
      </c>
      <c r="BB382" s="1">
        <v>77.78</v>
      </c>
      <c r="BC382" s="1" t="b">
        <v>0</v>
      </c>
      <c r="BD382" s="1" t="b">
        <v>0</v>
      </c>
      <c r="BE382" s="1">
        <v>11.34</v>
      </c>
      <c r="BF382" s="1">
        <v>13.285</v>
      </c>
      <c r="BG382" s="1" t="b">
        <v>0</v>
      </c>
      <c r="BH382" s="1" t="b">
        <v>0</v>
      </c>
      <c r="BI382" s="1">
        <v>77.78</v>
      </c>
      <c r="BJ382" s="1">
        <v>75.0</v>
      </c>
      <c r="BK382" s="1" t="b">
        <v>0</v>
      </c>
      <c r="BL382" s="1" t="b">
        <v>0</v>
      </c>
      <c r="BM382" s="1">
        <v>13.121</v>
      </c>
      <c r="BN382" s="1">
        <v>14.568</v>
      </c>
      <c r="BO382" s="1" t="b">
        <v>0</v>
      </c>
      <c r="BP382" s="1" t="b">
        <v>1</v>
      </c>
      <c r="BQ382" s="1">
        <v>75.0</v>
      </c>
      <c r="BR382" s="1">
        <v>72.027</v>
      </c>
      <c r="BS382" s="1" t="b">
        <v>0</v>
      </c>
      <c r="BT382" s="1" t="b">
        <v>1</v>
      </c>
      <c r="BU382" s="1" t="s">
        <v>105</v>
      </c>
      <c r="BV382" s="1" t="s">
        <v>105</v>
      </c>
      <c r="BW382" s="1" t="s">
        <v>105</v>
      </c>
      <c r="BX382" s="1" t="s">
        <v>105</v>
      </c>
      <c r="BY382" s="1" t="s">
        <v>105</v>
      </c>
      <c r="BZ382" s="1" t="s">
        <v>105</v>
      </c>
      <c r="CA382" s="1" t="s">
        <v>105</v>
      </c>
      <c r="CB382" s="1" t="s">
        <v>105</v>
      </c>
      <c r="CC382" s="1" t="s">
        <v>157</v>
      </c>
      <c r="CD382" s="1" t="s">
        <v>157</v>
      </c>
      <c r="CE382" s="4"/>
      <c r="CF382" s="4"/>
    </row>
    <row r="383" hidden="1">
      <c r="A383" s="1" t="s">
        <v>82</v>
      </c>
      <c r="B383" s="1" t="s">
        <v>176</v>
      </c>
      <c r="C383" s="1">
        <v>1.0</v>
      </c>
      <c r="D383" s="5" t="s">
        <v>1741</v>
      </c>
      <c r="E383" s="1" t="s">
        <v>1742</v>
      </c>
      <c r="F383" s="1">
        <v>26.0</v>
      </c>
      <c r="G383" s="1">
        <v>0.0</v>
      </c>
      <c r="H383" s="1" t="s">
        <v>1743</v>
      </c>
      <c r="I383" s="4" t="b">
        <f>IFERROR(__xludf.DUMMYFUNCTION("IF(H383="""",,REGEXMATCH(H383,""[א-ת]""))"),FALSE)</f>
        <v>0</v>
      </c>
      <c r="J383" s="4"/>
      <c r="K383" s="4"/>
      <c r="L383" s="1">
        <v>0.0</v>
      </c>
      <c r="M383" s="1">
        <v>22.46</v>
      </c>
      <c r="N383" s="1">
        <v>61.54</v>
      </c>
      <c r="O383" s="1">
        <v>2.366923077</v>
      </c>
      <c r="P383" s="4"/>
      <c r="Q383" s="4"/>
      <c r="R383" s="1" t="s">
        <v>89</v>
      </c>
      <c r="S383" s="1" t="s">
        <v>1742</v>
      </c>
      <c r="T383" s="1" t="s">
        <v>176</v>
      </c>
      <c r="U383" s="1">
        <v>2.0</v>
      </c>
      <c r="V383" s="5" t="s">
        <v>1741</v>
      </c>
      <c r="W383" s="1" t="s">
        <v>1742</v>
      </c>
      <c r="X383" s="1" t="s">
        <v>1744</v>
      </c>
      <c r="Y383" s="4"/>
      <c r="Z383" s="4"/>
      <c r="AA383" s="4" t="b">
        <f>IFERROR(__xludf.DUMMYFUNCTION("IF(X383="""",,REGEXMATCH(X383,""[א-ת]""))"),TRUE)</f>
        <v>1</v>
      </c>
      <c r="AB383" s="1">
        <v>27.54</v>
      </c>
      <c r="AC383" s="1">
        <v>50.0</v>
      </c>
      <c r="AD383" s="1">
        <v>0.811806035713007</v>
      </c>
      <c r="AE383" s="1">
        <v>0.0</v>
      </c>
      <c r="AF383" s="1">
        <v>0.0</v>
      </c>
      <c r="AG383" s="1">
        <v>6.337</v>
      </c>
      <c r="AH383" s="1">
        <v>6.781</v>
      </c>
      <c r="AI383" s="1" t="b">
        <v>0</v>
      </c>
      <c r="AJ383" s="1" t="b">
        <v>0</v>
      </c>
      <c r="AK383" s="1">
        <v>94.182</v>
      </c>
      <c r="AL383" s="1">
        <v>96.508</v>
      </c>
      <c r="AM383" s="1" t="b">
        <v>0</v>
      </c>
      <c r="AN383" s="1" t="b">
        <v>0</v>
      </c>
      <c r="AO383" s="1">
        <v>8.05</v>
      </c>
      <c r="AP383" s="1">
        <v>8.53399999999999</v>
      </c>
      <c r="AQ383" s="1" t="b">
        <v>0</v>
      </c>
      <c r="AR383" s="1" t="b">
        <v>0</v>
      </c>
      <c r="AS383" s="1">
        <v>86.9179999999999</v>
      </c>
      <c r="AT383" s="1">
        <v>87.152</v>
      </c>
      <c r="AU383" s="1" t="b">
        <v>0</v>
      </c>
      <c r="AV383" s="1" t="b">
        <v>0</v>
      </c>
      <c r="AW383" s="1">
        <v>9.61399999999999</v>
      </c>
      <c r="AX383" s="1">
        <v>11.026</v>
      </c>
      <c r="AY383" s="1" t="b">
        <v>0</v>
      </c>
      <c r="AZ383" s="1" t="b">
        <v>0</v>
      </c>
      <c r="BA383" s="1">
        <v>81.25</v>
      </c>
      <c r="BB383" s="1">
        <v>77.78</v>
      </c>
      <c r="BC383" s="1" t="b">
        <v>0</v>
      </c>
      <c r="BD383" s="1" t="b">
        <v>0</v>
      </c>
      <c r="BE383" s="1">
        <v>11.34</v>
      </c>
      <c r="BF383" s="1">
        <v>13.285</v>
      </c>
      <c r="BG383" s="1" t="b">
        <v>0</v>
      </c>
      <c r="BH383" s="1" t="b">
        <v>0</v>
      </c>
      <c r="BI383" s="1">
        <v>77.78</v>
      </c>
      <c r="BJ383" s="1">
        <v>75.0</v>
      </c>
      <c r="BK383" s="1" t="b">
        <v>0</v>
      </c>
      <c r="BL383" s="1" t="b">
        <v>0</v>
      </c>
      <c r="BM383" s="1">
        <v>13.121</v>
      </c>
      <c r="BN383" s="1">
        <v>14.568</v>
      </c>
      <c r="BO383" s="1" t="b">
        <v>0</v>
      </c>
      <c r="BP383" s="1" t="b">
        <v>0</v>
      </c>
      <c r="BQ383" s="1">
        <v>75.0</v>
      </c>
      <c r="BR383" s="1">
        <v>72.027</v>
      </c>
      <c r="BS383" s="1" t="b">
        <v>0</v>
      </c>
      <c r="BT383" s="1" t="b">
        <v>0</v>
      </c>
      <c r="BU383" s="1" t="s">
        <v>105</v>
      </c>
      <c r="BV383" s="1" t="s">
        <v>105</v>
      </c>
      <c r="BW383" s="1" t="s">
        <v>105</v>
      </c>
      <c r="BX383" s="1" t="s">
        <v>105</v>
      </c>
      <c r="BY383" s="1" t="s">
        <v>105</v>
      </c>
      <c r="BZ383" s="1" t="s">
        <v>105</v>
      </c>
      <c r="CA383" s="1" t="s">
        <v>105</v>
      </c>
      <c r="CB383" s="1" t="s">
        <v>105</v>
      </c>
      <c r="CC383" s="1" t="s">
        <v>105</v>
      </c>
      <c r="CD383" s="1" t="s">
        <v>105</v>
      </c>
      <c r="CE383" s="4"/>
      <c r="CF383" s="4"/>
    </row>
    <row r="384" hidden="1">
      <c r="A384" s="1" t="s">
        <v>82</v>
      </c>
      <c r="B384" s="1" t="s">
        <v>92</v>
      </c>
      <c r="C384" s="1">
        <v>29.0</v>
      </c>
      <c r="D384" s="5" t="s">
        <v>1745</v>
      </c>
      <c r="E384" s="1" t="s">
        <v>1746</v>
      </c>
      <c r="F384" s="1">
        <v>45.0</v>
      </c>
      <c r="G384" s="1">
        <v>0.9062</v>
      </c>
      <c r="H384" s="1" t="s">
        <v>1747</v>
      </c>
      <c r="I384" s="4" t="b">
        <f>IFERROR(__xludf.DUMMYFUNCTION("IF(H384="""",,REGEXMATCH(H384,""[א-ת]""))"),FALSE)</f>
        <v>0</v>
      </c>
      <c r="J384" s="4"/>
      <c r="K384" s="4"/>
      <c r="L384" s="1">
        <v>0.2023</v>
      </c>
      <c r="M384" s="1">
        <v>22.54</v>
      </c>
      <c r="N384" s="1">
        <v>62.22</v>
      </c>
      <c r="O384" s="1">
        <v>1.382666667</v>
      </c>
      <c r="P384" s="4"/>
      <c r="Q384" s="4"/>
      <c r="R384" s="1" t="s">
        <v>96</v>
      </c>
      <c r="S384" s="1" t="s">
        <v>1746</v>
      </c>
      <c r="T384" s="1" t="s">
        <v>92</v>
      </c>
      <c r="U384" s="1">
        <v>30.0</v>
      </c>
      <c r="V384" s="5" t="s">
        <v>1745</v>
      </c>
      <c r="W384" s="1" t="s">
        <v>1746</v>
      </c>
      <c r="X384" s="1" t="s">
        <v>1748</v>
      </c>
      <c r="Y384" s="4"/>
      <c r="Z384" s="4"/>
      <c r="AA384" s="4" t="b">
        <f>IFERROR(__xludf.DUMMYFUNCTION("IF(X384="""",,REGEXMATCH(X384,""[א-ת]""))"),FALSE)</f>
        <v>0</v>
      </c>
      <c r="AB384" s="1">
        <v>14.26</v>
      </c>
      <c r="AC384" s="1">
        <v>66.67</v>
      </c>
      <c r="AD384" s="1">
        <v>0.280187405451729</v>
      </c>
      <c r="AE384" s="1">
        <v>0.1406</v>
      </c>
      <c r="AF384" s="1">
        <v>0.9062</v>
      </c>
      <c r="AG384" s="1">
        <v>6.337</v>
      </c>
      <c r="AH384" s="1">
        <v>6.781</v>
      </c>
      <c r="AI384" s="1" t="b">
        <v>0</v>
      </c>
      <c r="AJ384" s="1" t="b">
        <v>0</v>
      </c>
      <c r="AK384" s="1">
        <v>94.182</v>
      </c>
      <c r="AL384" s="1">
        <v>96.508</v>
      </c>
      <c r="AM384" s="1" t="b">
        <v>0</v>
      </c>
      <c r="AN384" s="1" t="b">
        <v>0</v>
      </c>
      <c r="AO384" s="1">
        <v>8.05</v>
      </c>
      <c r="AP384" s="1">
        <v>8.53399999999999</v>
      </c>
      <c r="AQ384" s="1" t="b">
        <v>0</v>
      </c>
      <c r="AR384" s="1" t="b">
        <v>0</v>
      </c>
      <c r="AS384" s="1">
        <v>86.9179999999999</v>
      </c>
      <c r="AT384" s="1">
        <v>87.152</v>
      </c>
      <c r="AU384" s="1" t="b">
        <v>0</v>
      </c>
      <c r="AV384" s="1" t="b">
        <v>0</v>
      </c>
      <c r="AW384" s="1">
        <v>9.61399999999999</v>
      </c>
      <c r="AX384" s="1">
        <v>11.026</v>
      </c>
      <c r="AY384" s="1" t="b">
        <v>0</v>
      </c>
      <c r="AZ384" s="1" t="b">
        <v>0</v>
      </c>
      <c r="BA384" s="1">
        <v>81.25</v>
      </c>
      <c r="BB384" s="1">
        <v>77.78</v>
      </c>
      <c r="BC384" s="1" t="b">
        <v>0</v>
      </c>
      <c r="BD384" s="1" t="b">
        <v>0</v>
      </c>
      <c r="BE384" s="1">
        <v>11.34</v>
      </c>
      <c r="BF384" s="1">
        <v>13.285</v>
      </c>
      <c r="BG384" s="1" t="b">
        <v>0</v>
      </c>
      <c r="BH384" s="1" t="b">
        <v>0</v>
      </c>
      <c r="BI384" s="1">
        <v>77.78</v>
      </c>
      <c r="BJ384" s="1">
        <v>75.0</v>
      </c>
      <c r="BK384" s="1" t="b">
        <v>0</v>
      </c>
      <c r="BL384" s="1" t="b">
        <v>0</v>
      </c>
      <c r="BM384" s="1">
        <v>13.121</v>
      </c>
      <c r="BN384" s="1">
        <v>14.568</v>
      </c>
      <c r="BO384" s="1" t="b">
        <v>0</v>
      </c>
      <c r="BP384" s="1" t="b">
        <v>1</v>
      </c>
      <c r="BQ384" s="1">
        <v>75.0</v>
      </c>
      <c r="BR384" s="1">
        <v>72.027</v>
      </c>
      <c r="BS384" s="1" t="b">
        <v>0</v>
      </c>
      <c r="BT384" s="1" t="b">
        <v>0</v>
      </c>
      <c r="BU384" s="1" t="s">
        <v>105</v>
      </c>
      <c r="BV384" s="1" t="s">
        <v>105</v>
      </c>
      <c r="BW384" s="1" t="s">
        <v>105</v>
      </c>
      <c r="BX384" s="1" t="s">
        <v>105</v>
      </c>
      <c r="BY384" s="1" t="s">
        <v>105</v>
      </c>
      <c r="BZ384" s="1" t="s">
        <v>105</v>
      </c>
      <c r="CA384" s="1" t="s">
        <v>105</v>
      </c>
      <c r="CB384" s="1" t="s">
        <v>105</v>
      </c>
      <c r="CC384" s="1" t="s">
        <v>157</v>
      </c>
      <c r="CD384" s="1" t="s">
        <v>105</v>
      </c>
      <c r="CE384" s="4"/>
      <c r="CF384" s="4"/>
    </row>
    <row r="385" hidden="1">
      <c r="A385" s="1" t="s">
        <v>82</v>
      </c>
      <c r="B385" s="1" t="s">
        <v>83</v>
      </c>
      <c r="C385" s="1">
        <v>36.0</v>
      </c>
      <c r="D385" s="5" t="s">
        <v>1749</v>
      </c>
      <c r="E385" s="1" t="s">
        <v>1750</v>
      </c>
      <c r="F385" s="1">
        <v>58.0</v>
      </c>
      <c r="G385" s="1">
        <v>0.7269</v>
      </c>
      <c r="H385" s="1" t="s">
        <v>1751</v>
      </c>
      <c r="I385" s="4" t="b">
        <f>IFERROR(__xludf.DUMMYFUNCTION("IF(H385="""",,REGEXMATCH(H385,""[א-ת]""))"),FALSE)</f>
        <v>0</v>
      </c>
      <c r="J385" s="4"/>
      <c r="K385" s="4"/>
      <c r="L385" s="1">
        <v>0.7269</v>
      </c>
      <c r="M385" s="1">
        <v>22.65</v>
      </c>
      <c r="N385" s="1">
        <v>62.07</v>
      </c>
      <c r="O385" s="1">
        <v>1.070172414</v>
      </c>
      <c r="P385" s="4"/>
      <c r="Q385" s="4"/>
      <c r="R385" s="1" t="s">
        <v>89</v>
      </c>
      <c r="S385" s="1" t="s">
        <v>1750</v>
      </c>
      <c r="T385" s="1" t="s">
        <v>83</v>
      </c>
      <c r="U385" s="1">
        <v>37.0</v>
      </c>
      <c r="V385" s="5" t="s">
        <v>1749</v>
      </c>
      <c r="W385" s="1" t="s">
        <v>1750</v>
      </c>
      <c r="X385" s="1" t="s">
        <v>1752</v>
      </c>
      <c r="Y385" s="4"/>
      <c r="Z385" s="4"/>
      <c r="AA385" s="4" t="b">
        <f>IFERROR(__xludf.DUMMYFUNCTION("IF(X385="""",,REGEXMATCH(X385,""[א-ת]""))"),FALSE)</f>
        <v>0</v>
      </c>
      <c r="AB385" s="1">
        <v>26.86</v>
      </c>
      <c r="AC385" s="1">
        <v>53.45</v>
      </c>
      <c r="AD385" s="1">
        <v>0.445086245395606</v>
      </c>
      <c r="AE385" s="1">
        <v>0.3612</v>
      </c>
      <c r="AF385" s="1">
        <v>0.7269</v>
      </c>
      <c r="AG385" s="1">
        <v>6.337</v>
      </c>
      <c r="AH385" s="1">
        <v>6.781</v>
      </c>
      <c r="AI385" s="1" t="b">
        <v>0</v>
      </c>
      <c r="AJ385" s="1" t="b">
        <v>0</v>
      </c>
      <c r="AK385" s="1">
        <v>94.182</v>
      </c>
      <c r="AL385" s="1">
        <v>96.508</v>
      </c>
      <c r="AM385" s="1" t="b">
        <v>0</v>
      </c>
      <c r="AN385" s="1" t="b">
        <v>0</v>
      </c>
      <c r="AO385" s="1">
        <v>8.05</v>
      </c>
      <c r="AP385" s="1">
        <v>8.53399999999999</v>
      </c>
      <c r="AQ385" s="1" t="b">
        <v>0</v>
      </c>
      <c r="AR385" s="1" t="b">
        <v>0</v>
      </c>
      <c r="AS385" s="1">
        <v>86.9179999999999</v>
      </c>
      <c r="AT385" s="1">
        <v>87.152</v>
      </c>
      <c r="AU385" s="1" t="b">
        <v>0</v>
      </c>
      <c r="AV385" s="1" t="b">
        <v>0</v>
      </c>
      <c r="AW385" s="1">
        <v>9.61399999999999</v>
      </c>
      <c r="AX385" s="1">
        <v>11.026</v>
      </c>
      <c r="AY385" s="1" t="b">
        <v>0</v>
      </c>
      <c r="AZ385" s="1" t="b">
        <v>0</v>
      </c>
      <c r="BA385" s="1">
        <v>81.25</v>
      </c>
      <c r="BB385" s="1">
        <v>77.78</v>
      </c>
      <c r="BC385" s="1" t="b">
        <v>0</v>
      </c>
      <c r="BD385" s="1" t="b">
        <v>0</v>
      </c>
      <c r="BE385" s="1">
        <v>11.34</v>
      </c>
      <c r="BF385" s="1">
        <v>13.285</v>
      </c>
      <c r="BG385" s="1" t="b">
        <v>0</v>
      </c>
      <c r="BH385" s="1" t="b">
        <v>0</v>
      </c>
      <c r="BI385" s="1">
        <v>77.78</v>
      </c>
      <c r="BJ385" s="1">
        <v>75.0</v>
      </c>
      <c r="BK385" s="1" t="b">
        <v>0</v>
      </c>
      <c r="BL385" s="1" t="b">
        <v>0</v>
      </c>
      <c r="BM385" s="1">
        <v>13.121</v>
      </c>
      <c r="BN385" s="1">
        <v>14.568</v>
      </c>
      <c r="BO385" s="1" t="b">
        <v>0</v>
      </c>
      <c r="BP385" s="1" t="b">
        <v>0</v>
      </c>
      <c r="BQ385" s="1">
        <v>75.0</v>
      </c>
      <c r="BR385" s="1">
        <v>72.027</v>
      </c>
      <c r="BS385" s="1" t="b">
        <v>0</v>
      </c>
      <c r="BT385" s="1" t="b">
        <v>0</v>
      </c>
      <c r="BU385" s="1" t="s">
        <v>105</v>
      </c>
      <c r="BV385" s="1" t="s">
        <v>105</v>
      </c>
      <c r="BW385" s="1" t="s">
        <v>105</v>
      </c>
      <c r="BX385" s="1" t="s">
        <v>105</v>
      </c>
      <c r="BY385" s="1" t="s">
        <v>105</v>
      </c>
      <c r="BZ385" s="1" t="s">
        <v>105</v>
      </c>
      <c r="CA385" s="1" t="s">
        <v>105</v>
      </c>
      <c r="CB385" s="1" t="s">
        <v>105</v>
      </c>
      <c r="CC385" s="1" t="s">
        <v>105</v>
      </c>
      <c r="CD385" s="1" t="s">
        <v>105</v>
      </c>
      <c r="CE385" s="4"/>
      <c r="CF385" s="4"/>
    </row>
    <row r="386">
      <c r="A386" s="1" t="s">
        <v>82</v>
      </c>
      <c r="B386" s="1" t="s">
        <v>197</v>
      </c>
      <c r="C386" s="1">
        <v>20.0</v>
      </c>
      <c r="D386" s="5" t="s">
        <v>1753</v>
      </c>
      <c r="E386" s="1" t="s">
        <v>1754</v>
      </c>
      <c r="F386" s="1">
        <v>17.0</v>
      </c>
      <c r="G386" s="1">
        <v>-0.5574</v>
      </c>
      <c r="H386" s="1" t="s">
        <v>1755</v>
      </c>
      <c r="I386" s="4" t="b">
        <f>IFERROR(__xludf.DUMMYFUNCTION("IF(H386="""",,REGEXMATCH(H386,""[א-ת]""))"),FALSE)</f>
        <v>0</v>
      </c>
      <c r="J386" s="4"/>
      <c r="K386" s="4"/>
      <c r="L386" s="1">
        <v>-0.5574</v>
      </c>
      <c r="M386" s="1">
        <v>22.74</v>
      </c>
      <c r="N386" s="1">
        <v>64.71</v>
      </c>
      <c r="O386" s="1">
        <v>3.806470588</v>
      </c>
      <c r="P386" s="4"/>
      <c r="Q386" s="4"/>
      <c r="R386" s="1" t="s">
        <v>89</v>
      </c>
      <c r="S386" s="1" t="s">
        <v>1754</v>
      </c>
      <c r="T386" s="1" t="s">
        <v>197</v>
      </c>
      <c r="U386" s="1">
        <v>21.0</v>
      </c>
      <c r="V386" s="5" t="s">
        <v>1753</v>
      </c>
      <c r="W386" s="1" t="s">
        <v>1754</v>
      </c>
      <c r="X386" s="1" t="s">
        <v>1756</v>
      </c>
      <c r="Y386" s="1" t="s">
        <v>1757</v>
      </c>
      <c r="Z386" s="4"/>
      <c r="AA386" s="4" t="b">
        <f>IFERROR(__xludf.DUMMYFUNCTION("IF(X386="""",,REGEXMATCH(X386,""[א-ת]""))"),FALSE)</f>
        <v>0</v>
      </c>
      <c r="AB386" s="1">
        <v>4.35</v>
      </c>
      <c r="AC386" s="1">
        <v>76.47</v>
      </c>
      <c r="AD386" s="1">
        <v>0.489141492077599</v>
      </c>
      <c r="AE386" s="1">
        <v>-0.5574</v>
      </c>
      <c r="AF386" s="1">
        <v>-0.5574</v>
      </c>
      <c r="AG386" s="1">
        <v>6.337</v>
      </c>
      <c r="AH386" s="1">
        <v>6.781</v>
      </c>
      <c r="AI386" s="1" t="b">
        <v>0</v>
      </c>
      <c r="AJ386" s="1" t="b">
        <v>1</v>
      </c>
      <c r="AK386" s="1">
        <v>94.182</v>
      </c>
      <c r="AL386" s="1">
        <v>96.508</v>
      </c>
      <c r="AM386" s="1" t="b">
        <v>0</v>
      </c>
      <c r="AN386" s="1" t="b">
        <v>0</v>
      </c>
      <c r="AO386" s="1">
        <v>8.05</v>
      </c>
      <c r="AP386" s="1">
        <v>8.53399999999999</v>
      </c>
      <c r="AQ386" s="1" t="b">
        <v>0</v>
      </c>
      <c r="AR386" s="1" t="b">
        <v>1</v>
      </c>
      <c r="AS386" s="1">
        <v>86.9179999999999</v>
      </c>
      <c r="AT386" s="1">
        <v>87.152</v>
      </c>
      <c r="AU386" s="1" t="b">
        <v>0</v>
      </c>
      <c r="AV386" s="1" t="b">
        <v>0</v>
      </c>
      <c r="AW386" s="1">
        <v>9.61399999999999</v>
      </c>
      <c r="AX386" s="1">
        <v>11.026</v>
      </c>
      <c r="AY386" s="1" t="b">
        <v>0</v>
      </c>
      <c r="AZ386" s="1" t="b">
        <v>1</v>
      </c>
      <c r="BA386" s="1">
        <v>81.25</v>
      </c>
      <c r="BB386" s="1">
        <v>77.78</v>
      </c>
      <c r="BC386" s="1" t="b">
        <v>0</v>
      </c>
      <c r="BD386" s="1" t="b">
        <v>0</v>
      </c>
      <c r="BE386" s="1">
        <v>11.34</v>
      </c>
      <c r="BF386" s="1">
        <v>13.285</v>
      </c>
      <c r="BG386" s="1" t="b">
        <v>0</v>
      </c>
      <c r="BH386" s="1" t="b">
        <v>1</v>
      </c>
      <c r="BI386" s="1">
        <v>77.78</v>
      </c>
      <c r="BJ386" s="1">
        <v>75.0</v>
      </c>
      <c r="BK386" s="1" t="b">
        <v>0</v>
      </c>
      <c r="BL386" s="1" t="b">
        <v>1</v>
      </c>
      <c r="BM386" s="1">
        <v>13.121</v>
      </c>
      <c r="BN386" s="1">
        <v>14.568</v>
      </c>
      <c r="BO386" s="1" t="b">
        <v>0</v>
      </c>
      <c r="BP386" s="1" t="b">
        <v>1</v>
      </c>
      <c r="BQ386" s="1">
        <v>75.0</v>
      </c>
      <c r="BR386" s="1">
        <v>72.027</v>
      </c>
      <c r="BS386" s="1" t="b">
        <v>0</v>
      </c>
      <c r="BT386" s="1" t="b">
        <v>1</v>
      </c>
      <c r="BU386" s="1" t="s">
        <v>157</v>
      </c>
      <c r="BV386" s="1" t="s">
        <v>105</v>
      </c>
      <c r="BW386" s="1" t="s">
        <v>157</v>
      </c>
      <c r="BX386" s="1" t="s">
        <v>105</v>
      </c>
      <c r="BY386" s="1" t="s">
        <v>157</v>
      </c>
      <c r="BZ386" s="1" t="s">
        <v>105</v>
      </c>
      <c r="CA386" s="1" t="s">
        <v>157</v>
      </c>
      <c r="CB386" s="1" t="s">
        <v>157</v>
      </c>
      <c r="CC386" s="1" t="s">
        <v>157</v>
      </c>
      <c r="CD386" s="1" t="s">
        <v>157</v>
      </c>
      <c r="CE386" s="4"/>
      <c r="CF386" s="4"/>
    </row>
    <row r="387" hidden="1">
      <c r="A387" s="1" t="s">
        <v>82</v>
      </c>
      <c r="B387" s="1" t="s">
        <v>176</v>
      </c>
      <c r="C387" s="1">
        <v>5.0</v>
      </c>
      <c r="D387" s="5" t="s">
        <v>1758</v>
      </c>
      <c r="E387" s="1" t="s">
        <v>1759</v>
      </c>
      <c r="F387" s="1">
        <v>66.0</v>
      </c>
      <c r="G387" s="1">
        <v>-0.7184</v>
      </c>
      <c r="H387" s="1" t="s">
        <v>1760</v>
      </c>
      <c r="I387" s="4" t="b">
        <f>IFERROR(__xludf.DUMMYFUNCTION("IF(H387="""",,REGEXMATCH(H387,""[א-ת]""))"),FALSE)</f>
        <v>0</v>
      </c>
      <c r="J387" s="4"/>
      <c r="K387" s="4"/>
      <c r="L387" s="1">
        <v>-0.296</v>
      </c>
      <c r="M387" s="1">
        <v>22.85</v>
      </c>
      <c r="N387" s="1">
        <v>62.12</v>
      </c>
      <c r="O387" s="1">
        <v>0.9412121212</v>
      </c>
      <c r="P387" s="4"/>
      <c r="Q387" s="4"/>
      <c r="R387" s="1" t="s">
        <v>89</v>
      </c>
      <c r="S387" s="1" t="s">
        <v>1759</v>
      </c>
      <c r="T387" s="1" t="s">
        <v>176</v>
      </c>
      <c r="U387" s="1">
        <v>6.0</v>
      </c>
      <c r="V387" s="5" t="s">
        <v>1758</v>
      </c>
      <c r="W387" s="1" t="s">
        <v>1759</v>
      </c>
      <c r="X387" s="1" t="s">
        <v>1761</v>
      </c>
      <c r="Y387" s="4"/>
      <c r="Z387" s="4"/>
      <c r="AA387" s="4" t="b">
        <f>IFERROR(__xludf.DUMMYFUNCTION("IF(X387="""",,REGEXMATCH(X387,""[א-ת]""))"),FALSE)</f>
        <v>0</v>
      </c>
      <c r="AB387" s="1">
        <v>28.77</v>
      </c>
      <c r="AC387" s="1">
        <v>59.09</v>
      </c>
      <c r="AD387" s="1">
        <v>0.603298757108079</v>
      </c>
      <c r="AE387" s="1">
        <v>-0.296</v>
      </c>
      <c r="AF387" s="1">
        <v>-0.7184</v>
      </c>
      <c r="AG387" s="1">
        <v>6.337</v>
      </c>
      <c r="AH387" s="1">
        <v>6.781</v>
      </c>
      <c r="AI387" s="1" t="b">
        <v>0</v>
      </c>
      <c r="AJ387" s="1" t="b">
        <v>0</v>
      </c>
      <c r="AK387" s="1">
        <v>94.182</v>
      </c>
      <c r="AL387" s="1">
        <v>96.508</v>
      </c>
      <c r="AM387" s="1" t="b">
        <v>0</v>
      </c>
      <c r="AN387" s="1" t="b">
        <v>0</v>
      </c>
      <c r="AO387" s="1">
        <v>8.05</v>
      </c>
      <c r="AP387" s="1">
        <v>8.53399999999999</v>
      </c>
      <c r="AQ387" s="1" t="b">
        <v>0</v>
      </c>
      <c r="AR387" s="1" t="b">
        <v>0</v>
      </c>
      <c r="AS387" s="1">
        <v>86.9179999999999</v>
      </c>
      <c r="AT387" s="1">
        <v>87.152</v>
      </c>
      <c r="AU387" s="1" t="b">
        <v>0</v>
      </c>
      <c r="AV387" s="1" t="b">
        <v>0</v>
      </c>
      <c r="AW387" s="1">
        <v>9.61399999999999</v>
      </c>
      <c r="AX387" s="1">
        <v>11.026</v>
      </c>
      <c r="AY387" s="1" t="b">
        <v>0</v>
      </c>
      <c r="AZ387" s="1" t="b">
        <v>0</v>
      </c>
      <c r="BA387" s="1">
        <v>81.25</v>
      </c>
      <c r="BB387" s="1">
        <v>77.78</v>
      </c>
      <c r="BC387" s="1" t="b">
        <v>0</v>
      </c>
      <c r="BD387" s="1" t="b">
        <v>0</v>
      </c>
      <c r="BE387" s="1">
        <v>11.34</v>
      </c>
      <c r="BF387" s="1">
        <v>13.285</v>
      </c>
      <c r="BG387" s="1" t="b">
        <v>0</v>
      </c>
      <c r="BH387" s="1" t="b">
        <v>0</v>
      </c>
      <c r="BI387" s="1">
        <v>77.78</v>
      </c>
      <c r="BJ387" s="1">
        <v>75.0</v>
      </c>
      <c r="BK387" s="1" t="b">
        <v>0</v>
      </c>
      <c r="BL387" s="1" t="b">
        <v>0</v>
      </c>
      <c r="BM387" s="1">
        <v>13.121</v>
      </c>
      <c r="BN387" s="1">
        <v>14.568</v>
      </c>
      <c r="BO387" s="1" t="b">
        <v>0</v>
      </c>
      <c r="BP387" s="1" t="b">
        <v>0</v>
      </c>
      <c r="BQ387" s="1">
        <v>75.0</v>
      </c>
      <c r="BR387" s="1">
        <v>72.027</v>
      </c>
      <c r="BS387" s="1" t="b">
        <v>0</v>
      </c>
      <c r="BT387" s="1" t="b">
        <v>0</v>
      </c>
      <c r="BU387" s="1" t="s">
        <v>105</v>
      </c>
      <c r="BV387" s="1" t="s">
        <v>105</v>
      </c>
      <c r="BW387" s="1" t="s">
        <v>105</v>
      </c>
      <c r="BX387" s="1" t="s">
        <v>105</v>
      </c>
      <c r="BY387" s="1" t="s">
        <v>105</v>
      </c>
      <c r="BZ387" s="1" t="s">
        <v>105</v>
      </c>
      <c r="CA387" s="1" t="s">
        <v>105</v>
      </c>
      <c r="CB387" s="1" t="s">
        <v>105</v>
      </c>
      <c r="CC387" s="1" t="s">
        <v>105</v>
      </c>
      <c r="CD387" s="1" t="s">
        <v>105</v>
      </c>
      <c r="CE387" s="4"/>
      <c r="CF387" s="4"/>
    </row>
    <row r="388" hidden="1">
      <c r="A388" s="1" t="s">
        <v>82</v>
      </c>
      <c r="B388" s="1" t="s">
        <v>111</v>
      </c>
      <c r="C388" s="1">
        <v>35.0</v>
      </c>
      <c r="D388" s="5" t="s">
        <v>1762</v>
      </c>
      <c r="E388" s="1" t="s">
        <v>1763</v>
      </c>
      <c r="F388" s="1">
        <v>52.0</v>
      </c>
      <c r="G388" s="1">
        <v>-0.6705</v>
      </c>
      <c r="H388" s="1" t="s">
        <v>1764</v>
      </c>
      <c r="I388" s="4" t="b">
        <f>IFERROR(__xludf.DUMMYFUNCTION("IF(H388="""",,REGEXMATCH(H388,""[א-ת]""))"),FALSE)</f>
        <v>0</v>
      </c>
      <c r="J388" s="4"/>
      <c r="K388" s="4"/>
      <c r="L388" s="1">
        <v>-0.8442</v>
      </c>
      <c r="M388" s="1">
        <v>22.87</v>
      </c>
      <c r="N388" s="1">
        <v>57.69</v>
      </c>
      <c r="O388" s="1">
        <v>1.109423077</v>
      </c>
      <c r="P388" s="4"/>
      <c r="Q388" s="4"/>
      <c r="R388" s="1" t="s">
        <v>89</v>
      </c>
      <c r="S388" s="1" t="s">
        <v>1763</v>
      </c>
      <c r="T388" s="1" t="s">
        <v>111</v>
      </c>
      <c r="U388" s="1">
        <v>36.0</v>
      </c>
      <c r="V388" s="5" t="s">
        <v>1762</v>
      </c>
      <c r="W388" s="1" t="s">
        <v>1763</v>
      </c>
      <c r="X388" s="1" t="s">
        <v>1765</v>
      </c>
      <c r="Y388" s="4"/>
      <c r="Z388" s="4"/>
      <c r="AA388" s="4" t="b">
        <f>IFERROR(__xludf.DUMMYFUNCTION("IF(X388="""",,REGEXMATCH(X388,""[א-ת]""))"),FALSE)</f>
        <v>0</v>
      </c>
      <c r="AB388" s="1">
        <v>17.13</v>
      </c>
      <c r="AC388" s="1">
        <v>59.62</v>
      </c>
      <c r="AD388" s="1">
        <v>0.276544077589416</v>
      </c>
      <c r="AE388" s="1">
        <v>0.0</v>
      </c>
      <c r="AF388" s="1">
        <v>-0.6705</v>
      </c>
      <c r="AG388" s="1">
        <v>6.337</v>
      </c>
      <c r="AH388" s="1">
        <v>6.781</v>
      </c>
      <c r="AI388" s="1" t="b">
        <v>0</v>
      </c>
      <c r="AJ388" s="1" t="b">
        <v>0</v>
      </c>
      <c r="AK388" s="1">
        <v>94.182</v>
      </c>
      <c r="AL388" s="1">
        <v>96.508</v>
      </c>
      <c r="AM388" s="1" t="b">
        <v>0</v>
      </c>
      <c r="AN388" s="1" t="b">
        <v>0</v>
      </c>
      <c r="AO388" s="1">
        <v>8.05</v>
      </c>
      <c r="AP388" s="1">
        <v>8.53399999999999</v>
      </c>
      <c r="AQ388" s="1" t="b">
        <v>0</v>
      </c>
      <c r="AR388" s="1" t="b">
        <v>0</v>
      </c>
      <c r="AS388" s="1">
        <v>86.9179999999999</v>
      </c>
      <c r="AT388" s="1">
        <v>87.152</v>
      </c>
      <c r="AU388" s="1" t="b">
        <v>0</v>
      </c>
      <c r="AV388" s="1" t="b">
        <v>0</v>
      </c>
      <c r="AW388" s="1">
        <v>9.61399999999999</v>
      </c>
      <c r="AX388" s="1">
        <v>11.026</v>
      </c>
      <c r="AY388" s="1" t="b">
        <v>0</v>
      </c>
      <c r="AZ388" s="1" t="b">
        <v>0</v>
      </c>
      <c r="BA388" s="1">
        <v>81.25</v>
      </c>
      <c r="BB388" s="1">
        <v>77.78</v>
      </c>
      <c r="BC388" s="1" t="b">
        <v>0</v>
      </c>
      <c r="BD388" s="1" t="b">
        <v>0</v>
      </c>
      <c r="BE388" s="1">
        <v>11.34</v>
      </c>
      <c r="BF388" s="1">
        <v>13.285</v>
      </c>
      <c r="BG388" s="1" t="b">
        <v>0</v>
      </c>
      <c r="BH388" s="1" t="b">
        <v>0</v>
      </c>
      <c r="BI388" s="1">
        <v>77.78</v>
      </c>
      <c r="BJ388" s="1">
        <v>75.0</v>
      </c>
      <c r="BK388" s="1" t="b">
        <v>0</v>
      </c>
      <c r="BL388" s="1" t="b">
        <v>0</v>
      </c>
      <c r="BM388" s="1">
        <v>13.121</v>
      </c>
      <c r="BN388" s="1">
        <v>14.568</v>
      </c>
      <c r="BO388" s="1" t="b">
        <v>0</v>
      </c>
      <c r="BP388" s="1" t="b">
        <v>0</v>
      </c>
      <c r="BQ388" s="1">
        <v>75.0</v>
      </c>
      <c r="BR388" s="1">
        <v>72.027</v>
      </c>
      <c r="BS388" s="1" t="b">
        <v>0</v>
      </c>
      <c r="BT388" s="1" t="b">
        <v>0</v>
      </c>
      <c r="BU388" s="1" t="s">
        <v>105</v>
      </c>
      <c r="BV388" s="1" t="s">
        <v>105</v>
      </c>
      <c r="BW388" s="1" t="s">
        <v>105</v>
      </c>
      <c r="BX388" s="1" t="s">
        <v>105</v>
      </c>
      <c r="BY388" s="1" t="s">
        <v>105</v>
      </c>
      <c r="BZ388" s="1" t="s">
        <v>105</v>
      </c>
      <c r="CA388" s="1" t="s">
        <v>105</v>
      </c>
      <c r="CB388" s="1" t="s">
        <v>105</v>
      </c>
      <c r="CC388" s="1" t="s">
        <v>105</v>
      </c>
      <c r="CD388" s="1" t="s">
        <v>105</v>
      </c>
      <c r="CE388" s="4"/>
      <c r="CF388" s="4"/>
    </row>
    <row r="389" hidden="1">
      <c r="A389" s="1" t="s">
        <v>82</v>
      </c>
      <c r="B389" s="1" t="s">
        <v>631</v>
      </c>
      <c r="C389" s="1">
        <v>2.0</v>
      </c>
      <c r="D389" s="5" t="s">
        <v>1766</v>
      </c>
      <c r="E389" s="1" t="s">
        <v>1767</v>
      </c>
      <c r="F389" s="1">
        <v>70.0</v>
      </c>
      <c r="G389" s="1">
        <v>-0.7003</v>
      </c>
      <c r="H389" s="1" t="s">
        <v>1768</v>
      </c>
      <c r="I389" s="4" t="b">
        <f>IFERROR(__xludf.DUMMYFUNCTION("IF(H389="""",,REGEXMATCH(H389,""[א-ת]""))"),FALSE)</f>
        <v>0</v>
      </c>
      <c r="J389" s="4"/>
      <c r="K389" s="4"/>
      <c r="L389" s="1">
        <v>-0.2023</v>
      </c>
      <c r="M389" s="1">
        <v>22.87</v>
      </c>
      <c r="N389" s="1">
        <v>61.43</v>
      </c>
      <c r="O389" s="1">
        <v>0.8775714286</v>
      </c>
      <c r="P389" s="4"/>
      <c r="Q389" s="4"/>
      <c r="R389" s="1" t="s">
        <v>89</v>
      </c>
      <c r="S389" s="1" t="s">
        <v>1767</v>
      </c>
      <c r="T389" s="1" t="s">
        <v>631</v>
      </c>
      <c r="U389" s="1">
        <v>3.0</v>
      </c>
      <c r="V389" s="5" t="s">
        <v>1766</v>
      </c>
      <c r="W389" s="1" t="s">
        <v>1767</v>
      </c>
      <c r="X389" s="1" t="s">
        <v>1769</v>
      </c>
      <c r="Y389" s="4"/>
      <c r="Z389" s="4"/>
      <c r="AA389" s="4" t="b">
        <f>IFERROR(__xludf.DUMMYFUNCTION("IF(X389="""",,REGEXMATCH(X389,""[א-ת]""))"),FALSE)</f>
        <v>0</v>
      </c>
      <c r="AB389" s="1">
        <v>10.97</v>
      </c>
      <c r="AC389" s="1">
        <v>55.71</v>
      </c>
      <c r="AD389" s="1">
        <v>0.433900939686059</v>
      </c>
      <c r="AE389" s="1">
        <v>0.3818</v>
      </c>
      <c r="AF389" s="1">
        <v>-0.7003</v>
      </c>
      <c r="AG389" s="1">
        <v>6.337</v>
      </c>
      <c r="AH389" s="1">
        <v>6.781</v>
      </c>
      <c r="AI389" s="1" t="b">
        <v>0</v>
      </c>
      <c r="AJ389" s="1" t="b">
        <v>0</v>
      </c>
      <c r="AK389" s="1">
        <v>94.182</v>
      </c>
      <c r="AL389" s="1">
        <v>96.508</v>
      </c>
      <c r="AM389" s="1" t="b">
        <v>0</v>
      </c>
      <c r="AN389" s="1" t="b">
        <v>0</v>
      </c>
      <c r="AO389" s="1">
        <v>8.05</v>
      </c>
      <c r="AP389" s="1">
        <v>8.53399999999999</v>
      </c>
      <c r="AQ389" s="1" t="b">
        <v>0</v>
      </c>
      <c r="AR389" s="1" t="b">
        <v>0</v>
      </c>
      <c r="AS389" s="1">
        <v>86.9179999999999</v>
      </c>
      <c r="AT389" s="1">
        <v>87.152</v>
      </c>
      <c r="AU389" s="1" t="b">
        <v>0</v>
      </c>
      <c r="AV389" s="1" t="b">
        <v>0</v>
      </c>
      <c r="AW389" s="1">
        <v>9.61399999999999</v>
      </c>
      <c r="AX389" s="1">
        <v>11.026</v>
      </c>
      <c r="AY389" s="1" t="b">
        <v>0</v>
      </c>
      <c r="AZ389" s="1" t="b">
        <v>1</v>
      </c>
      <c r="BA389" s="1">
        <v>81.25</v>
      </c>
      <c r="BB389" s="1">
        <v>77.78</v>
      </c>
      <c r="BC389" s="1" t="b">
        <v>0</v>
      </c>
      <c r="BD389" s="1" t="b">
        <v>0</v>
      </c>
      <c r="BE389" s="1">
        <v>11.34</v>
      </c>
      <c r="BF389" s="1">
        <v>13.285</v>
      </c>
      <c r="BG389" s="1" t="b">
        <v>0</v>
      </c>
      <c r="BH389" s="1" t="b">
        <v>1</v>
      </c>
      <c r="BI389" s="1">
        <v>77.78</v>
      </c>
      <c r="BJ389" s="1">
        <v>75.0</v>
      </c>
      <c r="BK389" s="1" t="b">
        <v>0</v>
      </c>
      <c r="BL389" s="1" t="b">
        <v>0</v>
      </c>
      <c r="BM389" s="1">
        <v>13.121</v>
      </c>
      <c r="BN389" s="1">
        <v>14.568</v>
      </c>
      <c r="BO389" s="1" t="b">
        <v>0</v>
      </c>
      <c r="BP389" s="1" t="b">
        <v>1</v>
      </c>
      <c r="BQ389" s="1">
        <v>75.0</v>
      </c>
      <c r="BR389" s="1">
        <v>72.027</v>
      </c>
      <c r="BS389" s="1" t="b">
        <v>0</v>
      </c>
      <c r="BT389" s="1" t="b">
        <v>0</v>
      </c>
      <c r="BU389" s="1" t="s">
        <v>105</v>
      </c>
      <c r="BV389" s="1" t="s">
        <v>105</v>
      </c>
      <c r="BW389" s="1" t="s">
        <v>105</v>
      </c>
      <c r="BX389" s="1" t="s">
        <v>105</v>
      </c>
      <c r="BY389" s="1" t="s">
        <v>157</v>
      </c>
      <c r="BZ389" s="1" t="s">
        <v>105</v>
      </c>
      <c r="CA389" s="1" t="s">
        <v>157</v>
      </c>
      <c r="CB389" s="1" t="s">
        <v>105</v>
      </c>
      <c r="CC389" s="1" t="s">
        <v>157</v>
      </c>
      <c r="CD389" s="1" t="s">
        <v>105</v>
      </c>
      <c r="CE389" s="4"/>
      <c r="CF389" s="4"/>
    </row>
    <row r="390" hidden="1">
      <c r="A390" s="1" t="s">
        <v>82</v>
      </c>
      <c r="B390" s="1" t="s">
        <v>304</v>
      </c>
      <c r="C390" s="1">
        <v>15.0</v>
      </c>
      <c r="D390" s="5" t="s">
        <v>1770</v>
      </c>
      <c r="E390" s="1" t="s">
        <v>1771</v>
      </c>
      <c r="F390" s="1">
        <v>25.0</v>
      </c>
      <c r="G390" s="1">
        <v>-0.6369</v>
      </c>
      <c r="H390" s="1" t="s">
        <v>1772</v>
      </c>
      <c r="I390" s="4" t="b">
        <f>IFERROR(__xludf.DUMMYFUNCTION("IF(H390="""",,REGEXMATCH(H390,""[א-ת]""))"),FALSE)</f>
        <v>0</v>
      </c>
      <c r="J390" s="4"/>
      <c r="K390" s="4"/>
      <c r="L390" s="1">
        <v>0.3612</v>
      </c>
      <c r="M390" s="1">
        <v>22.89</v>
      </c>
      <c r="N390" s="1">
        <v>60.0</v>
      </c>
      <c r="O390" s="1">
        <v>2.4</v>
      </c>
      <c r="P390" s="4"/>
      <c r="Q390" s="4"/>
      <c r="R390" s="1" t="s">
        <v>89</v>
      </c>
      <c r="S390" s="1" t="s">
        <v>1771</v>
      </c>
      <c r="T390" s="1" t="s">
        <v>304</v>
      </c>
      <c r="U390" s="1">
        <v>16.0</v>
      </c>
      <c r="V390" s="5" t="s">
        <v>1770</v>
      </c>
      <c r="W390" s="1" t="s">
        <v>1771</v>
      </c>
      <c r="X390" s="1" t="s">
        <v>1773</v>
      </c>
      <c r="Y390" s="4"/>
      <c r="Z390" s="4"/>
      <c r="AA390" s="4" t="b">
        <f>IFERROR(__xludf.DUMMYFUNCTION("IF(X390="""",,REGEXMATCH(X390,""[א-ת]""))"),FALSE)</f>
        <v>0</v>
      </c>
      <c r="AB390" s="1">
        <v>34.9</v>
      </c>
      <c r="AC390" s="1">
        <v>44.0</v>
      </c>
      <c r="AD390" s="1">
        <v>0.71863381130599</v>
      </c>
      <c r="AE390" s="1">
        <v>-0.0258</v>
      </c>
      <c r="AF390" s="1">
        <v>-0.6369</v>
      </c>
      <c r="AG390" s="1">
        <v>6.337</v>
      </c>
      <c r="AH390" s="1">
        <v>6.781</v>
      </c>
      <c r="AI390" s="1" t="b">
        <v>0</v>
      </c>
      <c r="AJ390" s="1" t="b">
        <v>0</v>
      </c>
      <c r="AK390" s="1">
        <v>94.182</v>
      </c>
      <c r="AL390" s="1">
        <v>96.508</v>
      </c>
      <c r="AM390" s="1" t="b">
        <v>0</v>
      </c>
      <c r="AN390" s="1" t="b">
        <v>0</v>
      </c>
      <c r="AO390" s="1">
        <v>8.05</v>
      </c>
      <c r="AP390" s="1">
        <v>8.53399999999999</v>
      </c>
      <c r="AQ390" s="1" t="b">
        <v>0</v>
      </c>
      <c r="AR390" s="1" t="b">
        <v>0</v>
      </c>
      <c r="AS390" s="1">
        <v>86.9179999999999</v>
      </c>
      <c r="AT390" s="1">
        <v>87.152</v>
      </c>
      <c r="AU390" s="1" t="b">
        <v>0</v>
      </c>
      <c r="AV390" s="1" t="b">
        <v>0</v>
      </c>
      <c r="AW390" s="1">
        <v>9.61399999999999</v>
      </c>
      <c r="AX390" s="1">
        <v>11.026</v>
      </c>
      <c r="AY390" s="1" t="b">
        <v>0</v>
      </c>
      <c r="AZ390" s="1" t="b">
        <v>0</v>
      </c>
      <c r="BA390" s="1">
        <v>81.25</v>
      </c>
      <c r="BB390" s="1">
        <v>77.78</v>
      </c>
      <c r="BC390" s="1" t="b">
        <v>0</v>
      </c>
      <c r="BD390" s="1" t="b">
        <v>0</v>
      </c>
      <c r="BE390" s="1">
        <v>11.34</v>
      </c>
      <c r="BF390" s="1">
        <v>13.285</v>
      </c>
      <c r="BG390" s="1" t="b">
        <v>0</v>
      </c>
      <c r="BH390" s="1" t="b">
        <v>0</v>
      </c>
      <c r="BI390" s="1">
        <v>77.78</v>
      </c>
      <c r="BJ390" s="1">
        <v>75.0</v>
      </c>
      <c r="BK390" s="1" t="b">
        <v>0</v>
      </c>
      <c r="BL390" s="1" t="b">
        <v>0</v>
      </c>
      <c r="BM390" s="1">
        <v>13.121</v>
      </c>
      <c r="BN390" s="1">
        <v>14.568</v>
      </c>
      <c r="BO390" s="1" t="b">
        <v>0</v>
      </c>
      <c r="BP390" s="1" t="b">
        <v>0</v>
      </c>
      <c r="BQ390" s="1">
        <v>75.0</v>
      </c>
      <c r="BR390" s="1">
        <v>72.027</v>
      </c>
      <c r="BS390" s="1" t="b">
        <v>0</v>
      </c>
      <c r="BT390" s="1" t="b">
        <v>0</v>
      </c>
      <c r="BU390" s="1" t="s">
        <v>105</v>
      </c>
      <c r="BV390" s="1" t="s">
        <v>105</v>
      </c>
      <c r="BW390" s="1" t="s">
        <v>105</v>
      </c>
      <c r="BX390" s="1" t="s">
        <v>105</v>
      </c>
      <c r="BY390" s="1" t="s">
        <v>105</v>
      </c>
      <c r="BZ390" s="1" t="s">
        <v>105</v>
      </c>
      <c r="CA390" s="1" t="s">
        <v>105</v>
      </c>
      <c r="CB390" s="1" t="s">
        <v>105</v>
      </c>
      <c r="CC390" s="1" t="s">
        <v>105</v>
      </c>
      <c r="CD390" s="1" t="s">
        <v>105</v>
      </c>
      <c r="CE390" s="4"/>
      <c r="CF390" s="4"/>
    </row>
    <row r="391" hidden="1">
      <c r="A391" s="1" t="s">
        <v>82</v>
      </c>
      <c r="B391" s="1" t="s">
        <v>111</v>
      </c>
      <c r="C391" s="1">
        <v>64.0</v>
      </c>
      <c r="D391" s="5" t="s">
        <v>1774</v>
      </c>
      <c r="E391" s="1" t="s">
        <v>1775</v>
      </c>
      <c r="F391" s="1">
        <v>68.0</v>
      </c>
      <c r="G391" s="1">
        <v>0.8572</v>
      </c>
      <c r="H391" s="1" t="s">
        <v>1776</v>
      </c>
      <c r="I391" s="4" t="b">
        <f>IFERROR(__xludf.DUMMYFUNCTION("IF(H391="""",,REGEXMATCH(H391,""[א-ת]""))"),FALSE)</f>
        <v>0</v>
      </c>
      <c r="J391" s="4"/>
      <c r="K391" s="4"/>
      <c r="L391" s="1">
        <v>0.7506</v>
      </c>
      <c r="M391" s="1">
        <v>22.93</v>
      </c>
      <c r="N391" s="1">
        <v>51.47</v>
      </c>
      <c r="O391" s="1">
        <v>0.7569117647</v>
      </c>
      <c r="P391" s="4"/>
      <c r="Q391" s="4"/>
      <c r="R391" s="1" t="s">
        <v>89</v>
      </c>
      <c r="S391" s="1" t="s">
        <v>1775</v>
      </c>
      <c r="T391" s="1" t="s">
        <v>111</v>
      </c>
      <c r="U391" s="1">
        <v>65.0</v>
      </c>
      <c r="V391" s="5" t="s">
        <v>1774</v>
      </c>
      <c r="W391" s="1" t="s">
        <v>1775</v>
      </c>
      <c r="X391" s="1" t="s">
        <v>1777</v>
      </c>
      <c r="Y391" s="4"/>
      <c r="Z391" s="4"/>
      <c r="AA391" s="4" t="b">
        <f>IFERROR(__xludf.DUMMYFUNCTION("IF(X391="""",,REGEXMATCH(X391,""[א-ת]""))"),FALSE)</f>
        <v>0</v>
      </c>
      <c r="AB391" s="1">
        <v>21.58</v>
      </c>
      <c r="AC391" s="1">
        <v>57.35</v>
      </c>
      <c r="AD391" s="1">
        <v>0.532765084903905</v>
      </c>
      <c r="AE391" s="1">
        <v>0.8591</v>
      </c>
      <c r="AF391" s="1">
        <v>0.8572</v>
      </c>
      <c r="AG391" s="1">
        <v>6.337</v>
      </c>
      <c r="AH391" s="1">
        <v>6.781</v>
      </c>
      <c r="AI391" s="1" t="b">
        <v>0</v>
      </c>
      <c r="AJ391" s="1" t="b">
        <v>0</v>
      </c>
      <c r="AK391" s="1">
        <v>94.182</v>
      </c>
      <c r="AL391" s="1">
        <v>96.508</v>
      </c>
      <c r="AM391" s="1" t="b">
        <v>0</v>
      </c>
      <c r="AN391" s="1" t="b">
        <v>0</v>
      </c>
      <c r="AO391" s="1">
        <v>8.05</v>
      </c>
      <c r="AP391" s="1">
        <v>8.53399999999999</v>
      </c>
      <c r="AQ391" s="1" t="b">
        <v>0</v>
      </c>
      <c r="AR391" s="1" t="b">
        <v>0</v>
      </c>
      <c r="AS391" s="1">
        <v>86.9179999999999</v>
      </c>
      <c r="AT391" s="1">
        <v>87.152</v>
      </c>
      <c r="AU391" s="1" t="b">
        <v>0</v>
      </c>
      <c r="AV391" s="1" t="b">
        <v>0</v>
      </c>
      <c r="AW391" s="1">
        <v>9.61399999999999</v>
      </c>
      <c r="AX391" s="1">
        <v>11.026</v>
      </c>
      <c r="AY391" s="1" t="b">
        <v>0</v>
      </c>
      <c r="AZ391" s="1" t="b">
        <v>0</v>
      </c>
      <c r="BA391" s="1">
        <v>81.25</v>
      </c>
      <c r="BB391" s="1">
        <v>77.78</v>
      </c>
      <c r="BC391" s="1" t="b">
        <v>0</v>
      </c>
      <c r="BD391" s="1" t="b">
        <v>0</v>
      </c>
      <c r="BE391" s="1">
        <v>11.34</v>
      </c>
      <c r="BF391" s="1">
        <v>13.285</v>
      </c>
      <c r="BG391" s="1" t="b">
        <v>0</v>
      </c>
      <c r="BH391" s="1" t="b">
        <v>0</v>
      </c>
      <c r="BI391" s="1">
        <v>77.78</v>
      </c>
      <c r="BJ391" s="1">
        <v>75.0</v>
      </c>
      <c r="BK391" s="1" t="b">
        <v>0</v>
      </c>
      <c r="BL391" s="1" t="b">
        <v>0</v>
      </c>
      <c r="BM391" s="1">
        <v>13.121</v>
      </c>
      <c r="BN391" s="1">
        <v>14.568</v>
      </c>
      <c r="BO391" s="1" t="b">
        <v>0</v>
      </c>
      <c r="BP391" s="1" t="b">
        <v>0</v>
      </c>
      <c r="BQ391" s="1">
        <v>75.0</v>
      </c>
      <c r="BR391" s="1">
        <v>72.027</v>
      </c>
      <c r="BS391" s="1" t="b">
        <v>0</v>
      </c>
      <c r="BT391" s="1" t="b">
        <v>0</v>
      </c>
      <c r="BU391" s="1" t="s">
        <v>105</v>
      </c>
      <c r="BV391" s="1" t="s">
        <v>105</v>
      </c>
      <c r="BW391" s="1" t="s">
        <v>105</v>
      </c>
      <c r="BX391" s="1" t="s">
        <v>105</v>
      </c>
      <c r="BY391" s="1" t="s">
        <v>105</v>
      </c>
      <c r="BZ391" s="1" t="s">
        <v>105</v>
      </c>
      <c r="CA391" s="1" t="s">
        <v>105</v>
      </c>
      <c r="CB391" s="1" t="s">
        <v>105</v>
      </c>
      <c r="CC391" s="1" t="s">
        <v>105</v>
      </c>
      <c r="CD391" s="1" t="s">
        <v>105</v>
      </c>
      <c r="CE391" s="4"/>
      <c r="CF391" s="4"/>
    </row>
    <row r="392" hidden="1">
      <c r="A392" s="1" t="s">
        <v>82</v>
      </c>
      <c r="B392" s="1" t="s">
        <v>631</v>
      </c>
      <c r="C392" s="1">
        <v>7.0</v>
      </c>
      <c r="D392" s="5" t="s">
        <v>1778</v>
      </c>
      <c r="E392" s="1" t="s">
        <v>1779</v>
      </c>
      <c r="F392" s="1">
        <v>50.0</v>
      </c>
      <c r="G392" s="1">
        <v>-0.7351</v>
      </c>
      <c r="H392" s="1" t="s">
        <v>1780</v>
      </c>
      <c r="I392" s="4" t="b">
        <f>IFERROR(__xludf.DUMMYFUNCTION("IF(H392="""",,REGEXMATCH(H392,""[א-ת]""))"),FALSE)</f>
        <v>0</v>
      </c>
      <c r="J392" s="4"/>
      <c r="K392" s="4"/>
      <c r="L392" s="1">
        <v>-0.714</v>
      </c>
      <c r="M392" s="1">
        <v>22.93</v>
      </c>
      <c r="N392" s="1">
        <v>62.0</v>
      </c>
      <c r="O392" s="1">
        <v>1.24</v>
      </c>
      <c r="P392" s="4"/>
      <c r="Q392" s="4"/>
      <c r="R392" s="1" t="s">
        <v>89</v>
      </c>
      <c r="S392" s="1" t="s">
        <v>1779</v>
      </c>
      <c r="T392" s="1" t="s">
        <v>631</v>
      </c>
      <c r="U392" s="1">
        <v>8.0</v>
      </c>
      <c r="V392" s="5" t="s">
        <v>1778</v>
      </c>
      <c r="W392" s="1" t="s">
        <v>1779</v>
      </c>
      <c r="X392" s="1" t="s">
        <v>1781</v>
      </c>
      <c r="Y392" s="4"/>
      <c r="Z392" s="4"/>
      <c r="AA392" s="4" t="b">
        <f>IFERROR(__xludf.DUMMYFUNCTION("IF(X392="""",,REGEXMATCH(X392,""[א-ת]""))"),FALSE)</f>
        <v>0</v>
      </c>
      <c r="AB392" s="1">
        <v>13.85</v>
      </c>
      <c r="AC392" s="1">
        <v>68.0</v>
      </c>
      <c r="AD392" s="1">
        <v>0.386439062585647</v>
      </c>
      <c r="AE392" s="1">
        <v>-0.9595</v>
      </c>
      <c r="AF392" s="1">
        <v>-0.7351</v>
      </c>
      <c r="AG392" s="1">
        <v>6.337</v>
      </c>
      <c r="AH392" s="1">
        <v>6.781</v>
      </c>
      <c r="AI392" s="1" t="b">
        <v>0</v>
      </c>
      <c r="AJ392" s="1" t="b">
        <v>0</v>
      </c>
      <c r="AK392" s="1">
        <v>94.182</v>
      </c>
      <c r="AL392" s="1">
        <v>96.508</v>
      </c>
      <c r="AM392" s="1" t="b">
        <v>0</v>
      </c>
      <c r="AN392" s="1" t="b">
        <v>0</v>
      </c>
      <c r="AO392" s="1">
        <v>8.05</v>
      </c>
      <c r="AP392" s="1">
        <v>8.53399999999999</v>
      </c>
      <c r="AQ392" s="1" t="b">
        <v>0</v>
      </c>
      <c r="AR392" s="1" t="b">
        <v>0</v>
      </c>
      <c r="AS392" s="1">
        <v>86.9179999999999</v>
      </c>
      <c r="AT392" s="1">
        <v>87.152</v>
      </c>
      <c r="AU392" s="1" t="b">
        <v>0</v>
      </c>
      <c r="AV392" s="1" t="b">
        <v>0</v>
      </c>
      <c r="AW392" s="1">
        <v>9.61399999999999</v>
      </c>
      <c r="AX392" s="1">
        <v>11.026</v>
      </c>
      <c r="AY392" s="1" t="b">
        <v>0</v>
      </c>
      <c r="AZ392" s="1" t="b">
        <v>0</v>
      </c>
      <c r="BA392" s="1">
        <v>81.25</v>
      </c>
      <c r="BB392" s="1">
        <v>77.78</v>
      </c>
      <c r="BC392" s="1" t="b">
        <v>0</v>
      </c>
      <c r="BD392" s="1" t="b">
        <v>0</v>
      </c>
      <c r="BE392" s="1">
        <v>11.34</v>
      </c>
      <c r="BF392" s="1">
        <v>13.285</v>
      </c>
      <c r="BG392" s="1" t="b">
        <v>0</v>
      </c>
      <c r="BH392" s="1" t="b">
        <v>0</v>
      </c>
      <c r="BI392" s="1">
        <v>77.78</v>
      </c>
      <c r="BJ392" s="1">
        <v>75.0</v>
      </c>
      <c r="BK392" s="1" t="b">
        <v>0</v>
      </c>
      <c r="BL392" s="1" t="b">
        <v>0</v>
      </c>
      <c r="BM392" s="1">
        <v>13.121</v>
      </c>
      <c r="BN392" s="1">
        <v>14.568</v>
      </c>
      <c r="BO392" s="1" t="b">
        <v>0</v>
      </c>
      <c r="BP392" s="1" t="b">
        <v>1</v>
      </c>
      <c r="BQ392" s="1">
        <v>75.0</v>
      </c>
      <c r="BR392" s="1">
        <v>72.027</v>
      </c>
      <c r="BS392" s="1" t="b">
        <v>0</v>
      </c>
      <c r="BT392" s="1" t="b">
        <v>0</v>
      </c>
      <c r="BU392" s="1" t="s">
        <v>105</v>
      </c>
      <c r="BV392" s="1" t="s">
        <v>105</v>
      </c>
      <c r="BW392" s="1" t="s">
        <v>105</v>
      </c>
      <c r="BX392" s="1" t="s">
        <v>105</v>
      </c>
      <c r="BY392" s="1" t="s">
        <v>105</v>
      </c>
      <c r="BZ392" s="1" t="s">
        <v>105</v>
      </c>
      <c r="CA392" s="1" t="s">
        <v>105</v>
      </c>
      <c r="CB392" s="1" t="s">
        <v>105</v>
      </c>
      <c r="CC392" s="1" t="s">
        <v>157</v>
      </c>
      <c r="CD392" s="1" t="s">
        <v>105</v>
      </c>
      <c r="CE392" s="4"/>
      <c r="CF392" s="4"/>
    </row>
    <row r="393" hidden="1">
      <c r="A393" s="1" t="s">
        <v>82</v>
      </c>
      <c r="B393" s="1" t="s">
        <v>145</v>
      </c>
      <c r="C393" s="1">
        <v>24.0</v>
      </c>
      <c r="D393" s="5" t="s">
        <v>1782</v>
      </c>
      <c r="E393" s="1" t="s">
        <v>1783</v>
      </c>
      <c r="F393" s="1">
        <v>23.0</v>
      </c>
      <c r="G393" s="1">
        <v>-0.1779</v>
      </c>
      <c r="H393" s="1" t="s">
        <v>1784</v>
      </c>
      <c r="I393" s="4" t="b">
        <f>IFERROR(__xludf.DUMMYFUNCTION("IF(H393="""",,REGEXMATCH(H393,""[א-ת]""))"),FALSE)</f>
        <v>0</v>
      </c>
      <c r="J393" s="4"/>
      <c r="K393" s="4"/>
      <c r="L393" s="1">
        <v>0.6249</v>
      </c>
      <c r="M393" s="1">
        <v>22.96</v>
      </c>
      <c r="N393" s="1">
        <v>60.87</v>
      </c>
      <c r="O393" s="1">
        <v>2.646521739</v>
      </c>
      <c r="P393" s="4"/>
      <c r="Q393" s="4"/>
      <c r="R393" s="1" t="s">
        <v>89</v>
      </c>
      <c r="S393" s="1" t="s">
        <v>1783</v>
      </c>
      <c r="T393" s="1" t="s">
        <v>145</v>
      </c>
      <c r="U393" s="1">
        <v>25.0</v>
      </c>
      <c r="V393" s="5" t="s">
        <v>1782</v>
      </c>
      <c r="W393" s="1" t="s">
        <v>1783</v>
      </c>
      <c r="X393" s="1" t="s">
        <v>1785</v>
      </c>
      <c r="Y393" s="4"/>
      <c r="Z393" s="4"/>
      <c r="AA393" s="4" t="b">
        <f>IFERROR(__xludf.DUMMYFUNCTION("IF(X393="""",,REGEXMATCH(X393,""[א-ת]""))"),FALSE)</f>
        <v>0</v>
      </c>
      <c r="AB393" s="1">
        <v>6.79</v>
      </c>
      <c r="AC393" s="1">
        <v>100.0</v>
      </c>
      <c r="AD393" s="1">
        <v>0.374178560001108</v>
      </c>
      <c r="AE393" s="1">
        <v>0.0</v>
      </c>
      <c r="AF393" s="1">
        <v>-0.1779</v>
      </c>
      <c r="AG393" s="1">
        <v>6.337</v>
      </c>
      <c r="AH393" s="1">
        <v>6.781</v>
      </c>
      <c r="AI393" s="1" t="b">
        <v>0</v>
      </c>
      <c r="AJ393" s="1" t="b">
        <v>0</v>
      </c>
      <c r="AK393" s="1">
        <v>94.182</v>
      </c>
      <c r="AL393" s="1">
        <v>96.508</v>
      </c>
      <c r="AM393" s="1" t="b">
        <v>0</v>
      </c>
      <c r="AN393" s="1" t="b">
        <v>1</v>
      </c>
      <c r="AO393" s="1">
        <v>8.05</v>
      </c>
      <c r="AP393" s="1">
        <v>8.53399999999999</v>
      </c>
      <c r="AQ393" s="1" t="b">
        <v>0</v>
      </c>
      <c r="AR393" s="1" t="b">
        <v>1</v>
      </c>
      <c r="AS393" s="1">
        <v>86.9179999999999</v>
      </c>
      <c r="AT393" s="1">
        <v>87.152</v>
      </c>
      <c r="AU393" s="1" t="b">
        <v>0</v>
      </c>
      <c r="AV393" s="1" t="b">
        <v>1</v>
      </c>
      <c r="AW393" s="1">
        <v>9.61399999999999</v>
      </c>
      <c r="AX393" s="1">
        <v>11.026</v>
      </c>
      <c r="AY393" s="1" t="b">
        <v>0</v>
      </c>
      <c r="AZ393" s="1" t="b">
        <v>1</v>
      </c>
      <c r="BA393" s="1">
        <v>81.25</v>
      </c>
      <c r="BB393" s="1">
        <v>77.78</v>
      </c>
      <c r="BC393" s="1" t="b">
        <v>0</v>
      </c>
      <c r="BD393" s="1" t="b">
        <v>1</v>
      </c>
      <c r="BE393" s="1">
        <v>11.34</v>
      </c>
      <c r="BF393" s="1">
        <v>13.285</v>
      </c>
      <c r="BG393" s="1" t="b">
        <v>0</v>
      </c>
      <c r="BH393" s="1" t="b">
        <v>1</v>
      </c>
      <c r="BI393" s="1">
        <v>77.78</v>
      </c>
      <c r="BJ393" s="1">
        <v>75.0</v>
      </c>
      <c r="BK393" s="1" t="b">
        <v>0</v>
      </c>
      <c r="BL393" s="1" t="b">
        <v>1</v>
      </c>
      <c r="BM393" s="1">
        <v>13.121</v>
      </c>
      <c r="BN393" s="1">
        <v>14.568</v>
      </c>
      <c r="BO393" s="1" t="b">
        <v>0</v>
      </c>
      <c r="BP393" s="1" t="b">
        <v>1</v>
      </c>
      <c r="BQ393" s="1">
        <v>75.0</v>
      </c>
      <c r="BR393" s="1">
        <v>72.027</v>
      </c>
      <c r="BS393" s="1" t="b">
        <v>0</v>
      </c>
      <c r="BT393" s="1" t="b">
        <v>1</v>
      </c>
      <c r="BU393" s="1" t="s">
        <v>105</v>
      </c>
      <c r="BV393" s="1" t="s">
        <v>157</v>
      </c>
      <c r="BW393" s="1" t="s">
        <v>157</v>
      </c>
      <c r="BX393" s="1" t="s">
        <v>157</v>
      </c>
      <c r="BY393" s="1" t="s">
        <v>157</v>
      </c>
      <c r="BZ393" s="1" t="s">
        <v>157</v>
      </c>
      <c r="CA393" s="1" t="s">
        <v>157</v>
      </c>
      <c r="CB393" s="1" t="s">
        <v>157</v>
      </c>
      <c r="CC393" s="1" t="s">
        <v>157</v>
      </c>
      <c r="CD393" s="1" t="s">
        <v>157</v>
      </c>
      <c r="CE393" s="4"/>
      <c r="CF393" s="4"/>
    </row>
    <row r="394" hidden="1">
      <c r="A394" s="1" t="s">
        <v>82</v>
      </c>
      <c r="B394" s="1" t="s">
        <v>251</v>
      </c>
      <c r="C394" s="1">
        <v>32.0</v>
      </c>
      <c r="D394" s="5" t="s">
        <v>1786</v>
      </c>
      <c r="E394" s="1" t="s">
        <v>1787</v>
      </c>
      <c r="F394" s="1">
        <v>41.0</v>
      </c>
      <c r="G394" s="1">
        <v>0.0</v>
      </c>
      <c r="H394" s="1" t="s">
        <v>1788</v>
      </c>
      <c r="I394" s="4" t="b">
        <f>IFERROR(__xludf.DUMMYFUNCTION("IF(H394="""",,REGEXMATCH(H394,""[א-ת]""))"),FALSE)</f>
        <v>0</v>
      </c>
      <c r="J394" s="4"/>
      <c r="K394" s="4"/>
      <c r="L394" s="1">
        <v>-0.2755</v>
      </c>
      <c r="M394" s="1">
        <v>22.98</v>
      </c>
      <c r="N394" s="1">
        <v>58.54</v>
      </c>
      <c r="O394" s="1">
        <v>1.427804878</v>
      </c>
      <c r="P394" s="4"/>
      <c r="Q394" s="4"/>
      <c r="R394" s="1" t="s">
        <v>89</v>
      </c>
      <c r="S394" s="1" t="s">
        <v>1787</v>
      </c>
      <c r="T394" s="1" t="s">
        <v>251</v>
      </c>
      <c r="U394" s="1">
        <v>33.0</v>
      </c>
      <c r="V394" s="5" t="s">
        <v>1786</v>
      </c>
      <c r="W394" s="1" t="s">
        <v>1787</v>
      </c>
      <c r="X394" s="1" t="s">
        <v>1789</v>
      </c>
      <c r="Y394" s="4"/>
      <c r="Z394" s="4"/>
      <c r="AA394" s="4" t="b">
        <f>IFERROR(__xludf.DUMMYFUNCTION("IF(X394="""",,REGEXMATCH(X394,""[א-ת]""))"),FALSE)</f>
        <v>0</v>
      </c>
      <c r="AB394" s="1">
        <v>20.33</v>
      </c>
      <c r="AC394" s="1">
        <v>75.61</v>
      </c>
      <c r="AD394" s="1">
        <v>0.374166391813495</v>
      </c>
      <c r="AE394" s="1">
        <v>0.0</v>
      </c>
      <c r="AF394" s="1">
        <v>0.0</v>
      </c>
      <c r="AG394" s="1">
        <v>6.337</v>
      </c>
      <c r="AH394" s="1">
        <v>6.781</v>
      </c>
      <c r="AI394" s="1" t="b">
        <v>0</v>
      </c>
      <c r="AJ394" s="1" t="b">
        <v>0</v>
      </c>
      <c r="AK394" s="1">
        <v>94.182</v>
      </c>
      <c r="AL394" s="1">
        <v>96.508</v>
      </c>
      <c r="AM394" s="1" t="b">
        <v>0</v>
      </c>
      <c r="AN394" s="1" t="b">
        <v>0</v>
      </c>
      <c r="AO394" s="1">
        <v>8.05</v>
      </c>
      <c r="AP394" s="1">
        <v>8.53399999999999</v>
      </c>
      <c r="AQ394" s="1" t="b">
        <v>0</v>
      </c>
      <c r="AR394" s="1" t="b">
        <v>0</v>
      </c>
      <c r="AS394" s="1">
        <v>86.9179999999999</v>
      </c>
      <c r="AT394" s="1">
        <v>87.152</v>
      </c>
      <c r="AU394" s="1" t="b">
        <v>0</v>
      </c>
      <c r="AV394" s="1" t="b">
        <v>0</v>
      </c>
      <c r="AW394" s="1">
        <v>9.61399999999999</v>
      </c>
      <c r="AX394" s="1">
        <v>11.026</v>
      </c>
      <c r="AY394" s="1" t="b">
        <v>0</v>
      </c>
      <c r="AZ394" s="1" t="b">
        <v>0</v>
      </c>
      <c r="BA394" s="1">
        <v>81.25</v>
      </c>
      <c r="BB394" s="1">
        <v>77.78</v>
      </c>
      <c r="BC394" s="1" t="b">
        <v>0</v>
      </c>
      <c r="BD394" s="1" t="b">
        <v>0</v>
      </c>
      <c r="BE394" s="1">
        <v>11.34</v>
      </c>
      <c r="BF394" s="1">
        <v>13.285</v>
      </c>
      <c r="BG394" s="1" t="b">
        <v>0</v>
      </c>
      <c r="BH394" s="1" t="b">
        <v>0</v>
      </c>
      <c r="BI394" s="1">
        <v>77.78</v>
      </c>
      <c r="BJ394" s="1">
        <v>75.0</v>
      </c>
      <c r="BK394" s="1" t="b">
        <v>0</v>
      </c>
      <c r="BL394" s="1" t="b">
        <v>1</v>
      </c>
      <c r="BM394" s="1">
        <v>13.121</v>
      </c>
      <c r="BN394" s="1">
        <v>14.568</v>
      </c>
      <c r="BO394" s="1" t="b">
        <v>0</v>
      </c>
      <c r="BP394" s="1" t="b">
        <v>0</v>
      </c>
      <c r="BQ394" s="1">
        <v>75.0</v>
      </c>
      <c r="BR394" s="1">
        <v>72.027</v>
      </c>
      <c r="BS394" s="1" t="b">
        <v>0</v>
      </c>
      <c r="BT394" s="1" t="b">
        <v>1</v>
      </c>
      <c r="BU394" s="1" t="s">
        <v>105</v>
      </c>
      <c r="BV394" s="1" t="s">
        <v>105</v>
      </c>
      <c r="BW394" s="1" t="s">
        <v>105</v>
      </c>
      <c r="BX394" s="1" t="s">
        <v>105</v>
      </c>
      <c r="BY394" s="1" t="s">
        <v>105</v>
      </c>
      <c r="BZ394" s="1" t="s">
        <v>105</v>
      </c>
      <c r="CA394" s="1" t="s">
        <v>105</v>
      </c>
      <c r="CB394" s="1" t="s">
        <v>157</v>
      </c>
      <c r="CC394" s="1" t="s">
        <v>105</v>
      </c>
      <c r="CD394" s="1" t="s">
        <v>157</v>
      </c>
      <c r="CE394" s="4"/>
      <c r="CF394" s="4"/>
    </row>
    <row r="395" hidden="1">
      <c r="A395" s="1" t="s">
        <v>82</v>
      </c>
      <c r="B395" s="1" t="s">
        <v>145</v>
      </c>
      <c r="C395" s="1">
        <v>6.0</v>
      </c>
      <c r="D395" s="5" t="s">
        <v>1790</v>
      </c>
      <c r="E395" s="1" t="s">
        <v>1791</v>
      </c>
      <c r="F395" s="1">
        <v>9.0</v>
      </c>
      <c r="G395" s="1">
        <v>0.2732</v>
      </c>
      <c r="H395" s="1" t="s">
        <v>1792</v>
      </c>
      <c r="I395" s="4" t="b">
        <f>IFERROR(__xludf.DUMMYFUNCTION("IF(H395="""",,REGEXMATCH(H395,""[א-ת]""))"),FALSE)</f>
        <v>0</v>
      </c>
      <c r="J395" s="4"/>
      <c r="K395" s="4"/>
      <c r="L395" s="1">
        <v>0.1071</v>
      </c>
      <c r="M395" s="1">
        <v>23.0</v>
      </c>
      <c r="N395" s="1">
        <v>77.78</v>
      </c>
      <c r="O395" s="1">
        <v>8.642222222</v>
      </c>
      <c r="P395" s="4"/>
      <c r="Q395" s="4"/>
      <c r="R395" s="1" t="s">
        <v>89</v>
      </c>
      <c r="S395" s="1" t="s">
        <v>1791</v>
      </c>
      <c r="T395" s="1" t="s">
        <v>145</v>
      </c>
      <c r="U395" s="1">
        <v>7.0</v>
      </c>
      <c r="V395" s="5" t="s">
        <v>1790</v>
      </c>
      <c r="W395" s="1" t="s">
        <v>1791</v>
      </c>
      <c r="X395" s="1" t="s">
        <v>1793</v>
      </c>
      <c r="Y395" s="4"/>
      <c r="Z395" s="4"/>
      <c r="AA395" s="4" t="b">
        <f>IFERROR(__xludf.DUMMYFUNCTION("IF(X395="""",,REGEXMATCH(X395,""[א-ת]""))"),FALSE)</f>
        <v>0</v>
      </c>
      <c r="AB395" s="1">
        <v>33.18</v>
      </c>
      <c r="AC395" s="1">
        <v>66.67</v>
      </c>
      <c r="AD395" s="1">
        <v>0.240978465146972</v>
      </c>
      <c r="AE395" s="1">
        <v>0.0</v>
      </c>
      <c r="AF395" s="1">
        <v>0.2732</v>
      </c>
      <c r="AG395" s="1">
        <v>6.337</v>
      </c>
      <c r="AH395" s="1">
        <v>6.781</v>
      </c>
      <c r="AI395" s="1" t="b">
        <v>0</v>
      </c>
      <c r="AJ395" s="1" t="b">
        <v>0</v>
      </c>
      <c r="AK395" s="1">
        <v>94.182</v>
      </c>
      <c r="AL395" s="1">
        <v>96.508</v>
      </c>
      <c r="AM395" s="1" t="b">
        <v>0</v>
      </c>
      <c r="AN395" s="1" t="b">
        <v>0</v>
      </c>
      <c r="AO395" s="1">
        <v>8.05</v>
      </c>
      <c r="AP395" s="1">
        <v>8.53399999999999</v>
      </c>
      <c r="AQ395" s="1" t="b">
        <v>0</v>
      </c>
      <c r="AR395" s="1" t="b">
        <v>0</v>
      </c>
      <c r="AS395" s="1">
        <v>86.9179999999999</v>
      </c>
      <c r="AT395" s="1">
        <v>87.152</v>
      </c>
      <c r="AU395" s="1" t="b">
        <v>0</v>
      </c>
      <c r="AV395" s="1" t="b">
        <v>0</v>
      </c>
      <c r="AW395" s="1">
        <v>9.61399999999999</v>
      </c>
      <c r="AX395" s="1">
        <v>11.026</v>
      </c>
      <c r="AY395" s="1" t="b">
        <v>0</v>
      </c>
      <c r="AZ395" s="1" t="b">
        <v>0</v>
      </c>
      <c r="BA395" s="1">
        <v>81.25</v>
      </c>
      <c r="BB395" s="1">
        <v>77.78</v>
      </c>
      <c r="BC395" s="1" t="b">
        <v>0</v>
      </c>
      <c r="BD395" s="1" t="b">
        <v>0</v>
      </c>
      <c r="BE395" s="1">
        <v>11.34</v>
      </c>
      <c r="BF395" s="1">
        <v>13.285</v>
      </c>
      <c r="BG395" s="1" t="b">
        <v>0</v>
      </c>
      <c r="BH395" s="1" t="b">
        <v>0</v>
      </c>
      <c r="BI395" s="1">
        <v>77.78</v>
      </c>
      <c r="BJ395" s="1">
        <v>75.0</v>
      </c>
      <c r="BK395" s="1" t="b">
        <v>1</v>
      </c>
      <c r="BL395" s="1" t="b">
        <v>0</v>
      </c>
      <c r="BM395" s="1">
        <v>13.121</v>
      </c>
      <c r="BN395" s="1">
        <v>14.568</v>
      </c>
      <c r="BO395" s="1" t="b">
        <v>0</v>
      </c>
      <c r="BP395" s="1" t="b">
        <v>0</v>
      </c>
      <c r="BQ395" s="1">
        <v>75.0</v>
      </c>
      <c r="BR395" s="1">
        <v>72.027</v>
      </c>
      <c r="BS395" s="1" t="b">
        <v>1</v>
      </c>
      <c r="BT395" s="1" t="b">
        <v>0</v>
      </c>
      <c r="BU395" s="1" t="s">
        <v>105</v>
      </c>
      <c r="BV395" s="1" t="s">
        <v>105</v>
      </c>
      <c r="BW395" s="1" t="s">
        <v>105</v>
      </c>
      <c r="BX395" s="1" t="s">
        <v>105</v>
      </c>
      <c r="BY395" s="1" t="s">
        <v>105</v>
      </c>
      <c r="BZ395" s="1" t="s">
        <v>105</v>
      </c>
      <c r="CA395" s="1" t="s">
        <v>105</v>
      </c>
      <c r="CB395" s="1" t="s">
        <v>91</v>
      </c>
      <c r="CC395" s="1" t="s">
        <v>105</v>
      </c>
      <c r="CD395" s="1" t="s">
        <v>91</v>
      </c>
      <c r="CE395" s="4"/>
      <c r="CF395" s="4"/>
    </row>
    <row r="396" hidden="1">
      <c r="A396" s="1" t="s">
        <v>82</v>
      </c>
      <c r="B396" s="1" t="s">
        <v>333</v>
      </c>
      <c r="C396" s="1">
        <v>10.0</v>
      </c>
      <c r="D396" s="5" t="s">
        <v>1794</v>
      </c>
      <c r="E396" s="1" t="s">
        <v>1795</v>
      </c>
      <c r="F396" s="1">
        <v>24.0</v>
      </c>
      <c r="G396" s="1">
        <v>0.0</v>
      </c>
      <c r="H396" s="1" t="s">
        <v>1796</v>
      </c>
      <c r="I396" s="4" t="b">
        <f>IFERROR(__xludf.DUMMYFUNCTION("IF(H396="""",,REGEXMATCH(H396,""[א-ת]""))"),FALSE)</f>
        <v>0</v>
      </c>
      <c r="J396" s="4"/>
      <c r="K396" s="4"/>
      <c r="L396" s="1">
        <v>0.0</v>
      </c>
      <c r="M396" s="1">
        <v>23.03</v>
      </c>
      <c r="N396" s="1">
        <v>75.0</v>
      </c>
      <c r="O396" s="1">
        <v>3.125</v>
      </c>
      <c r="P396" s="4"/>
      <c r="Q396" s="4"/>
      <c r="R396" s="1" t="s">
        <v>89</v>
      </c>
      <c r="S396" s="1" t="s">
        <v>1795</v>
      </c>
      <c r="T396" s="1" t="s">
        <v>333</v>
      </c>
      <c r="U396" s="1">
        <v>11.0</v>
      </c>
      <c r="V396" s="5" t="s">
        <v>1794</v>
      </c>
      <c r="W396" s="1" t="s">
        <v>1795</v>
      </c>
      <c r="X396" s="1" t="s">
        <v>1797</v>
      </c>
      <c r="Y396" s="4"/>
      <c r="Z396" s="4"/>
      <c r="AA396" s="4" t="b">
        <f>IFERROR(__xludf.DUMMYFUNCTION("IF(X396="""",,REGEXMATCH(X396,""[א-ת]""))"),FALSE)</f>
        <v>0</v>
      </c>
      <c r="AB396" s="1">
        <v>30.27</v>
      </c>
      <c r="AC396" s="1">
        <v>41.67</v>
      </c>
      <c r="AD396" s="1">
        <v>0.615655103856842</v>
      </c>
      <c r="AE396" s="1">
        <v>0.0</v>
      </c>
      <c r="AF396" s="1">
        <v>0.0</v>
      </c>
      <c r="AG396" s="1">
        <v>6.337</v>
      </c>
      <c r="AH396" s="1">
        <v>6.781</v>
      </c>
      <c r="AI396" s="1" t="b">
        <v>0</v>
      </c>
      <c r="AJ396" s="1" t="b">
        <v>0</v>
      </c>
      <c r="AK396" s="1">
        <v>94.182</v>
      </c>
      <c r="AL396" s="1">
        <v>96.508</v>
      </c>
      <c r="AM396" s="1" t="b">
        <v>0</v>
      </c>
      <c r="AN396" s="1" t="b">
        <v>0</v>
      </c>
      <c r="AO396" s="1">
        <v>8.05</v>
      </c>
      <c r="AP396" s="1">
        <v>8.53399999999999</v>
      </c>
      <c r="AQ396" s="1" t="b">
        <v>0</v>
      </c>
      <c r="AR396" s="1" t="b">
        <v>0</v>
      </c>
      <c r="AS396" s="1">
        <v>86.9179999999999</v>
      </c>
      <c r="AT396" s="1">
        <v>87.152</v>
      </c>
      <c r="AU396" s="1" t="b">
        <v>0</v>
      </c>
      <c r="AV396" s="1" t="b">
        <v>0</v>
      </c>
      <c r="AW396" s="1">
        <v>9.61399999999999</v>
      </c>
      <c r="AX396" s="1">
        <v>11.026</v>
      </c>
      <c r="AY396" s="1" t="b">
        <v>0</v>
      </c>
      <c r="AZ396" s="1" t="b">
        <v>0</v>
      </c>
      <c r="BA396" s="1">
        <v>81.25</v>
      </c>
      <c r="BB396" s="1">
        <v>77.78</v>
      </c>
      <c r="BC396" s="1" t="b">
        <v>0</v>
      </c>
      <c r="BD396" s="1" t="b">
        <v>0</v>
      </c>
      <c r="BE396" s="1">
        <v>11.34</v>
      </c>
      <c r="BF396" s="1">
        <v>13.285</v>
      </c>
      <c r="BG396" s="1" t="b">
        <v>0</v>
      </c>
      <c r="BH396" s="1" t="b">
        <v>0</v>
      </c>
      <c r="BI396" s="1">
        <v>77.78</v>
      </c>
      <c r="BJ396" s="1">
        <v>75.0</v>
      </c>
      <c r="BK396" s="1" t="b">
        <v>0</v>
      </c>
      <c r="BL396" s="1" t="b">
        <v>0</v>
      </c>
      <c r="BM396" s="1">
        <v>13.121</v>
      </c>
      <c r="BN396" s="1">
        <v>14.568</v>
      </c>
      <c r="BO396" s="1" t="b">
        <v>0</v>
      </c>
      <c r="BP396" s="1" t="b">
        <v>0</v>
      </c>
      <c r="BQ396" s="1">
        <v>75.0</v>
      </c>
      <c r="BR396" s="1">
        <v>72.027</v>
      </c>
      <c r="BS396" s="1" t="b">
        <v>1</v>
      </c>
      <c r="BT396" s="1" t="b">
        <v>0</v>
      </c>
      <c r="BU396" s="1" t="s">
        <v>105</v>
      </c>
      <c r="BV396" s="1" t="s">
        <v>105</v>
      </c>
      <c r="BW396" s="1" t="s">
        <v>105</v>
      </c>
      <c r="BX396" s="1" t="s">
        <v>105</v>
      </c>
      <c r="BY396" s="1" t="s">
        <v>105</v>
      </c>
      <c r="BZ396" s="1" t="s">
        <v>105</v>
      </c>
      <c r="CA396" s="1" t="s">
        <v>105</v>
      </c>
      <c r="CB396" s="1" t="s">
        <v>105</v>
      </c>
      <c r="CC396" s="1" t="s">
        <v>105</v>
      </c>
      <c r="CD396" s="1" t="s">
        <v>91</v>
      </c>
      <c r="CE396" s="4"/>
      <c r="CF396" s="4"/>
    </row>
    <row r="397" hidden="1">
      <c r="A397" s="1" t="s">
        <v>82</v>
      </c>
      <c r="B397" s="1" t="s">
        <v>158</v>
      </c>
      <c r="C397" s="1">
        <v>18.0</v>
      </c>
      <c r="D397" s="5" t="s">
        <v>1798</v>
      </c>
      <c r="E397" s="1" t="s">
        <v>1799</v>
      </c>
      <c r="F397" s="1">
        <v>24.0</v>
      </c>
      <c r="G397" s="1">
        <v>0.0</v>
      </c>
      <c r="H397" s="1" t="s">
        <v>1800</v>
      </c>
      <c r="I397" s="4" t="b">
        <f>IFERROR(__xludf.DUMMYFUNCTION("IF(H397="""",,REGEXMATCH(H397,""[א-ת]""))"),FALSE)</f>
        <v>0</v>
      </c>
      <c r="J397" s="4"/>
      <c r="K397" s="4"/>
      <c r="L397" s="1">
        <v>0.0258</v>
      </c>
      <c r="M397" s="1">
        <v>23.04</v>
      </c>
      <c r="N397" s="1">
        <v>66.67</v>
      </c>
      <c r="O397" s="1">
        <v>2.777916667</v>
      </c>
      <c r="P397" s="4"/>
      <c r="Q397" s="4"/>
      <c r="R397" s="1" t="s">
        <v>89</v>
      </c>
      <c r="S397" s="1" t="s">
        <v>1799</v>
      </c>
      <c r="T397" s="1" t="s">
        <v>158</v>
      </c>
      <c r="U397" s="1">
        <v>19.0</v>
      </c>
      <c r="V397" s="5" t="s">
        <v>1798</v>
      </c>
      <c r="W397" s="1" t="s">
        <v>1799</v>
      </c>
      <c r="X397" s="1" t="s">
        <v>1801</v>
      </c>
      <c r="Y397" s="4"/>
      <c r="Z397" s="4"/>
      <c r="AA397" s="4" t="b">
        <f>IFERROR(__xludf.DUMMYFUNCTION("IF(X397="""",,REGEXMATCH(X397,""[א-ת]""))"),FALSE)</f>
        <v>0</v>
      </c>
      <c r="AB397" s="1">
        <v>11.29</v>
      </c>
      <c r="AC397" s="1">
        <v>75.0</v>
      </c>
      <c r="AD397" s="1">
        <v>0.310412252108779</v>
      </c>
      <c r="AE397" s="1">
        <v>0.0</v>
      </c>
      <c r="AF397" s="1">
        <v>0.0</v>
      </c>
      <c r="AG397" s="1">
        <v>6.337</v>
      </c>
      <c r="AH397" s="1">
        <v>6.781</v>
      </c>
      <c r="AI397" s="1" t="b">
        <v>0</v>
      </c>
      <c r="AJ397" s="1" t="b">
        <v>0</v>
      </c>
      <c r="AK397" s="1">
        <v>94.182</v>
      </c>
      <c r="AL397" s="1">
        <v>96.508</v>
      </c>
      <c r="AM397" s="1" t="b">
        <v>0</v>
      </c>
      <c r="AN397" s="1" t="b">
        <v>0</v>
      </c>
      <c r="AO397" s="1">
        <v>8.05</v>
      </c>
      <c r="AP397" s="1">
        <v>8.53399999999999</v>
      </c>
      <c r="AQ397" s="1" t="b">
        <v>0</v>
      </c>
      <c r="AR397" s="1" t="b">
        <v>0</v>
      </c>
      <c r="AS397" s="1">
        <v>86.9179999999999</v>
      </c>
      <c r="AT397" s="1">
        <v>87.152</v>
      </c>
      <c r="AU397" s="1" t="b">
        <v>0</v>
      </c>
      <c r="AV397" s="1" t="b">
        <v>0</v>
      </c>
      <c r="AW397" s="1">
        <v>9.61399999999999</v>
      </c>
      <c r="AX397" s="1">
        <v>11.026</v>
      </c>
      <c r="AY397" s="1" t="b">
        <v>0</v>
      </c>
      <c r="AZ397" s="1" t="b">
        <v>0</v>
      </c>
      <c r="BA397" s="1">
        <v>81.25</v>
      </c>
      <c r="BB397" s="1">
        <v>77.78</v>
      </c>
      <c r="BC397" s="1" t="b">
        <v>0</v>
      </c>
      <c r="BD397" s="1" t="b">
        <v>0</v>
      </c>
      <c r="BE397" s="1">
        <v>11.34</v>
      </c>
      <c r="BF397" s="1">
        <v>13.285</v>
      </c>
      <c r="BG397" s="1" t="b">
        <v>0</v>
      </c>
      <c r="BH397" s="1" t="b">
        <v>1</v>
      </c>
      <c r="BI397" s="1">
        <v>77.78</v>
      </c>
      <c r="BJ397" s="1">
        <v>75.0</v>
      </c>
      <c r="BK397" s="1" t="b">
        <v>0</v>
      </c>
      <c r="BL397" s="1" t="b">
        <v>1</v>
      </c>
      <c r="BM397" s="1">
        <v>13.121</v>
      </c>
      <c r="BN397" s="1">
        <v>14.568</v>
      </c>
      <c r="BO397" s="1" t="b">
        <v>0</v>
      </c>
      <c r="BP397" s="1" t="b">
        <v>1</v>
      </c>
      <c r="BQ397" s="1">
        <v>75.0</v>
      </c>
      <c r="BR397" s="1">
        <v>72.027</v>
      </c>
      <c r="BS397" s="1" t="b">
        <v>0</v>
      </c>
      <c r="BT397" s="1" t="b">
        <v>1</v>
      </c>
      <c r="BU397" s="1" t="s">
        <v>105</v>
      </c>
      <c r="BV397" s="1" t="s">
        <v>105</v>
      </c>
      <c r="BW397" s="1" t="s">
        <v>105</v>
      </c>
      <c r="BX397" s="1" t="s">
        <v>105</v>
      </c>
      <c r="BY397" s="1" t="s">
        <v>105</v>
      </c>
      <c r="BZ397" s="1" t="s">
        <v>105</v>
      </c>
      <c r="CA397" s="1" t="s">
        <v>157</v>
      </c>
      <c r="CB397" s="1" t="s">
        <v>157</v>
      </c>
      <c r="CC397" s="1" t="s">
        <v>157</v>
      </c>
      <c r="CD397" s="1" t="s">
        <v>157</v>
      </c>
      <c r="CE397" s="4"/>
      <c r="CF397" s="4"/>
    </row>
    <row r="398" hidden="1">
      <c r="A398" s="1" t="s">
        <v>82</v>
      </c>
      <c r="B398" s="1" t="s">
        <v>262</v>
      </c>
      <c r="C398" s="1">
        <v>21.0</v>
      </c>
      <c r="D398" s="5" t="s">
        <v>1802</v>
      </c>
      <c r="E398" s="1" t="s">
        <v>1803</v>
      </c>
      <c r="F398" s="1">
        <v>76.0</v>
      </c>
      <c r="G398" s="1">
        <v>0.0129</v>
      </c>
      <c r="H398" s="1" t="s">
        <v>1804</v>
      </c>
      <c r="I398" s="4" t="b">
        <f>IFERROR(__xludf.DUMMYFUNCTION("IF(H398="""",,REGEXMATCH(H398,""[א-ת]""))"),FALSE)</f>
        <v>0</v>
      </c>
      <c r="J398" s="4"/>
      <c r="K398" s="4"/>
      <c r="L398" s="1">
        <v>-0.1655</v>
      </c>
      <c r="M398" s="1">
        <v>23.06</v>
      </c>
      <c r="N398" s="1">
        <v>60.53</v>
      </c>
      <c r="O398" s="1">
        <v>0.7964473684</v>
      </c>
      <c r="P398" s="4"/>
      <c r="Q398" s="4"/>
      <c r="R398" s="1" t="s">
        <v>96</v>
      </c>
      <c r="S398" s="1" t="s">
        <v>1803</v>
      </c>
      <c r="T398" s="1" t="s">
        <v>262</v>
      </c>
      <c r="U398" s="1">
        <v>22.0</v>
      </c>
      <c r="V398" s="5" t="s">
        <v>1802</v>
      </c>
      <c r="W398" s="1" t="s">
        <v>1803</v>
      </c>
      <c r="X398" s="1" t="s">
        <v>1805</v>
      </c>
      <c r="Y398" s="4"/>
      <c r="Z398" s="4"/>
      <c r="AA398" s="4" t="b">
        <f>IFERROR(__xludf.DUMMYFUNCTION("IF(X398="""",,REGEXMATCH(X398,""[א-ת]""))"),FALSE)</f>
        <v>0</v>
      </c>
      <c r="AB398" s="1">
        <v>22.03</v>
      </c>
      <c r="AC398" s="1">
        <v>69.74</v>
      </c>
      <c r="AD398" s="1">
        <v>0.638306417099656</v>
      </c>
      <c r="AE398" s="1">
        <v>-0.1655</v>
      </c>
      <c r="AF398" s="1">
        <v>0.0129</v>
      </c>
      <c r="AG398" s="1">
        <v>6.337</v>
      </c>
      <c r="AH398" s="1">
        <v>6.781</v>
      </c>
      <c r="AI398" s="1" t="b">
        <v>0</v>
      </c>
      <c r="AJ398" s="1" t="b">
        <v>0</v>
      </c>
      <c r="AK398" s="1">
        <v>94.182</v>
      </c>
      <c r="AL398" s="1">
        <v>96.508</v>
      </c>
      <c r="AM398" s="1" t="b">
        <v>0</v>
      </c>
      <c r="AN398" s="1" t="b">
        <v>0</v>
      </c>
      <c r="AO398" s="1">
        <v>8.05</v>
      </c>
      <c r="AP398" s="1">
        <v>8.53399999999999</v>
      </c>
      <c r="AQ398" s="1" t="b">
        <v>0</v>
      </c>
      <c r="AR398" s="1" t="b">
        <v>0</v>
      </c>
      <c r="AS398" s="1">
        <v>86.9179999999999</v>
      </c>
      <c r="AT398" s="1">
        <v>87.152</v>
      </c>
      <c r="AU398" s="1" t="b">
        <v>0</v>
      </c>
      <c r="AV398" s="1" t="b">
        <v>0</v>
      </c>
      <c r="AW398" s="1">
        <v>9.61399999999999</v>
      </c>
      <c r="AX398" s="1">
        <v>11.026</v>
      </c>
      <c r="AY398" s="1" t="b">
        <v>0</v>
      </c>
      <c r="AZ398" s="1" t="b">
        <v>0</v>
      </c>
      <c r="BA398" s="1">
        <v>81.25</v>
      </c>
      <c r="BB398" s="1">
        <v>77.78</v>
      </c>
      <c r="BC398" s="1" t="b">
        <v>0</v>
      </c>
      <c r="BD398" s="1" t="b">
        <v>0</v>
      </c>
      <c r="BE398" s="1">
        <v>11.34</v>
      </c>
      <c r="BF398" s="1">
        <v>13.285</v>
      </c>
      <c r="BG398" s="1" t="b">
        <v>0</v>
      </c>
      <c r="BH398" s="1" t="b">
        <v>0</v>
      </c>
      <c r="BI398" s="1">
        <v>77.78</v>
      </c>
      <c r="BJ398" s="1">
        <v>75.0</v>
      </c>
      <c r="BK398" s="1" t="b">
        <v>0</v>
      </c>
      <c r="BL398" s="1" t="b">
        <v>0</v>
      </c>
      <c r="BM398" s="1">
        <v>13.121</v>
      </c>
      <c r="BN398" s="1">
        <v>14.568</v>
      </c>
      <c r="BO398" s="1" t="b">
        <v>0</v>
      </c>
      <c r="BP398" s="1" t="b">
        <v>0</v>
      </c>
      <c r="BQ398" s="1">
        <v>75.0</v>
      </c>
      <c r="BR398" s="1">
        <v>72.027</v>
      </c>
      <c r="BS398" s="1" t="b">
        <v>0</v>
      </c>
      <c r="BT398" s="1" t="b">
        <v>0</v>
      </c>
      <c r="BU398" s="1" t="s">
        <v>105</v>
      </c>
      <c r="BV398" s="1" t="s">
        <v>105</v>
      </c>
      <c r="BW398" s="1" t="s">
        <v>105</v>
      </c>
      <c r="BX398" s="1" t="s">
        <v>105</v>
      </c>
      <c r="BY398" s="1" t="s">
        <v>105</v>
      </c>
      <c r="BZ398" s="1" t="s">
        <v>105</v>
      </c>
      <c r="CA398" s="1" t="s">
        <v>105</v>
      </c>
      <c r="CB398" s="1" t="s">
        <v>105</v>
      </c>
      <c r="CC398" s="1" t="s">
        <v>105</v>
      </c>
      <c r="CD398" s="1" t="s">
        <v>105</v>
      </c>
      <c r="CE398" s="4"/>
      <c r="CF398" s="4"/>
    </row>
    <row r="399" hidden="1">
      <c r="A399" s="1" t="s">
        <v>82</v>
      </c>
      <c r="B399" s="1" t="s">
        <v>333</v>
      </c>
      <c r="C399" s="1">
        <v>1.0</v>
      </c>
      <c r="D399" s="5" t="s">
        <v>1806</v>
      </c>
      <c r="E399" s="1" t="s">
        <v>1807</v>
      </c>
      <c r="F399" s="1">
        <v>49.0</v>
      </c>
      <c r="G399" s="1">
        <v>0.2617</v>
      </c>
      <c r="H399" s="1" t="s">
        <v>1808</v>
      </c>
      <c r="I399" s="4" t="b">
        <f>IFERROR(__xludf.DUMMYFUNCTION("IF(H399="""",,REGEXMATCH(H399,""[א-ת]""))"),FALSE)</f>
        <v>0</v>
      </c>
      <c r="J399" s="4"/>
      <c r="K399" s="4"/>
      <c r="L399" s="1">
        <v>0.128</v>
      </c>
      <c r="M399" s="1">
        <v>23.12</v>
      </c>
      <c r="N399" s="1">
        <v>63.27</v>
      </c>
      <c r="O399" s="1">
        <v>1.29122449</v>
      </c>
      <c r="P399" s="4"/>
      <c r="Q399" s="4"/>
      <c r="R399" s="1" t="s">
        <v>89</v>
      </c>
      <c r="S399" s="1" t="s">
        <v>1807</v>
      </c>
      <c r="T399" s="1" t="s">
        <v>333</v>
      </c>
      <c r="U399" s="1">
        <v>2.0</v>
      </c>
      <c r="V399" s="5" t="s">
        <v>1806</v>
      </c>
      <c r="W399" s="1" t="s">
        <v>1807</v>
      </c>
      <c r="X399" s="1" t="s">
        <v>1809</v>
      </c>
      <c r="Y399" s="4"/>
      <c r="Z399" s="4"/>
      <c r="AA399" s="4" t="b">
        <f>IFERROR(__xludf.DUMMYFUNCTION("IF(X399="""",,REGEXMATCH(X399,""[א-ת]""))"),FALSE)</f>
        <v>0</v>
      </c>
      <c r="AB399" s="1">
        <v>27.45</v>
      </c>
      <c r="AC399" s="1">
        <v>55.1</v>
      </c>
      <c r="AD399" s="1">
        <v>0.405080826720318</v>
      </c>
      <c r="AE399" s="1">
        <v>0.128</v>
      </c>
      <c r="AF399" s="1">
        <v>0.2617</v>
      </c>
      <c r="AG399" s="1">
        <v>6.337</v>
      </c>
      <c r="AH399" s="1">
        <v>6.781</v>
      </c>
      <c r="AI399" s="1" t="b">
        <v>0</v>
      </c>
      <c r="AJ399" s="1" t="b">
        <v>0</v>
      </c>
      <c r="AK399" s="1">
        <v>94.182</v>
      </c>
      <c r="AL399" s="1">
        <v>96.508</v>
      </c>
      <c r="AM399" s="1" t="b">
        <v>0</v>
      </c>
      <c r="AN399" s="1" t="b">
        <v>0</v>
      </c>
      <c r="AO399" s="1">
        <v>8.05</v>
      </c>
      <c r="AP399" s="1">
        <v>8.53399999999999</v>
      </c>
      <c r="AQ399" s="1" t="b">
        <v>0</v>
      </c>
      <c r="AR399" s="1" t="b">
        <v>0</v>
      </c>
      <c r="AS399" s="1">
        <v>86.9179999999999</v>
      </c>
      <c r="AT399" s="1">
        <v>87.152</v>
      </c>
      <c r="AU399" s="1" t="b">
        <v>0</v>
      </c>
      <c r="AV399" s="1" t="b">
        <v>0</v>
      </c>
      <c r="AW399" s="1">
        <v>9.61399999999999</v>
      </c>
      <c r="AX399" s="1">
        <v>11.026</v>
      </c>
      <c r="AY399" s="1" t="b">
        <v>0</v>
      </c>
      <c r="AZ399" s="1" t="b">
        <v>0</v>
      </c>
      <c r="BA399" s="1">
        <v>81.25</v>
      </c>
      <c r="BB399" s="1">
        <v>77.78</v>
      </c>
      <c r="BC399" s="1" t="b">
        <v>0</v>
      </c>
      <c r="BD399" s="1" t="b">
        <v>0</v>
      </c>
      <c r="BE399" s="1">
        <v>11.34</v>
      </c>
      <c r="BF399" s="1">
        <v>13.285</v>
      </c>
      <c r="BG399" s="1" t="b">
        <v>0</v>
      </c>
      <c r="BH399" s="1" t="b">
        <v>0</v>
      </c>
      <c r="BI399" s="1">
        <v>77.78</v>
      </c>
      <c r="BJ399" s="1">
        <v>75.0</v>
      </c>
      <c r="BK399" s="1" t="b">
        <v>0</v>
      </c>
      <c r="BL399" s="1" t="b">
        <v>0</v>
      </c>
      <c r="BM399" s="1">
        <v>13.121</v>
      </c>
      <c r="BN399" s="1">
        <v>14.568</v>
      </c>
      <c r="BO399" s="1" t="b">
        <v>0</v>
      </c>
      <c r="BP399" s="1" t="b">
        <v>0</v>
      </c>
      <c r="BQ399" s="1">
        <v>75.0</v>
      </c>
      <c r="BR399" s="1">
        <v>72.027</v>
      </c>
      <c r="BS399" s="1" t="b">
        <v>0</v>
      </c>
      <c r="BT399" s="1" t="b">
        <v>0</v>
      </c>
      <c r="BU399" s="1" t="s">
        <v>105</v>
      </c>
      <c r="BV399" s="1" t="s">
        <v>105</v>
      </c>
      <c r="BW399" s="1" t="s">
        <v>105</v>
      </c>
      <c r="BX399" s="1" t="s">
        <v>105</v>
      </c>
      <c r="BY399" s="1" t="s">
        <v>105</v>
      </c>
      <c r="BZ399" s="1" t="s">
        <v>105</v>
      </c>
      <c r="CA399" s="1" t="s">
        <v>105</v>
      </c>
      <c r="CB399" s="1" t="s">
        <v>105</v>
      </c>
      <c r="CC399" s="1" t="s">
        <v>105</v>
      </c>
      <c r="CD399" s="1" t="s">
        <v>105</v>
      </c>
      <c r="CE399" s="4"/>
      <c r="CF399" s="4"/>
    </row>
    <row r="400" hidden="1">
      <c r="A400" s="1" t="s">
        <v>82</v>
      </c>
      <c r="B400" s="1" t="s">
        <v>116</v>
      </c>
      <c r="C400" s="1">
        <v>4.0</v>
      </c>
      <c r="D400" s="5" t="s">
        <v>1810</v>
      </c>
      <c r="E400" s="1" t="s">
        <v>1811</v>
      </c>
      <c r="F400" s="1">
        <v>41.0</v>
      </c>
      <c r="G400" s="1">
        <v>-0.7906</v>
      </c>
      <c r="H400" s="1" t="s">
        <v>1812</v>
      </c>
      <c r="I400" s="4" t="b">
        <f>IFERROR(__xludf.DUMMYFUNCTION("IF(H400="""",,REGEXMATCH(H400,""[א-ת]""))"),FALSE)</f>
        <v>0</v>
      </c>
      <c r="J400" s="4"/>
      <c r="K400" s="4"/>
      <c r="L400" s="1">
        <v>-0.5423</v>
      </c>
      <c r="M400" s="1">
        <v>23.15</v>
      </c>
      <c r="N400" s="1">
        <v>58.54</v>
      </c>
      <c r="O400" s="1">
        <v>1.427804878</v>
      </c>
      <c r="P400" s="4"/>
      <c r="Q400" s="4"/>
      <c r="R400" s="1" t="s">
        <v>89</v>
      </c>
      <c r="S400" s="1" t="s">
        <v>1811</v>
      </c>
      <c r="T400" s="1" t="s">
        <v>116</v>
      </c>
      <c r="U400" s="1">
        <v>5.0</v>
      </c>
      <c r="V400" s="5" t="s">
        <v>1810</v>
      </c>
      <c r="W400" s="1" t="s">
        <v>1811</v>
      </c>
      <c r="X400" s="1" t="s">
        <v>1813</v>
      </c>
      <c r="Y400" s="4"/>
      <c r="Z400" s="4"/>
      <c r="AA400" s="4" t="b">
        <f>IFERROR(__xludf.DUMMYFUNCTION("IF(X400="""",,REGEXMATCH(X400,""[א-ת]""))"),FALSE)</f>
        <v>0</v>
      </c>
      <c r="AB400" s="1">
        <v>26.81</v>
      </c>
      <c r="AC400" s="1">
        <v>63.41</v>
      </c>
      <c r="AD400" s="1">
        <v>0.502373914434868</v>
      </c>
      <c r="AE400" s="1">
        <v>0.0</v>
      </c>
      <c r="AF400" s="1">
        <v>-0.7906</v>
      </c>
      <c r="AG400" s="1">
        <v>6.337</v>
      </c>
      <c r="AH400" s="1">
        <v>6.781</v>
      </c>
      <c r="AI400" s="1" t="b">
        <v>0</v>
      </c>
      <c r="AJ400" s="1" t="b">
        <v>0</v>
      </c>
      <c r="AK400" s="1">
        <v>94.182</v>
      </c>
      <c r="AL400" s="1">
        <v>96.508</v>
      </c>
      <c r="AM400" s="1" t="b">
        <v>0</v>
      </c>
      <c r="AN400" s="1" t="b">
        <v>0</v>
      </c>
      <c r="AO400" s="1">
        <v>8.05</v>
      </c>
      <c r="AP400" s="1">
        <v>8.53399999999999</v>
      </c>
      <c r="AQ400" s="1" t="b">
        <v>0</v>
      </c>
      <c r="AR400" s="1" t="b">
        <v>0</v>
      </c>
      <c r="AS400" s="1">
        <v>86.9179999999999</v>
      </c>
      <c r="AT400" s="1">
        <v>87.152</v>
      </c>
      <c r="AU400" s="1" t="b">
        <v>0</v>
      </c>
      <c r="AV400" s="1" t="b">
        <v>0</v>
      </c>
      <c r="AW400" s="1">
        <v>9.61399999999999</v>
      </c>
      <c r="AX400" s="1">
        <v>11.026</v>
      </c>
      <c r="AY400" s="1" t="b">
        <v>0</v>
      </c>
      <c r="AZ400" s="1" t="b">
        <v>0</v>
      </c>
      <c r="BA400" s="1">
        <v>81.25</v>
      </c>
      <c r="BB400" s="1">
        <v>77.78</v>
      </c>
      <c r="BC400" s="1" t="b">
        <v>0</v>
      </c>
      <c r="BD400" s="1" t="b">
        <v>0</v>
      </c>
      <c r="BE400" s="1">
        <v>11.34</v>
      </c>
      <c r="BF400" s="1">
        <v>13.285</v>
      </c>
      <c r="BG400" s="1" t="b">
        <v>0</v>
      </c>
      <c r="BH400" s="1" t="b">
        <v>0</v>
      </c>
      <c r="BI400" s="1">
        <v>77.78</v>
      </c>
      <c r="BJ400" s="1">
        <v>75.0</v>
      </c>
      <c r="BK400" s="1" t="b">
        <v>0</v>
      </c>
      <c r="BL400" s="1" t="b">
        <v>0</v>
      </c>
      <c r="BM400" s="1">
        <v>13.121</v>
      </c>
      <c r="BN400" s="1">
        <v>14.568</v>
      </c>
      <c r="BO400" s="1" t="b">
        <v>0</v>
      </c>
      <c r="BP400" s="1" t="b">
        <v>0</v>
      </c>
      <c r="BQ400" s="1">
        <v>75.0</v>
      </c>
      <c r="BR400" s="1">
        <v>72.027</v>
      </c>
      <c r="BS400" s="1" t="b">
        <v>0</v>
      </c>
      <c r="BT400" s="1" t="b">
        <v>0</v>
      </c>
      <c r="BU400" s="1" t="s">
        <v>105</v>
      </c>
      <c r="BV400" s="1" t="s">
        <v>105</v>
      </c>
      <c r="BW400" s="1" t="s">
        <v>105</v>
      </c>
      <c r="BX400" s="1" t="s">
        <v>105</v>
      </c>
      <c r="BY400" s="1" t="s">
        <v>105</v>
      </c>
      <c r="BZ400" s="1" t="s">
        <v>105</v>
      </c>
      <c r="CA400" s="1" t="s">
        <v>105</v>
      </c>
      <c r="CB400" s="1" t="s">
        <v>105</v>
      </c>
      <c r="CC400" s="1" t="s">
        <v>105</v>
      </c>
      <c r="CD400" s="1" t="s">
        <v>105</v>
      </c>
      <c r="CE400" s="4"/>
      <c r="CF400" s="4"/>
    </row>
    <row r="401" hidden="1">
      <c r="A401" s="1" t="s">
        <v>82</v>
      </c>
      <c r="B401" s="1" t="s">
        <v>631</v>
      </c>
      <c r="C401" s="1">
        <v>1.0</v>
      </c>
      <c r="D401" s="5" t="s">
        <v>1814</v>
      </c>
      <c r="E401" s="1" t="s">
        <v>1815</v>
      </c>
      <c r="F401" s="1">
        <v>116.0</v>
      </c>
      <c r="G401" s="1">
        <v>0.34</v>
      </c>
      <c r="H401" s="1" t="s">
        <v>1816</v>
      </c>
      <c r="I401" s="4" t="b">
        <f>IFERROR(__xludf.DUMMYFUNCTION("IF(H401="""",,REGEXMATCH(H401,""[א-ת]""))"),FALSE)</f>
        <v>0</v>
      </c>
      <c r="J401" s="4"/>
      <c r="K401" s="4"/>
      <c r="L401" s="1">
        <v>0.3071</v>
      </c>
      <c r="M401" s="1">
        <v>23.2</v>
      </c>
      <c r="N401" s="1">
        <v>64.66</v>
      </c>
      <c r="O401" s="1">
        <v>0.5574137931</v>
      </c>
      <c r="P401" s="4"/>
      <c r="Q401" s="4"/>
      <c r="R401" s="1" t="s">
        <v>89</v>
      </c>
      <c r="S401" s="1" t="s">
        <v>1815</v>
      </c>
      <c r="T401" s="1" t="s">
        <v>631</v>
      </c>
      <c r="U401" s="1">
        <v>2.0</v>
      </c>
      <c r="V401" s="5" t="s">
        <v>1814</v>
      </c>
      <c r="W401" s="1" t="s">
        <v>1815</v>
      </c>
      <c r="X401" s="1" t="s">
        <v>1817</v>
      </c>
      <c r="Y401" s="4"/>
      <c r="Z401" s="4"/>
      <c r="AA401" s="4" t="b">
        <f>IFERROR(__xludf.DUMMYFUNCTION("IF(X401="""",,REGEXMATCH(X401,""[א-ת]""))"),FALSE)</f>
        <v>0</v>
      </c>
      <c r="AB401" s="1">
        <v>17.83</v>
      </c>
      <c r="AC401" s="1">
        <v>59.48</v>
      </c>
      <c r="AD401" s="1">
        <v>0.523121327286611</v>
      </c>
      <c r="AE401" s="1">
        <v>0.0772</v>
      </c>
      <c r="AF401" s="1">
        <v>0.34</v>
      </c>
      <c r="AG401" s="1">
        <v>6.337</v>
      </c>
      <c r="AH401" s="1">
        <v>6.781</v>
      </c>
      <c r="AI401" s="1" t="b">
        <v>0</v>
      </c>
      <c r="AJ401" s="1" t="b">
        <v>0</v>
      </c>
      <c r="AK401" s="1">
        <v>94.182</v>
      </c>
      <c r="AL401" s="1">
        <v>96.508</v>
      </c>
      <c r="AM401" s="1" t="b">
        <v>0</v>
      </c>
      <c r="AN401" s="1" t="b">
        <v>0</v>
      </c>
      <c r="AO401" s="1">
        <v>8.05</v>
      </c>
      <c r="AP401" s="1">
        <v>8.53399999999999</v>
      </c>
      <c r="AQ401" s="1" t="b">
        <v>0</v>
      </c>
      <c r="AR401" s="1" t="b">
        <v>0</v>
      </c>
      <c r="AS401" s="1">
        <v>86.9179999999999</v>
      </c>
      <c r="AT401" s="1">
        <v>87.152</v>
      </c>
      <c r="AU401" s="1" t="b">
        <v>0</v>
      </c>
      <c r="AV401" s="1" t="b">
        <v>0</v>
      </c>
      <c r="AW401" s="1">
        <v>9.61399999999999</v>
      </c>
      <c r="AX401" s="1">
        <v>11.026</v>
      </c>
      <c r="AY401" s="1" t="b">
        <v>0</v>
      </c>
      <c r="AZ401" s="1" t="b">
        <v>0</v>
      </c>
      <c r="BA401" s="1">
        <v>81.25</v>
      </c>
      <c r="BB401" s="1">
        <v>77.78</v>
      </c>
      <c r="BC401" s="1" t="b">
        <v>0</v>
      </c>
      <c r="BD401" s="1" t="b">
        <v>0</v>
      </c>
      <c r="BE401" s="1">
        <v>11.34</v>
      </c>
      <c r="BF401" s="1">
        <v>13.285</v>
      </c>
      <c r="BG401" s="1" t="b">
        <v>0</v>
      </c>
      <c r="BH401" s="1" t="b">
        <v>0</v>
      </c>
      <c r="BI401" s="1">
        <v>77.78</v>
      </c>
      <c r="BJ401" s="1">
        <v>75.0</v>
      </c>
      <c r="BK401" s="1" t="b">
        <v>0</v>
      </c>
      <c r="BL401" s="1" t="b">
        <v>0</v>
      </c>
      <c r="BM401" s="1">
        <v>13.121</v>
      </c>
      <c r="BN401" s="1">
        <v>14.568</v>
      </c>
      <c r="BO401" s="1" t="b">
        <v>0</v>
      </c>
      <c r="BP401" s="1" t="b">
        <v>0</v>
      </c>
      <c r="BQ401" s="1">
        <v>75.0</v>
      </c>
      <c r="BR401" s="1">
        <v>72.027</v>
      </c>
      <c r="BS401" s="1" t="b">
        <v>0</v>
      </c>
      <c r="BT401" s="1" t="b">
        <v>0</v>
      </c>
      <c r="BU401" s="1" t="s">
        <v>105</v>
      </c>
      <c r="BV401" s="1" t="s">
        <v>105</v>
      </c>
      <c r="BW401" s="1" t="s">
        <v>105</v>
      </c>
      <c r="BX401" s="1" t="s">
        <v>105</v>
      </c>
      <c r="BY401" s="1" t="s">
        <v>105</v>
      </c>
      <c r="BZ401" s="1" t="s">
        <v>105</v>
      </c>
      <c r="CA401" s="1" t="s">
        <v>105</v>
      </c>
      <c r="CB401" s="1" t="s">
        <v>105</v>
      </c>
      <c r="CC401" s="1" t="s">
        <v>105</v>
      </c>
      <c r="CD401" s="1" t="s">
        <v>105</v>
      </c>
      <c r="CE401" s="4"/>
      <c r="CF401" s="4"/>
    </row>
    <row r="402" hidden="1">
      <c r="A402" s="1" t="s">
        <v>82</v>
      </c>
      <c r="B402" s="1" t="s">
        <v>111</v>
      </c>
      <c r="C402" s="1">
        <v>72.0</v>
      </c>
      <c r="D402" s="5" t="s">
        <v>1818</v>
      </c>
      <c r="E402" s="1" t="s">
        <v>1819</v>
      </c>
      <c r="F402" s="1">
        <v>44.0</v>
      </c>
      <c r="G402" s="1">
        <v>-0.8885</v>
      </c>
      <c r="H402" s="1" t="s">
        <v>1820</v>
      </c>
      <c r="I402" s="4" t="b">
        <f>IFERROR(__xludf.DUMMYFUNCTION("IF(H402="""",,REGEXMATCH(H402,""[א-ת]""))"),FALSE)</f>
        <v>0</v>
      </c>
      <c r="J402" s="4"/>
      <c r="K402" s="4"/>
      <c r="L402" s="1">
        <v>-0.891</v>
      </c>
      <c r="M402" s="1">
        <v>23.27</v>
      </c>
      <c r="N402" s="1">
        <v>72.73</v>
      </c>
      <c r="O402" s="1">
        <v>1.652954545</v>
      </c>
      <c r="P402" s="4"/>
      <c r="Q402" s="4"/>
      <c r="R402" s="1" t="s">
        <v>89</v>
      </c>
      <c r="S402" s="1" t="s">
        <v>1819</v>
      </c>
      <c r="T402" s="1" t="s">
        <v>111</v>
      </c>
      <c r="U402" s="1">
        <v>73.0</v>
      </c>
      <c r="V402" s="5" t="s">
        <v>1818</v>
      </c>
      <c r="W402" s="1" t="s">
        <v>1819</v>
      </c>
      <c r="X402" s="1" t="s">
        <v>1821</v>
      </c>
      <c r="Y402" s="4"/>
      <c r="Z402" s="4"/>
      <c r="AA402" s="4" t="b">
        <f>IFERROR(__xludf.DUMMYFUNCTION("IF(X402="""",,REGEXMATCH(X402,""[א-ת]""))"),FALSE)</f>
        <v>0</v>
      </c>
      <c r="AB402" s="1">
        <v>21.13</v>
      </c>
      <c r="AC402" s="1">
        <v>65.91</v>
      </c>
      <c r="AD402" s="1">
        <v>0.323398288043591</v>
      </c>
      <c r="AE402" s="1">
        <v>-0.8934</v>
      </c>
      <c r="AF402" s="1">
        <v>-0.8885</v>
      </c>
      <c r="AG402" s="1">
        <v>6.337</v>
      </c>
      <c r="AH402" s="1">
        <v>6.781</v>
      </c>
      <c r="AI402" s="1" t="b">
        <v>0</v>
      </c>
      <c r="AJ402" s="1" t="b">
        <v>0</v>
      </c>
      <c r="AK402" s="1">
        <v>94.182</v>
      </c>
      <c r="AL402" s="1">
        <v>96.508</v>
      </c>
      <c r="AM402" s="1" t="b">
        <v>0</v>
      </c>
      <c r="AN402" s="1" t="b">
        <v>0</v>
      </c>
      <c r="AO402" s="1">
        <v>8.05</v>
      </c>
      <c r="AP402" s="1">
        <v>8.53399999999999</v>
      </c>
      <c r="AQ402" s="1" t="b">
        <v>0</v>
      </c>
      <c r="AR402" s="1" t="b">
        <v>0</v>
      </c>
      <c r="AS402" s="1">
        <v>86.9179999999999</v>
      </c>
      <c r="AT402" s="1">
        <v>87.152</v>
      </c>
      <c r="AU402" s="1" t="b">
        <v>0</v>
      </c>
      <c r="AV402" s="1" t="b">
        <v>0</v>
      </c>
      <c r="AW402" s="1">
        <v>9.61399999999999</v>
      </c>
      <c r="AX402" s="1">
        <v>11.026</v>
      </c>
      <c r="AY402" s="1" t="b">
        <v>0</v>
      </c>
      <c r="AZ402" s="1" t="b">
        <v>0</v>
      </c>
      <c r="BA402" s="1">
        <v>81.25</v>
      </c>
      <c r="BB402" s="1">
        <v>77.78</v>
      </c>
      <c r="BC402" s="1" t="b">
        <v>0</v>
      </c>
      <c r="BD402" s="1" t="b">
        <v>0</v>
      </c>
      <c r="BE402" s="1">
        <v>11.34</v>
      </c>
      <c r="BF402" s="1">
        <v>13.285</v>
      </c>
      <c r="BG402" s="1" t="b">
        <v>0</v>
      </c>
      <c r="BH402" s="1" t="b">
        <v>0</v>
      </c>
      <c r="BI402" s="1">
        <v>77.78</v>
      </c>
      <c r="BJ402" s="1">
        <v>75.0</v>
      </c>
      <c r="BK402" s="1" t="b">
        <v>0</v>
      </c>
      <c r="BL402" s="1" t="b">
        <v>0</v>
      </c>
      <c r="BM402" s="1">
        <v>13.121</v>
      </c>
      <c r="BN402" s="1">
        <v>14.568</v>
      </c>
      <c r="BO402" s="1" t="b">
        <v>0</v>
      </c>
      <c r="BP402" s="1" t="b">
        <v>0</v>
      </c>
      <c r="BQ402" s="1">
        <v>75.0</v>
      </c>
      <c r="BR402" s="1">
        <v>72.027</v>
      </c>
      <c r="BS402" s="1" t="b">
        <v>0</v>
      </c>
      <c r="BT402" s="1" t="b">
        <v>0</v>
      </c>
      <c r="BU402" s="1" t="s">
        <v>105</v>
      </c>
      <c r="BV402" s="1" t="s">
        <v>105</v>
      </c>
      <c r="BW402" s="1" t="s">
        <v>105</v>
      </c>
      <c r="BX402" s="1" t="s">
        <v>105</v>
      </c>
      <c r="BY402" s="1" t="s">
        <v>105</v>
      </c>
      <c r="BZ402" s="1" t="s">
        <v>105</v>
      </c>
      <c r="CA402" s="1" t="s">
        <v>105</v>
      </c>
      <c r="CB402" s="1" t="s">
        <v>105</v>
      </c>
      <c r="CC402" s="1" t="s">
        <v>105</v>
      </c>
      <c r="CD402" s="1" t="s">
        <v>105</v>
      </c>
      <c r="CE402" s="4"/>
      <c r="CF402" s="4"/>
    </row>
    <row r="403" hidden="1">
      <c r="A403" s="1" t="s">
        <v>82</v>
      </c>
      <c r="B403" s="1" t="s">
        <v>83</v>
      </c>
      <c r="C403" s="1">
        <v>0.0</v>
      </c>
      <c r="D403" s="5" t="s">
        <v>1822</v>
      </c>
      <c r="E403" s="1" t="s">
        <v>1823</v>
      </c>
      <c r="F403" s="1">
        <v>66.0</v>
      </c>
      <c r="G403" s="1">
        <v>0.0</v>
      </c>
      <c r="H403" s="1" t="s">
        <v>1824</v>
      </c>
      <c r="I403" s="4" t="b">
        <f>IFERROR(__xludf.DUMMYFUNCTION("IF(H403="""",,REGEXMATCH(H403,""[א-ת]""))"),FALSE)</f>
        <v>0</v>
      </c>
      <c r="J403" s="4"/>
      <c r="K403" s="1" t="s">
        <v>1825</v>
      </c>
      <c r="L403" s="1">
        <v>-0.3182</v>
      </c>
      <c r="M403" s="1">
        <v>23.34</v>
      </c>
      <c r="N403" s="1">
        <v>48.48</v>
      </c>
      <c r="O403" s="1">
        <v>0.7345454545</v>
      </c>
      <c r="P403" s="4"/>
      <c r="Q403" s="4"/>
      <c r="R403" s="1" t="s">
        <v>89</v>
      </c>
      <c r="S403" s="1" t="s">
        <v>1823</v>
      </c>
      <c r="T403" s="1" t="s">
        <v>83</v>
      </c>
      <c r="U403" s="1">
        <v>1.0</v>
      </c>
      <c r="V403" s="5" t="s">
        <v>1822</v>
      </c>
      <c r="W403" s="1" t="s">
        <v>1823</v>
      </c>
      <c r="X403" s="1" t="s">
        <v>1826</v>
      </c>
      <c r="Y403" s="4"/>
      <c r="Z403" s="4"/>
      <c r="AA403" s="4" t="b">
        <f>IFERROR(__xludf.DUMMYFUNCTION("IF(X403="""",,REGEXMATCH(X403,""[א-ת]""))"),FALSE)</f>
        <v>0</v>
      </c>
      <c r="AB403" s="1">
        <v>21.57</v>
      </c>
      <c r="AC403" s="1">
        <v>51.52</v>
      </c>
      <c r="AD403" s="1">
        <v>0.814449771778323</v>
      </c>
      <c r="AE403" s="1">
        <v>0.0</v>
      </c>
      <c r="AF403" s="1">
        <v>0.0</v>
      </c>
      <c r="AG403" s="1">
        <v>6.337</v>
      </c>
      <c r="AH403" s="1">
        <v>6.781</v>
      </c>
      <c r="AI403" s="1" t="b">
        <v>0</v>
      </c>
      <c r="AJ403" s="1" t="b">
        <v>0</v>
      </c>
      <c r="AK403" s="1">
        <v>94.182</v>
      </c>
      <c r="AL403" s="1">
        <v>96.508</v>
      </c>
      <c r="AM403" s="1" t="b">
        <v>0</v>
      </c>
      <c r="AN403" s="1" t="b">
        <v>0</v>
      </c>
      <c r="AO403" s="1">
        <v>8.05</v>
      </c>
      <c r="AP403" s="1">
        <v>8.53399999999999</v>
      </c>
      <c r="AQ403" s="1" t="b">
        <v>0</v>
      </c>
      <c r="AR403" s="1" t="b">
        <v>0</v>
      </c>
      <c r="AS403" s="1">
        <v>86.9179999999999</v>
      </c>
      <c r="AT403" s="1">
        <v>87.152</v>
      </c>
      <c r="AU403" s="1" t="b">
        <v>0</v>
      </c>
      <c r="AV403" s="1" t="b">
        <v>0</v>
      </c>
      <c r="AW403" s="1">
        <v>9.61399999999999</v>
      </c>
      <c r="AX403" s="1">
        <v>11.026</v>
      </c>
      <c r="AY403" s="1" t="b">
        <v>0</v>
      </c>
      <c r="AZ403" s="1" t="b">
        <v>0</v>
      </c>
      <c r="BA403" s="1">
        <v>81.25</v>
      </c>
      <c r="BB403" s="1">
        <v>77.78</v>
      </c>
      <c r="BC403" s="1" t="b">
        <v>0</v>
      </c>
      <c r="BD403" s="1" t="b">
        <v>0</v>
      </c>
      <c r="BE403" s="1">
        <v>11.34</v>
      </c>
      <c r="BF403" s="1">
        <v>13.285</v>
      </c>
      <c r="BG403" s="1" t="b">
        <v>0</v>
      </c>
      <c r="BH403" s="1" t="b">
        <v>0</v>
      </c>
      <c r="BI403" s="1">
        <v>77.78</v>
      </c>
      <c r="BJ403" s="1">
        <v>75.0</v>
      </c>
      <c r="BK403" s="1" t="b">
        <v>0</v>
      </c>
      <c r="BL403" s="1" t="b">
        <v>0</v>
      </c>
      <c r="BM403" s="1">
        <v>13.121</v>
      </c>
      <c r="BN403" s="1">
        <v>14.568</v>
      </c>
      <c r="BO403" s="1" t="b">
        <v>0</v>
      </c>
      <c r="BP403" s="1" t="b">
        <v>0</v>
      </c>
      <c r="BQ403" s="1">
        <v>75.0</v>
      </c>
      <c r="BR403" s="1">
        <v>72.027</v>
      </c>
      <c r="BS403" s="1" t="b">
        <v>0</v>
      </c>
      <c r="BT403" s="1" t="b">
        <v>0</v>
      </c>
      <c r="BU403" s="1" t="s">
        <v>105</v>
      </c>
      <c r="BV403" s="1" t="s">
        <v>105</v>
      </c>
      <c r="BW403" s="1" t="s">
        <v>105</v>
      </c>
      <c r="BX403" s="1" t="s">
        <v>105</v>
      </c>
      <c r="BY403" s="1" t="s">
        <v>105</v>
      </c>
      <c r="BZ403" s="1" t="s">
        <v>105</v>
      </c>
      <c r="CA403" s="1" t="s">
        <v>105</v>
      </c>
      <c r="CB403" s="1" t="s">
        <v>105</v>
      </c>
      <c r="CC403" s="1" t="s">
        <v>105</v>
      </c>
      <c r="CD403" s="1" t="s">
        <v>105</v>
      </c>
      <c r="CE403" s="4"/>
      <c r="CF403" s="4"/>
    </row>
    <row r="404" hidden="1">
      <c r="A404" s="1" t="s">
        <v>82</v>
      </c>
      <c r="B404" s="1" t="s">
        <v>262</v>
      </c>
      <c r="C404" s="1">
        <v>35.0</v>
      </c>
      <c r="D404" s="5" t="s">
        <v>1827</v>
      </c>
      <c r="E404" s="1" t="s">
        <v>1828</v>
      </c>
      <c r="F404" s="1">
        <v>48.0</v>
      </c>
      <c r="G404" s="1">
        <v>0.836</v>
      </c>
      <c r="H404" s="1" t="s">
        <v>1829</v>
      </c>
      <c r="I404" s="4" t="b">
        <f>IFERROR(__xludf.DUMMYFUNCTION("IF(H404="""",,REGEXMATCH(H404,""[א-ת]""))"),FALSE)</f>
        <v>0</v>
      </c>
      <c r="J404" s="4"/>
      <c r="K404" s="4"/>
      <c r="L404" s="1">
        <v>0.9231</v>
      </c>
      <c r="M404" s="1">
        <v>23.6</v>
      </c>
      <c r="N404" s="1">
        <v>52.08</v>
      </c>
      <c r="O404" s="1">
        <v>1.085</v>
      </c>
      <c r="P404" s="4"/>
      <c r="Q404" s="4"/>
      <c r="R404" s="1" t="s">
        <v>96</v>
      </c>
      <c r="S404" s="1" t="s">
        <v>1828</v>
      </c>
      <c r="T404" s="1" t="s">
        <v>262</v>
      </c>
      <c r="U404" s="1">
        <v>36.0</v>
      </c>
      <c r="V404" s="5" t="s">
        <v>1827</v>
      </c>
      <c r="W404" s="1" t="s">
        <v>1828</v>
      </c>
      <c r="X404" s="1" t="s">
        <v>1830</v>
      </c>
      <c r="Y404" s="4"/>
      <c r="Z404" s="4"/>
      <c r="AA404" s="4" t="b">
        <f>IFERROR(__xludf.DUMMYFUNCTION("IF(X404="""",,REGEXMATCH(X404,""[א-ת]""))"),TRUE)</f>
        <v>1</v>
      </c>
      <c r="AB404" s="1">
        <v>16.76</v>
      </c>
      <c r="AC404" s="1">
        <v>66.67</v>
      </c>
      <c r="AD404" s="1">
        <v>0.528654441039431</v>
      </c>
      <c r="AE404" s="1">
        <v>0.836</v>
      </c>
      <c r="AF404" s="1">
        <v>0.836</v>
      </c>
      <c r="AG404" s="1">
        <v>6.337</v>
      </c>
      <c r="AH404" s="1">
        <v>6.781</v>
      </c>
      <c r="AI404" s="1" t="b">
        <v>0</v>
      </c>
      <c r="AJ404" s="1" t="b">
        <v>0</v>
      </c>
      <c r="AK404" s="1">
        <v>94.182</v>
      </c>
      <c r="AL404" s="1">
        <v>96.508</v>
      </c>
      <c r="AM404" s="1" t="b">
        <v>0</v>
      </c>
      <c r="AN404" s="1" t="b">
        <v>0</v>
      </c>
      <c r="AO404" s="1">
        <v>8.05</v>
      </c>
      <c r="AP404" s="1">
        <v>8.53399999999999</v>
      </c>
      <c r="AQ404" s="1" t="b">
        <v>0</v>
      </c>
      <c r="AR404" s="1" t="b">
        <v>0</v>
      </c>
      <c r="AS404" s="1">
        <v>86.9179999999999</v>
      </c>
      <c r="AT404" s="1">
        <v>87.152</v>
      </c>
      <c r="AU404" s="1" t="b">
        <v>0</v>
      </c>
      <c r="AV404" s="1" t="b">
        <v>0</v>
      </c>
      <c r="AW404" s="1">
        <v>9.61399999999999</v>
      </c>
      <c r="AX404" s="1">
        <v>11.026</v>
      </c>
      <c r="AY404" s="1" t="b">
        <v>0</v>
      </c>
      <c r="AZ404" s="1" t="b">
        <v>0</v>
      </c>
      <c r="BA404" s="1">
        <v>81.25</v>
      </c>
      <c r="BB404" s="1">
        <v>77.78</v>
      </c>
      <c r="BC404" s="1" t="b">
        <v>0</v>
      </c>
      <c r="BD404" s="1" t="b">
        <v>0</v>
      </c>
      <c r="BE404" s="1">
        <v>11.34</v>
      </c>
      <c r="BF404" s="1">
        <v>13.285</v>
      </c>
      <c r="BG404" s="1" t="b">
        <v>0</v>
      </c>
      <c r="BH404" s="1" t="b">
        <v>0</v>
      </c>
      <c r="BI404" s="1">
        <v>77.78</v>
      </c>
      <c r="BJ404" s="1">
        <v>75.0</v>
      </c>
      <c r="BK404" s="1" t="b">
        <v>0</v>
      </c>
      <c r="BL404" s="1" t="b">
        <v>0</v>
      </c>
      <c r="BM404" s="1">
        <v>13.121</v>
      </c>
      <c r="BN404" s="1">
        <v>14.568</v>
      </c>
      <c r="BO404" s="1" t="b">
        <v>0</v>
      </c>
      <c r="BP404" s="1" t="b">
        <v>0</v>
      </c>
      <c r="BQ404" s="1">
        <v>75.0</v>
      </c>
      <c r="BR404" s="1">
        <v>72.027</v>
      </c>
      <c r="BS404" s="1" t="b">
        <v>0</v>
      </c>
      <c r="BT404" s="1" t="b">
        <v>0</v>
      </c>
      <c r="BU404" s="1" t="s">
        <v>105</v>
      </c>
      <c r="BV404" s="1" t="s">
        <v>105</v>
      </c>
      <c r="BW404" s="1" t="s">
        <v>105</v>
      </c>
      <c r="BX404" s="1" t="s">
        <v>105</v>
      </c>
      <c r="BY404" s="1" t="s">
        <v>105</v>
      </c>
      <c r="BZ404" s="1" t="s">
        <v>105</v>
      </c>
      <c r="CA404" s="1" t="s">
        <v>105</v>
      </c>
      <c r="CB404" s="1" t="s">
        <v>105</v>
      </c>
      <c r="CC404" s="1" t="s">
        <v>105</v>
      </c>
      <c r="CD404" s="1" t="s">
        <v>105</v>
      </c>
      <c r="CE404" s="4"/>
      <c r="CF404" s="4"/>
    </row>
    <row r="405" hidden="1">
      <c r="A405" s="1" t="s">
        <v>82</v>
      </c>
      <c r="B405" s="1" t="s">
        <v>83</v>
      </c>
      <c r="C405" s="1">
        <v>31.0</v>
      </c>
      <c r="D405" s="5" t="s">
        <v>1831</v>
      </c>
      <c r="E405" s="1" t="s">
        <v>1832</v>
      </c>
      <c r="F405" s="1">
        <v>65.0</v>
      </c>
      <c r="G405" s="1">
        <v>0.8225</v>
      </c>
      <c r="H405" s="1" t="s">
        <v>1833</v>
      </c>
      <c r="I405" s="4" t="b">
        <f>IFERROR(__xludf.DUMMYFUNCTION("IF(H405="""",,REGEXMATCH(H405,""[א-ת]""))"),FALSE)</f>
        <v>0</v>
      </c>
      <c r="J405" s="4"/>
      <c r="K405" s="4"/>
      <c r="L405" s="1">
        <v>0.6808</v>
      </c>
      <c r="M405" s="1">
        <v>23.6</v>
      </c>
      <c r="N405" s="1">
        <v>60.0</v>
      </c>
      <c r="O405" s="1">
        <v>0.9230769231</v>
      </c>
      <c r="P405" s="4"/>
      <c r="Q405" s="4"/>
      <c r="R405" s="1" t="s">
        <v>89</v>
      </c>
      <c r="S405" s="1" t="s">
        <v>1832</v>
      </c>
      <c r="T405" s="1" t="s">
        <v>83</v>
      </c>
      <c r="U405" s="1">
        <v>32.0</v>
      </c>
      <c r="V405" s="5" t="s">
        <v>1831</v>
      </c>
      <c r="W405" s="1" t="s">
        <v>1832</v>
      </c>
      <c r="X405" s="1" t="s">
        <v>1834</v>
      </c>
      <c r="Y405" s="4"/>
      <c r="Z405" s="4"/>
      <c r="AA405" s="4" t="b">
        <f>IFERROR(__xludf.DUMMYFUNCTION("IF(X405="""",,REGEXMATCH(X405,""[א-ת]""))"),FALSE)</f>
        <v>0</v>
      </c>
      <c r="AB405" s="1">
        <v>28.51</v>
      </c>
      <c r="AC405" s="1">
        <v>43.08</v>
      </c>
      <c r="AD405" s="1">
        <v>0.818735491970022</v>
      </c>
      <c r="AE405" s="1">
        <v>0.743</v>
      </c>
      <c r="AF405" s="1">
        <v>0.8225</v>
      </c>
      <c r="AG405" s="1">
        <v>6.337</v>
      </c>
      <c r="AH405" s="1">
        <v>6.781</v>
      </c>
      <c r="AI405" s="1" t="b">
        <v>0</v>
      </c>
      <c r="AJ405" s="1" t="b">
        <v>0</v>
      </c>
      <c r="AK405" s="1">
        <v>94.182</v>
      </c>
      <c r="AL405" s="1">
        <v>96.508</v>
      </c>
      <c r="AM405" s="1" t="b">
        <v>0</v>
      </c>
      <c r="AN405" s="1" t="b">
        <v>0</v>
      </c>
      <c r="AO405" s="1">
        <v>8.05</v>
      </c>
      <c r="AP405" s="1">
        <v>8.53399999999999</v>
      </c>
      <c r="AQ405" s="1" t="b">
        <v>0</v>
      </c>
      <c r="AR405" s="1" t="b">
        <v>0</v>
      </c>
      <c r="AS405" s="1">
        <v>86.9179999999999</v>
      </c>
      <c r="AT405" s="1">
        <v>87.152</v>
      </c>
      <c r="AU405" s="1" t="b">
        <v>0</v>
      </c>
      <c r="AV405" s="1" t="b">
        <v>0</v>
      </c>
      <c r="AW405" s="1">
        <v>9.61399999999999</v>
      </c>
      <c r="AX405" s="1">
        <v>11.026</v>
      </c>
      <c r="AY405" s="1" t="b">
        <v>0</v>
      </c>
      <c r="AZ405" s="1" t="b">
        <v>0</v>
      </c>
      <c r="BA405" s="1">
        <v>81.25</v>
      </c>
      <c r="BB405" s="1">
        <v>77.78</v>
      </c>
      <c r="BC405" s="1" t="b">
        <v>0</v>
      </c>
      <c r="BD405" s="1" t="b">
        <v>0</v>
      </c>
      <c r="BE405" s="1">
        <v>11.34</v>
      </c>
      <c r="BF405" s="1">
        <v>13.285</v>
      </c>
      <c r="BG405" s="1" t="b">
        <v>0</v>
      </c>
      <c r="BH405" s="1" t="b">
        <v>0</v>
      </c>
      <c r="BI405" s="1">
        <v>77.78</v>
      </c>
      <c r="BJ405" s="1">
        <v>75.0</v>
      </c>
      <c r="BK405" s="1" t="b">
        <v>0</v>
      </c>
      <c r="BL405" s="1" t="b">
        <v>0</v>
      </c>
      <c r="BM405" s="1">
        <v>13.121</v>
      </c>
      <c r="BN405" s="1">
        <v>14.568</v>
      </c>
      <c r="BO405" s="1" t="b">
        <v>0</v>
      </c>
      <c r="BP405" s="1" t="b">
        <v>0</v>
      </c>
      <c r="BQ405" s="1">
        <v>75.0</v>
      </c>
      <c r="BR405" s="1">
        <v>72.027</v>
      </c>
      <c r="BS405" s="1" t="b">
        <v>0</v>
      </c>
      <c r="BT405" s="1" t="b">
        <v>0</v>
      </c>
      <c r="BU405" s="1" t="s">
        <v>105</v>
      </c>
      <c r="BV405" s="1" t="s">
        <v>105</v>
      </c>
      <c r="BW405" s="1" t="s">
        <v>105</v>
      </c>
      <c r="BX405" s="1" t="s">
        <v>105</v>
      </c>
      <c r="BY405" s="1" t="s">
        <v>105</v>
      </c>
      <c r="BZ405" s="1" t="s">
        <v>105</v>
      </c>
      <c r="CA405" s="1" t="s">
        <v>105</v>
      </c>
      <c r="CB405" s="1" t="s">
        <v>105</v>
      </c>
      <c r="CC405" s="1" t="s">
        <v>105</v>
      </c>
      <c r="CD405" s="1" t="s">
        <v>105</v>
      </c>
      <c r="CE405" s="4"/>
      <c r="CF405" s="4"/>
    </row>
    <row r="406" hidden="1">
      <c r="A406" s="1" t="s">
        <v>82</v>
      </c>
      <c r="B406" s="1" t="s">
        <v>139</v>
      </c>
      <c r="C406" s="1">
        <v>0.0</v>
      </c>
      <c r="D406" s="5" t="s">
        <v>1835</v>
      </c>
      <c r="E406" s="1" t="s">
        <v>1836</v>
      </c>
      <c r="F406" s="1">
        <v>4.0</v>
      </c>
      <c r="G406" s="1">
        <v>0.0</v>
      </c>
      <c r="H406" s="1" t="s">
        <v>1837</v>
      </c>
      <c r="I406" s="4" t="b">
        <f>IFERROR(__xludf.DUMMYFUNCTION("IF(H406="""",,REGEXMATCH(H406,""[א-ת]""))"),FALSE)</f>
        <v>0</v>
      </c>
      <c r="J406" s="4"/>
      <c r="K406" s="4"/>
      <c r="L406" s="1">
        <v>0.0</v>
      </c>
      <c r="M406" s="1">
        <v>23.64</v>
      </c>
      <c r="N406" s="1">
        <v>50.0</v>
      </c>
      <c r="O406" s="1">
        <v>12.5</v>
      </c>
      <c r="P406" s="4"/>
      <c r="Q406" s="4"/>
      <c r="R406" s="1" t="s">
        <v>96</v>
      </c>
      <c r="S406" s="1" t="s">
        <v>1836</v>
      </c>
      <c r="T406" s="1" t="s">
        <v>139</v>
      </c>
      <c r="U406" s="1">
        <v>1.0</v>
      </c>
      <c r="V406" s="5" t="s">
        <v>1835</v>
      </c>
      <c r="W406" s="1" t="s">
        <v>1836</v>
      </c>
      <c r="X406" s="1" t="s">
        <v>1838</v>
      </c>
      <c r="Y406" s="4"/>
      <c r="Z406" s="4"/>
      <c r="AA406" s="4" t="b">
        <f>IFERROR(__xludf.DUMMYFUNCTION("IF(X406="""",,REGEXMATCH(X406,""[א-ת]""))"),FALSE)</f>
        <v>0</v>
      </c>
      <c r="AB406" s="1">
        <v>12.7</v>
      </c>
      <c r="AC406" s="1">
        <v>75.0</v>
      </c>
      <c r="AD406" s="1">
        <v>0.627482130778381</v>
      </c>
      <c r="AE406" s="1">
        <v>0.0</v>
      </c>
      <c r="AF406" s="1">
        <v>0.0</v>
      </c>
      <c r="AG406" s="1">
        <v>6.337</v>
      </c>
      <c r="AH406" s="1">
        <v>6.781</v>
      </c>
      <c r="AI406" s="1" t="b">
        <v>0</v>
      </c>
      <c r="AJ406" s="1" t="b">
        <v>0</v>
      </c>
      <c r="AK406" s="1">
        <v>94.182</v>
      </c>
      <c r="AL406" s="1">
        <v>96.508</v>
      </c>
      <c r="AM406" s="1" t="b">
        <v>0</v>
      </c>
      <c r="AN406" s="1" t="b">
        <v>0</v>
      </c>
      <c r="AO406" s="1">
        <v>8.05</v>
      </c>
      <c r="AP406" s="1">
        <v>8.53399999999999</v>
      </c>
      <c r="AQ406" s="1" t="b">
        <v>0</v>
      </c>
      <c r="AR406" s="1" t="b">
        <v>0</v>
      </c>
      <c r="AS406" s="1">
        <v>86.9179999999999</v>
      </c>
      <c r="AT406" s="1">
        <v>87.152</v>
      </c>
      <c r="AU406" s="1" t="b">
        <v>0</v>
      </c>
      <c r="AV406" s="1" t="b">
        <v>0</v>
      </c>
      <c r="AW406" s="1">
        <v>9.61399999999999</v>
      </c>
      <c r="AX406" s="1">
        <v>11.026</v>
      </c>
      <c r="AY406" s="1" t="b">
        <v>0</v>
      </c>
      <c r="AZ406" s="1" t="b">
        <v>0</v>
      </c>
      <c r="BA406" s="1">
        <v>81.25</v>
      </c>
      <c r="BB406" s="1">
        <v>77.78</v>
      </c>
      <c r="BC406" s="1" t="b">
        <v>0</v>
      </c>
      <c r="BD406" s="1" t="b">
        <v>0</v>
      </c>
      <c r="BE406" s="1">
        <v>11.34</v>
      </c>
      <c r="BF406" s="1">
        <v>13.285</v>
      </c>
      <c r="BG406" s="1" t="b">
        <v>0</v>
      </c>
      <c r="BH406" s="1" t="b">
        <v>1</v>
      </c>
      <c r="BI406" s="1">
        <v>77.78</v>
      </c>
      <c r="BJ406" s="1">
        <v>75.0</v>
      </c>
      <c r="BK406" s="1" t="b">
        <v>0</v>
      </c>
      <c r="BL406" s="1" t="b">
        <v>1</v>
      </c>
      <c r="BM406" s="1">
        <v>13.121</v>
      </c>
      <c r="BN406" s="1">
        <v>14.568</v>
      </c>
      <c r="BO406" s="1" t="b">
        <v>0</v>
      </c>
      <c r="BP406" s="1" t="b">
        <v>1</v>
      </c>
      <c r="BQ406" s="1">
        <v>75.0</v>
      </c>
      <c r="BR406" s="1">
        <v>72.027</v>
      </c>
      <c r="BS406" s="1" t="b">
        <v>0</v>
      </c>
      <c r="BT406" s="1" t="b">
        <v>1</v>
      </c>
      <c r="BU406" s="1" t="s">
        <v>105</v>
      </c>
      <c r="BV406" s="1" t="s">
        <v>105</v>
      </c>
      <c r="BW406" s="1" t="s">
        <v>105</v>
      </c>
      <c r="BX406" s="1" t="s">
        <v>105</v>
      </c>
      <c r="BY406" s="1" t="s">
        <v>105</v>
      </c>
      <c r="BZ406" s="1" t="s">
        <v>105</v>
      </c>
      <c r="CA406" s="1" t="s">
        <v>157</v>
      </c>
      <c r="CB406" s="1" t="s">
        <v>157</v>
      </c>
      <c r="CC406" s="1" t="s">
        <v>157</v>
      </c>
      <c r="CD406" s="1" t="s">
        <v>157</v>
      </c>
      <c r="CE406" s="4"/>
      <c r="CF406" s="4"/>
    </row>
    <row r="407" hidden="1">
      <c r="A407" s="1" t="s">
        <v>82</v>
      </c>
      <c r="B407" s="1" t="s">
        <v>111</v>
      </c>
      <c r="C407" s="1">
        <v>68.0</v>
      </c>
      <c r="D407" s="5" t="s">
        <v>1839</v>
      </c>
      <c r="E407" s="1" t="s">
        <v>1840</v>
      </c>
      <c r="F407" s="1">
        <v>23.0</v>
      </c>
      <c r="G407" s="1">
        <v>-0.6759</v>
      </c>
      <c r="H407" s="1" t="s">
        <v>1841</v>
      </c>
      <c r="I407" s="4" t="b">
        <f>IFERROR(__xludf.DUMMYFUNCTION("IF(H407="""",,REGEXMATCH(H407,""[א-ת]""))"),FALSE)</f>
        <v>0</v>
      </c>
      <c r="J407" s="4"/>
      <c r="K407" s="4"/>
      <c r="L407" s="1">
        <v>-0.7964</v>
      </c>
      <c r="M407" s="1">
        <v>23.71</v>
      </c>
      <c r="N407" s="1">
        <v>47.83</v>
      </c>
      <c r="O407" s="1">
        <v>2.079565217</v>
      </c>
      <c r="P407" s="4"/>
      <c r="Q407" s="4"/>
      <c r="R407" s="1" t="s">
        <v>89</v>
      </c>
      <c r="S407" s="1" t="s">
        <v>1840</v>
      </c>
      <c r="T407" s="1" t="s">
        <v>111</v>
      </c>
      <c r="U407" s="1">
        <v>69.0</v>
      </c>
      <c r="V407" s="5" t="s">
        <v>1839</v>
      </c>
      <c r="W407" s="1" t="s">
        <v>1840</v>
      </c>
      <c r="X407" s="1" t="s">
        <v>1842</v>
      </c>
      <c r="Y407" s="4"/>
      <c r="Z407" s="4"/>
      <c r="AA407" s="4" t="b">
        <f>IFERROR(__xludf.DUMMYFUNCTION("IF(X407="""",,REGEXMATCH(X407,""[א-ת]""))"),FALSE)</f>
        <v>0</v>
      </c>
      <c r="AB407" s="1">
        <v>51.35</v>
      </c>
      <c r="AC407" s="1">
        <v>26.09</v>
      </c>
      <c r="AD407" s="1">
        <v>0.855556647106873</v>
      </c>
      <c r="AE407" s="1">
        <v>0.0129</v>
      </c>
      <c r="AF407" s="1">
        <v>-0.6759</v>
      </c>
      <c r="AG407" s="1">
        <v>6.337</v>
      </c>
      <c r="AH407" s="1">
        <v>6.781</v>
      </c>
      <c r="AI407" s="1" t="b">
        <v>0</v>
      </c>
      <c r="AJ407" s="1" t="b">
        <v>0</v>
      </c>
      <c r="AK407" s="1">
        <v>94.182</v>
      </c>
      <c r="AL407" s="1">
        <v>96.508</v>
      </c>
      <c r="AM407" s="1" t="b">
        <v>0</v>
      </c>
      <c r="AN407" s="1" t="b">
        <v>0</v>
      </c>
      <c r="AO407" s="1">
        <v>8.05</v>
      </c>
      <c r="AP407" s="1">
        <v>8.53399999999999</v>
      </c>
      <c r="AQ407" s="1" t="b">
        <v>0</v>
      </c>
      <c r="AR407" s="1" t="b">
        <v>0</v>
      </c>
      <c r="AS407" s="1">
        <v>86.9179999999999</v>
      </c>
      <c r="AT407" s="1">
        <v>87.152</v>
      </c>
      <c r="AU407" s="1" t="b">
        <v>0</v>
      </c>
      <c r="AV407" s="1" t="b">
        <v>0</v>
      </c>
      <c r="AW407" s="1">
        <v>9.61399999999999</v>
      </c>
      <c r="AX407" s="1">
        <v>11.026</v>
      </c>
      <c r="AY407" s="1" t="b">
        <v>0</v>
      </c>
      <c r="AZ407" s="1" t="b">
        <v>0</v>
      </c>
      <c r="BA407" s="1">
        <v>81.25</v>
      </c>
      <c r="BB407" s="1">
        <v>77.78</v>
      </c>
      <c r="BC407" s="1" t="b">
        <v>0</v>
      </c>
      <c r="BD407" s="1" t="b">
        <v>0</v>
      </c>
      <c r="BE407" s="1">
        <v>11.34</v>
      </c>
      <c r="BF407" s="1">
        <v>13.285</v>
      </c>
      <c r="BG407" s="1" t="b">
        <v>0</v>
      </c>
      <c r="BH407" s="1" t="b">
        <v>0</v>
      </c>
      <c r="BI407" s="1">
        <v>77.78</v>
      </c>
      <c r="BJ407" s="1">
        <v>75.0</v>
      </c>
      <c r="BK407" s="1" t="b">
        <v>0</v>
      </c>
      <c r="BL407" s="1" t="b">
        <v>0</v>
      </c>
      <c r="BM407" s="1">
        <v>13.121</v>
      </c>
      <c r="BN407" s="1">
        <v>14.568</v>
      </c>
      <c r="BO407" s="1" t="b">
        <v>0</v>
      </c>
      <c r="BP407" s="1" t="b">
        <v>0</v>
      </c>
      <c r="BQ407" s="1">
        <v>75.0</v>
      </c>
      <c r="BR407" s="1">
        <v>72.027</v>
      </c>
      <c r="BS407" s="1" t="b">
        <v>0</v>
      </c>
      <c r="BT407" s="1" t="b">
        <v>0</v>
      </c>
      <c r="BU407" s="1" t="s">
        <v>105</v>
      </c>
      <c r="BV407" s="1" t="s">
        <v>105</v>
      </c>
      <c r="BW407" s="1" t="s">
        <v>105</v>
      </c>
      <c r="BX407" s="1" t="s">
        <v>105</v>
      </c>
      <c r="BY407" s="1" t="s">
        <v>105</v>
      </c>
      <c r="BZ407" s="1" t="s">
        <v>105</v>
      </c>
      <c r="CA407" s="1" t="s">
        <v>105</v>
      </c>
      <c r="CB407" s="1" t="s">
        <v>105</v>
      </c>
      <c r="CC407" s="1" t="s">
        <v>105</v>
      </c>
      <c r="CD407" s="1" t="s">
        <v>105</v>
      </c>
      <c r="CE407" s="4"/>
      <c r="CF407" s="4"/>
    </row>
    <row r="408" hidden="1">
      <c r="A408" s="1" t="s">
        <v>82</v>
      </c>
      <c r="B408" s="1" t="s">
        <v>92</v>
      </c>
      <c r="C408" s="1">
        <v>5.0</v>
      </c>
      <c r="D408" s="5" t="s">
        <v>1843</v>
      </c>
      <c r="E408" s="1" t="s">
        <v>1844</v>
      </c>
      <c r="F408" s="1">
        <v>69.0</v>
      </c>
      <c r="G408" s="1">
        <v>0.6623</v>
      </c>
      <c r="H408" s="1" t="s">
        <v>1845</v>
      </c>
      <c r="I408" s="4" t="b">
        <f>IFERROR(__xludf.DUMMYFUNCTION("IF(H408="""",,REGEXMATCH(H408,""[א-ת]""))"),FALSE)</f>
        <v>0</v>
      </c>
      <c r="J408" s="4"/>
      <c r="K408" s="4"/>
      <c r="L408" s="1">
        <v>-0.5574</v>
      </c>
      <c r="M408" s="1">
        <v>23.88</v>
      </c>
      <c r="N408" s="1">
        <v>50.72</v>
      </c>
      <c r="O408" s="1">
        <v>0.7350724638</v>
      </c>
      <c r="P408" s="4"/>
      <c r="Q408" s="4"/>
      <c r="R408" s="1" t="s">
        <v>96</v>
      </c>
      <c r="S408" s="1" t="s">
        <v>1844</v>
      </c>
      <c r="T408" s="1" t="s">
        <v>92</v>
      </c>
      <c r="U408" s="1">
        <v>6.0</v>
      </c>
      <c r="V408" s="5" t="s">
        <v>1843</v>
      </c>
      <c r="W408" s="1" t="s">
        <v>1844</v>
      </c>
      <c r="X408" s="1" t="s">
        <v>1846</v>
      </c>
      <c r="Y408" s="4"/>
      <c r="Z408" s="4"/>
      <c r="AA408" s="4" t="b">
        <f>IFERROR(__xludf.DUMMYFUNCTION("IF(X408="""",,REGEXMATCH(X408,""[א-ת]""))"),TRUE)</f>
        <v>1</v>
      </c>
      <c r="AB408" s="1">
        <v>30.64</v>
      </c>
      <c r="AC408" s="1">
        <v>40.58</v>
      </c>
      <c r="AD408" s="1">
        <v>0.748984694385682</v>
      </c>
      <c r="AE408" s="1">
        <v>-0.2732</v>
      </c>
      <c r="AF408" s="1">
        <v>0.6623</v>
      </c>
      <c r="AG408" s="1">
        <v>6.337</v>
      </c>
      <c r="AH408" s="1">
        <v>6.781</v>
      </c>
      <c r="AI408" s="1" t="b">
        <v>0</v>
      </c>
      <c r="AJ408" s="1" t="b">
        <v>0</v>
      </c>
      <c r="AK408" s="1">
        <v>94.182</v>
      </c>
      <c r="AL408" s="1">
        <v>96.508</v>
      </c>
      <c r="AM408" s="1" t="b">
        <v>0</v>
      </c>
      <c r="AN408" s="1" t="b">
        <v>0</v>
      </c>
      <c r="AO408" s="1">
        <v>8.05</v>
      </c>
      <c r="AP408" s="1">
        <v>8.53399999999999</v>
      </c>
      <c r="AQ408" s="1" t="b">
        <v>0</v>
      </c>
      <c r="AR408" s="1" t="b">
        <v>0</v>
      </c>
      <c r="AS408" s="1">
        <v>86.9179999999999</v>
      </c>
      <c r="AT408" s="1">
        <v>87.152</v>
      </c>
      <c r="AU408" s="1" t="b">
        <v>0</v>
      </c>
      <c r="AV408" s="1" t="b">
        <v>0</v>
      </c>
      <c r="AW408" s="1">
        <v>9.61399999999999</v>
      </c>
      <c r="AX408" s="1">
        <v>11.026</v>
      </c>
      <c r="AY408" s="1" t="b">
        <v>0</v>
      </c>
      <c r="AZ408" s="1" t="b">
        <v>0</v>
      </c>
      <c r="BA408" s="1">
        <v>81.25</v>
      </c>
      <c r="BB408" s="1">
        <v>77.78</v>
      </c>
      <c r="BC408" s="1" t="b">
        <v>0</v>
      </c>
      <c r="BD408" s="1" t="b">
        <v>0</v>
      </c>
      <c r="BE408" s="1">
        <v>11.34</v>
      </c>
      <c r="BF408" s="1">
        <v>13.285</v>
      </c>
      <c r="BG408" s="1" t="b">
        <v>0</v>
      </c>
      <c r="BH408" s="1" t="b">
        <v>0</v>
      </c>
      <c r="BI408" s="1">
        <v>77.78</v>
      </c>
      <c r="BJ408" s="1">
        <v>75.0</v>
      </c>
      <c r="BK408" s="1" t="b">
        <v>0</v>
      </c>
      <c r="BL408" s="1" t="b">
        <v>0</v>
      </c>
      <c r="BM408" s="1">
        <v>13.121</v>
      </c>
      <c r="BN408" s="1">
        <v>14.568</v>
      </c>
      <c r="BO408" s="1" t="b">
        <v>0</v>
      </c>
      <c r="BP408" s="1" t="b">
        <v>0</v>
      </c>
      <c r="BQ408" s="1">
        <v>75.0</v>
      </c>
      <c r="BR408" s="1">
        <v>72.027</v>
      </c>
      <c r="BS408" s="1" t="b">
        <v>0</v>
      </c>
      <c r="BT408" s="1" t="b">
        <v>0</v>
      </c>
      <c r="BU408" s="1" t="s">
        <v>105</v>
      </c>
      <c r="BV408" s="1" t="s">
        <v>105</v>
      </c>
      <c r="BW408" s="1" t="s">
        <v>105</v>
      </c>
      <c r="BX408" s="1" t="s">
        <v>105</v>
      </c>
      <c r="BY408" s="1" t="s">
        <v>105</v>
      </c>
      <c r="BZ408" s="1" t="s">
        <v>105</v>
      </c>
      <c r="CA408" s="1" t="s">
        <v>105</v>
      </c>
      <c r="CB408" s="1" t="s">
        <v>105</v>
      </c>
      <c r="CC408" s="1" t="s">
        <v>105</v>
      </c>
      <c r="CD408" s="1" t="s">
        <v>105</v>
      </c>
      <c r="CE408" s="4"/>
      <c r="CF408" s="4"/>
    </row>
    <row r="409" hidden="1">
      <c r="A409" s="1" t="s">
        <v>82</v>
      </c>
      <c r="B409" s="1" t="s">
        <v>524</v>
      </c>
      <c r="C409" s="1">
        <v>21.0</v>
      </c>
      <c r="D409" s="5" t="s">
        <v>1847</v>
      </c>
      <c r="E409" s="1" t="s">
        <v>1848</v>
      </c>
      <c r="F409" s="1">
        <v>97.0</v>
      </c>
      <c r="G409" s="1">
        <v>0.0</v>
      </c>
      <c r="H409" s="1" t="s">
        <v>1849</v>
      </c>
      <c r="I409" s="4" t="b">
        <f>IFERROR(__xludf.DUMMYFUNCTION("IF(H409="""",,REGEXMATCH(H409,""[א-ת]""))"),FALSE)</f>
        <v>0</v>
      </c>
      <c r="J409" s="4"/>
      <c r="K409" s="4"/>
      <c r="L409" s="1">
        <v>-0.1139</v>
      </c>
      <c r="M409" s="1">
        <v>23.91</v>
      </c>
      <c r="N409" s="1">
        <v>63.92</v>
      </c>
      <c r="O409" s="1">
        <v>0.6589690722</v>
      </c>
      <c r="P409" s="4"/>
      <c r="Q409" s="4"/>
      <c r="R409" s="1" t="s">
        <v>89</v>
      </c>
      <c r="S409" s="1" t="s">
        <v>1848</v>
      </c>
      <c r="T409" s="1" t="s">
        <v>524</v>
      </c>
      <c r="U409" s="1">
        <v>22.0</v>
      </c>
      <c r="V409" s="5" t="s">
        <v>1847</v>
      </c>
      <c r="W409" s="1" t="s">
        <v>1848</v>
      </c>
      <c r="X409" s="1" t="s">
        <v>1850</v>
      </c>
      <c r="Y409" s="4"/>
      <c r="Z409" s="4"/>
      <c r="AA409" s="4" t="b">
        <f>IFERROR(__xludf.DUMMYFUNCTION("IF(X409="""",,REGEXMATCH(X409,""[א-ת]""))"),FALSE)</f>
        <v>0</v>
      </c>
      <c r="AB409" s="1">
        <v>13.0</v>
      </c>
      <c r="AC409" s="1">
        <v>62.89</v>
      </c>
      <c r="AD409" s="1">
        <v>0.314793926331592</v>
      </c>
      <c r="AE409" s="1">
        <v>-0.652</v>
      </c>
      <c r="AF409" s="1">
        <v>0.0</v>
      </c>
      <c r="AG409" s="1">
        <v>6.337</v>
      </c>
      <c r="AH409" s="1">
        <v>6.781</v>
      </c>
      <c r="AI409" s="1" t="b">
        <v>0</v>
      </c>
      <c r="AJ409" s="1" t="b">
        <v>0</v>
      </c>
      <c r="AK409" s="1">
        <v>94.182</v>
      </c>
      <c r="AL409" s="1">
        <v>96.508</v>
      </c>
      <c r="AM409" s="1" t="b">
        <v>0</v>
      </c>
      <c r="AN409" s="1" t="b">
        <v>0</v>
      </c>
      <c r="AO409" s="1">
        <v>8.05</v>
      </c>
      <c r="AP409" s="1">
        <v>8.53399999999999</v>
      </c>
      <c r="AQ409" s="1" t="b">
        <v>0</v>
      </c>
      <c r="AR409" s="1" t="b">
        <v>0</v>
      </c>
      <c r="AS409" s="1">
        <v>86.9179999999999</v>
      </c>
      <c r="AT409" s="1">
        <v>87.152</v>
      </c>
      <c r="AU409" s="1" t="b">
        <v>0</v>
      </c>
      <c r="AV409" s="1" t="b">
        <v>0</v>
      </c>
      <c r="AW409" s="1">
        <v>9.61399999999999</v>
      </c>
      <c r="AX409" s="1">
        <v>11.026</v>
      </c>
      <c r="AY409" s="1" t="b">
        <v>0</v>
      </c>
      <c r="AZ409" s="1" t="b">
        <v>0</v>
      </c>
      <c r="BA409" s="1">
        <v>81.25</v>
      </c>
      <c r="BB409" s="1">
        <v>77.78</v>
      </c>
      <c r="BC409" s="1" t="b">
        <v>0</v>
      </c>
      <c r="BD409" s="1" t="b">
        <v>0</v>
      </c>
      <c r="BE409" s="1">
        <v>11.34</v>
      </c>
      <c r="BF409" s="1">
        <v>13.285</v>
      </c>
      <c r="BG409" s="1" t="b">
        <v>0</v>
      </c>
      <c r="BH409" s="1" t="b">
        <v>1</v>
      </c>
      <c r="BI409" s="1">
        <v>77.78</v>
      </c>
      <c r="BJ409" s="1">
        <v>75.0</v>
      </c>
      <c r="BK409" s="1" t="b">
        <v>0</v>
      </c>
      <c r="BL409" s="1" t="b">
        <v>0</v>
      </c>
      <c r="BM409" s="1">
        <v>13.121</v>
      </c>
      <c r="BN409" s="1">
        <v>14.568</v>
      </c>
      <c r="BO409" s="1" t="b">
        <v>0</v>
      </c>
      <c r="BP409" s="1" t="b">
        <v>1</v>
      </c>
      <c r="BQ409" s="1">
        <v>75.0</v>
      </c>
      <c r="BR409" s="1">
        <v>72.027</v>
      </c>
      <c r="BS409" s="1" t="b">
        <v>0</v>
      </c>
      <c r="BT409" s="1" t="b">
        <v>0</v>
      </c>
      <c r="BU409" s="1" t="s">
        <v>105</v>
      </c>
      <c r="BV409" s="1" t="s">
        <v>105</v>
      </c>
      <c r="BW409" s="1" t="s">
        <v>105</v>
      </c>
      <c r="BX409" s="1" t="s">
        <v>105</v>
      </c>
      <c r="BY409" s="1" t="s">
        <v>105</v>
      </c>
      <c r="BZ409" s="1" t="s">
        <v>105</v>
      </c>
      <c r="CA409" s="1" t="s">
        <v>157</v>
      </c>
      <c r="CB409" s="1" t="s">
        <v>105</v>
      </c>
      <c r="CC409" s="1" t="s">
        <v>157</v>
      </c>
      <c r="CD409" s="1" t="s">
        <v>105</v>
      </c>
      <c r="CE409" s="4"/>
      <c r="CF409" s="4"/>
    </row>
    <row r="410" hidden="1">
      <c r="A410" s="1" t="s">
        <v>82</v>
      </c>
      <c r="B410" s="1" t="s">
        <v>524</v>
      </c>
      <c r="C410" s="1">
        <v>0.0</v>
      </c>
      <c r="D410" s="5" t="s">
        <v>1851</v>
      </c>
      <c r="E410" s="1" t="s">
        <v>1852</v>
      </c>
      <c r="F410" s="1">
        <v>34.0</v>
      </c>
      <c r="G410" s="1">
        <v>-0.8126</v>
      </c>
      <c r="H410" s="1" t="s">
        <v>1853</v>
      </c>
      <c r="I410" s="4" t="b">
        <f>IFERROR(__xludf.DUMMYFUNCTION("IF(H410="""",,REGEXMATCH(H410,""[א-ת]""))"),FALSE)</f>
        <v>0</v>
      </c>
      <c r="J410" s="4"/>
      <c r="K410" s="4"/>
      <c r="L410" s="1">
        <v>0.0</v>
      </c>
      <c r="M410" s="1">
        <v>23.98</v>
      </c>
      <c r="N410" s="1">
        <v>67.65</v>
      </c>
      <c r="O410" s="1">
        <v>1.989705882</v>
      </c>
      <c r="P410" s="4"/>
      <c r="Q410" s="4"/>
      <c r="R410" s="1" t="s">
        <v>89</v>
      </c>
      <c r="S410" s="1" t="s">
        <v>1852</v>
      </c>
      <c r="T410" s="1" t="s">
        <v>524</v>
      </c>
      <c r="U410" s="1">
        <v>1.0</v>
      </c>
      <c r="V410" s="5" t="s">
        <v>1851</v>
      </c>
      <c r="W410" s="1" t="s">
        <v>1852</v>
      </c>
      <c r="X410" s="1" t="s">
        <v>1854</v>
      </c>
      <c r="Y410" s="4"/>
      <c r="Z410" s="4"/>
      <c r="AA410" s="4" t="b">
        <f>IFERROR(__xludf.DUMMYFUNCTION("IF(X410="""",,REGEXMATCH(X410,""[א-ת]""))"),TRUE)</f>
        <v>1</v>
      </c>
      <c r="AB410" s="1">
        <v>40.68</v>
      </c>
      <c r="AC410" s="1">
        <v>50.0</v>
      </c>
      <c r="AD410" s="1">
        <v>0.414934805734504</v>
      </c>
      <c r="AE410" s="1">
        <v>0.0</v>
      </c>
      <c r="AF410" s="1">
        <v>-0.8126</v>
      </c>
      <c r="AG410" s="1">
        <v>6.337</v>
      </c>
      <c r="AH410" s="1">
        <v>6.781</v>
      </c>
      <c r="AI410" s="1" t="b">
        <v>0</v>
      </c>
      <c r="AJ410" s="1" t="b">
        <v>0</v>
      </c>
      <c r="AK410" s="1">
        <v>94.182</v>
      </c>
      <c r="AL410" s="1">
        <v>96.508</v>
      </c>
      <c r="AM410" s="1" t="b">
        <v>0</v>
      </c>
      <c r="AN410" s="1" t="b">
        <v>0</v>
      </c>
      <c r="AO410" s="1">
        <v>8.05</v>
      </c>
      <c r="AP410" s="1">
        <v>8.53399999999999</v>
      </c>
      <c r="AQ410" s="1" t="b">
        <v>0</v>
      </c>
      <c r="AR410" s="1" t="b">
        <v>0</v>
      </c>
      <c r="AS410" s="1">
        <v>86.9179999999999</v>
      </c>
      <c r="AT410" s="1">
        <v>87.152</v>
      </c>
      <c r="AU410" s="1" t="b">
        <v>0</v>
      </c>
      <c r="AV410" s="1" t="b">
        <v>0</v>
      </c>
      <c r="AW410" s="1">
        <v>9.61399999999999</v>
      </c>
      <c r="AX410" s="1">
        <v>11.026</v>
      </c>
      <c r="AY410" s="1" t="b">
        <v>0</v>
      </c>
      <c r="AZ410" s="1" t="b">
        <v>0</v>
      </c>
      <c r="BA410" s="1">
        <v>81.25</v>
      </c>
      <c r="BB410" s="1">
        <v>77.78</v>
      </c>
      <c r="BC410" s="1" t="b">
        <v>0</v>
      </c>
      <c r="BD410" s="1" t="b">
        <v>0</v>
      </c>
      <c r="BE410" s="1">
        <v>11.34</v>
      </c>
      <c r="BF410" s="1">
        <v>13.285</v>
      </c>
      <c r="BG410" s="1" t="b">
        <v>0</v>
      </c>
      <c r="BH410" s="1" t="b">
        <v>0</v>
      </c>
      <c r="BI410" s="1">
        <v>77.78</v>
      </c>
      <c r="BJ410" s="1">
        <v>75.0</v>
      </c>
      <c r="BK410" s="1" t="b">
        <v>0</v>
      </c>
      <c r="BL410" s="1" t="b">
        <v>0</v>
      </c>
      <c r="BM410" s="1">
        <v>13.121</v>
      </c>
      <c r="BN410" s="1">
        <v>14.568</v>
      </c>
      <c r="BO410" s="1" t="b">
        <v>0</v>
      </c>
      <c r="BP410" s="1" t="b">
        <v>0</v>
      </c>
      <c r="BQ410" s="1">
        <v>75.0</v>
      </c>
      <c r="BR410" s="1">
        <v>72.027</v>
      </c>
      <c r="BS410" s="1" t="b">
        <v>0</v>
      </c>
      <c r="BT410" s="1" t="b">
        <v>0</v>
      </c>
      <c r="BU410" s="1" t="s">
        <v>105</v>
      </c>
      <c r="BV410" s="1" t="s">
        <v>105</v>
      </c>
      <c r="BW410" s="1" t="s">
        <v>105</v>
      </c>
      <c r="BX410" s="1" t="s">
        <v>105</v>
      </c>
      <c r="BY410" s="1" t="s">
        <v>105</v>
      </c>
      <c r="BZ410" s="1" t="s">
        <v>105</v>
      </c>
      <c r="CA410" s="1" t="s">
        <v>105</v>
      </c>
      <c r="CB410" s="1" t="s">
        <v>105</v>
      </c>
      <c r="CC410" s="1" t="s">
        <v>105</v>
      </c>
      <c r="CD410" s="1" t="s">
        <v>105</v>
      </c>
      <c r="CE410" s="4"/>
      <c r="CF410" s="4"/>
    </row>
    <row r="411" hidden="1">
      <c r="A411" s="1" t="s">
        <v>82</v>
      </c>
      <c r="B411" s="1" t="s">
        <v>116</v>
      </c>
      <c r="C411" s="1">
        <v>27.0</v>
      </c>
      <c r="D411" s="5" t="s">
        <v>1855</v>
      </c>
      <c r="E411" s="1" t="s">
        <v>1856</v>
      </c>
      <c r="F411" s="1">
        <v>68.0</v>
      </c>
      <c r="G411" s="1">
        <v>0.0</v>
      </c>
      <c r="H411" s="1" t="s">
        <v>1857</v>
      </c>
      <c r="I411" s="4" t="b">
        <f>IFERROR(__xludf.DUMMYFUNCTION("IF(H411="""",,REGEXMATCH(H411,""[א-ת]""))"),FALSE)</f>
        <v>0</v>
      </c>
      <c r="J411" s="4"/>
      <c r="K411" s="4"/>
      <c r="L411" s="1">
        <v>0.0</v>
      </c>
      <c r="M411" s="1">
        <v>24.0</v>
      </c>
      <c r="N411" s="1">
        <v>57.35</v>
      </c>
      <c r="O411" s="1">
        <v>0.8433823529</v>
      </c>
      <c r="P411" s="4"/>
      <c r="Q411" s="4"/>
      <c r="R411" s="1" t="s">
        <v>89</v>
      </c>
      <c r="S411" s="1" t="s">
        <v>1856</v>
      </c>
      <c r="T411" s="1" t="s">
        <v>116</v>
      </c>
      <c r="U411" s="1">
        <v>28.0</v>
      </c>
      <c r="V411" s="5" t="s">
        <v>1855</v>
      </c>
      <c r="W411" s="1" t="s">
        <v>1856</v>
      </c>
      <c r="X411" s="1" t="s">
        <v>1858</v>
      </c>
      <c r="Y411" s="4"/>
      <c r="Z411" s="4"/>
      <c r="AA411" s="4" t="b">
        <f>IFERROR(__xludf.DUMMYFUNCTION("IF(X411="""",,REGEXMATCH(X411,""[א-ת]""))"),FALSE)</f>
        <v>0</v>
      </c>
      <c r="AB411" s="1">
        <v>22.87</v>
      </c>
      <c r="AC411" s="1">
        <v>48.53</v>
      </c>
      <c r="AD411" s="1">
        <v>0.577378779461769</v>
      </c>
      <c r="AE411" s="1">
        <v>0.0</v>
      </c>
      <c r="AF411" s="1">
        <v>0.0</v>
      </c>
      <c r="AG411" s="1">
        <v>6.337</v>
      </c>
      <c r="AH411" s="1">
        <v>6.781</v>
      </c>
      <c r="AI411" s="1" t="b">
        <v>0</v>
      </c>
      <c r="AJ411" s="1" t="b">
        <v>0</v>
      </c>
      <c r="AK411" s="1">
        <v>94.182</v>
      </c>
      <c r="AL411" s="1">
        <v>96.508</v>
      </c>
      <c r="AM411" s="1" t="b">
        <v>0</v>
      </c>
      <c r="AN411" s="1" t="b">
        <v>0</v>
      </c>
      <c r="AO411" s="1">
        <v>8.05</v>
      </c>
      <c r="AP411" s="1">
        <v>8.53399999999999</v>
      </c>
      <c r="AQ411" s="1" t="b">
        <v>0</v>
      </c>
      <c r="AR411" s="1" t="b">
        <v>0</v>
      </c>
      <c r="AS411" s="1">
        <v>86.9179999999999</v>
      </c>
      <c r="AT411" s="1">
        <v>87.152</v>
      </c>
      <c r="AU411" s="1" t="b">
        <v>0</v>
      </c>
      <c r="AV411" s="1" t="b">
        <v>0</v>
      </c>
      <c r="AW411" s="1">
        <v>9.61399999999999</v>
      </c>
      <c r="AX411" s="1">
        <v>11.026</v>
      </c>
      <c r="AY411" s="1" t="b">
        <v>0</v>
      </c>
      <c r="AZ411" s="1" t="b">
        <v>0</v>
      </c>
      <c r="BA411" s="1">
        <v>81.25</v>
      </c>
      <c r="BB411" s="1">
        <v>77.78</v>
      </c>
      <c r="BC411" s="1" t="b">
        <v>0</v>
      </c>
      <c r="BD411" s="1" t="b">
        <v>0</v>
      </c>
      <c r="BE411" s="1">
        <v>11.34</v>
      </c>
      <c r="BF411" s="1">
        <v>13.285</v>
      </c>
      <c r="BG411" s="1" t="b">
        <v>0</v>
      </c>
      <c r="BH411" s="1" t="b">
        <v>0</v>
      </c>
      <c r="BI411" s="1">
        <v>77.78</v>
      </c>
      <c r="BJ411" s="1">
        <v>75.0</v>
      </c>
      <c r="BK411" s="1" t="b">
        <v>0</v>
      </c>
      <c r="BL411" s="1" t="b">
        <v>0</v>
      </c>
      <c r="BM411" s="1">
        <v>13.121</v>
      </c>
      <c r="BN411" s="1">
        <v>14.568</v>
      </c>
      <c r="BO411" s="1" t="b">
        <v>0</v>
      </c>
      <c r="BP411" s="1" t="b">
        <v>0</v>
      </c>
      <c r="BQ411" s="1">
        <v>75.0</v>
      </c>
      <c r="BR411" s="1">
        <v>72.027</v>
      </c>
      <c r="BS411" s="1" t="b">
        <v>0</v>
      </c>
      <c r="BT411" s="1" t="b">
        <v>0</v>
      </c>
      <c r="BU411" s="1" t="s">
        <v>105</v>
      </c>
      <c r="BV411" s="1" t="s">
        <v>105</v>
      </c>
      <c r="BW411" s="1" t="s">
        <v>105</v>
      </c>
      <c r="BX411" s="1" t="s">
        <v>105</v>
      </c>
      <c r="BY411" s="1" t="s">
        <v>105</v>
      </c>
      <c r="BZ411" s="1" t="s">
        <v>105</v>
      </c>
      <c r="CA411" s="1" t="s">
        <v>105</v>
      </c>
      <c r="CB411" s="1" t="s">
        <v>105</v>
      </c>
      <c r="CC411" s="1" t="s">
        <v>105</v>
      </c>
      <c r="CD411" s="1" t="s">
        <v>105</v>
      </c>
      <c r="CE411" s="4"/>
      <c r="CF411" s="4"/>
    </row>
    <row r="412" hidden="1">
      <c r="A412" s="1" t="s">
        <v>82</v>
      </c>
      <c r="B412" s="1" t="s">
        <v>123</v>
      </c>
      <c r="C412" s="1">
        <v>25.0</v>
      </c>
      <c r="D412" s="5" t="s">
        <v>1859</v>
      </c>
      <c r="E412" s="1" t="s">
        <v>1860</v>
      </c>
      <c r="F412" s="1">
        <v>26.0</v>
      </c>
      <c r="G412" s="1">
        <v>-0.7096</v>
      </c>
      <c r="H412" s="1" t="s">
        <v>1861</v>
      </c>
      <c r="I412" s="4" t="b">
        <f>IFERROR(__xludf.DUMMYFUNCTION("IF(H412="""",,REGEXMATCH(H412,""[א-ת]""))"),FALSE)</f>
        <v>0</v>
      </c>
      <c r="J412" s="4"/>
      <c r="K412" s="4"/>
      <c r="L412" s="1">
        <v>-0.7177</v>
      </c>
      <c r="M412" s="1">
        <v>24.07</v>
      </c>
      <c r="N412" s="1">
        <v>65.38</v>
      </c>
      <c r="O412" s="1">
        <v>2.514615385</v>
      </c>
      <c r="P412" s="4"/>
      <c r="Q412" s="4"/>
      <c r="R412" s="1" t="s">
        <v>127</v>
      </c>
      <c r="S412" s="1" t="s">
        <v>1860</v>
      </c>
      <c r="T412" s="1" t="s">
        <v>123</v>
      </c>
      <c r="U412" s="1">
        <v>26.0</v>
      </c>
      <c r="V412" s="5" t="s">
        <v>1859</v>
      </c>
      <c r="W412" s="1" t="s">
        <v>1860</v>
      </c>
      <c r="X412" s="1" t="s">
        <v>1862</v>
      </c>
      <c r="Y412" s="4"/>
      <c r="Z412" s="4"/>
      <c r="AA412" s="4" t="b">
        <f>IFERROR(__xludf.DUMMYFUNCTION("IF(X412="""",,REGEXMATCH(X412,""[א-ת]""))"),FALSE)</f>
        <v>0</v>
      </c>
      <c r="AB412" s="1">
        <v>20.79</v>
      </c>
      <c r="AC412" s="1">
        <v>53.85</v>
      </c>
      <c r="AD412" s="1">
        <v>0.499215050889967</v>
      </c>
      <c r="AE412" s="1">
        <v>-0.5635</v>
      </c>
      <c r="AF412" s="1">
        <v>-0.7096</v>
      </c>
      <c r="AG412" s="1">
        <v>6.337</v>
      </c>
      <c r="AH412" s="1">
        <v>6.781</v>
      </c>
      <c r="AI412" s="1" t="b">
        <v>0</v>
      </c>
      <c r="AJ412" s="1" t="b">
        <v>0</v>
      </c>
      <c r="AK412" s="1">
        <v>94.182</v>
      </c>
      <c r="AL412" s="1">
        <v>96.508</v>
      </c>
      <c r="AM412" s="1" t="b">
        <v>0</v>
      </c>
      <c r="AN412" s="1" t="b">
        <v>0</v>
      </c>
      <c r="AO412" s="1">
        <v>8.05</v>
      </c>
      <c r="AP412" s="1">
        <v>8.53399999999999</v>
      </c>
      <c r="AQ412" s="1" t="b">
        <v>0</v>
      </c>
      <c r="AR412" s="1" t="b">
        <v>0</v>
      </c>
      <c r="AS412" s="1">
        <v>86.9179999999999</v>
      </c>
      <c r="AT412" s="1">
        <v>87.152</v>
      </c>
      <c r="AU412" s="1" t="b">
        <v>0</v>
      </c>
      <c r="AV412" s="1" t="b">
        <v>0</v>
      </c>
      <c r="AW412" s="1">
        <v>9.61399999999999</v>
      </c>
      <c r="AX412" s="1">
        <v>11.026</v>
      </c>
      <c r="AY412" s="1" t="b">
        <v>0</v>
      </c>
      <c r="AZ412" s="1" t="b">
        <v>0</v>
      </c>
      <c r="BA412" s="1">
        <v>81.25</v>
      </c>
      <c r="BB412" s="1">
        <v>77.78</v>
      </c>
      <c r="BC412" s="1" t="b">
        <v>0</v>
      </c>
      <c r="BD412" s="1" t="b">
        <v>0</v>
      </c>
      <c r="BE412" s="1">
        <v>11.34</v>
      </c>
      <c r="BF412" s="1">
        <v>13.285</v>
      </c>
      <c r="BG412" s="1" t="b">
        <v>0</v>
      </c>
      <c r="BH412" s="1" t="b">
        <v>0</v>
      </c>
      <c r="BI412" s="1">
        <v>77.78</v>
      </c>
      <c r="BJ412" s="1">
        <v>75.0</v>
      </c>
      <c r="BK412" s="1" t="b">
        <v>0</v>
      </c>
      <c r="BL412" s="1" t="b">
        <v>0</v>
      </c>
      <c r="BM412" s="1">
        <v>13.121</v>
      </c>
      <c r="BN412" s="1">
        <v>14.568</v>
      </c>
      <c r="BO412" s="1" t="b">
        <v>0</v>
      </c>
      <c r="BP412" s="1" t="b">
        <v>0</v>
      </c>
      <c r="BQ412" s="1">
        <v>75.0</v>
      </c>
      <c r="BR412" s="1">
        <v>72.027</v>
      </c>
      <c r="BS412" s="1" t="b">
        <v>0</v>
      </c>
      <c r="BT412" s="1" t="b">
        <v>0</v>
      </c>
      <c r="BU412" s="1" t="s">
        <v>105</v>
      </c>
      <c r="BV412" s="1" t="s">
        <v>105</v>
      </c>
      <c r="BW412" s="1" t="s">
        <v>105</v>
      </c>
      <c r="BX412" s="1" t="s">
        <v>105</v>
      </c>
      <c r="BY412" s="1" t="s">
        <v>105</v>
      </c>
      <c r="BZ412" s="1" t="s">
        <v>105</v>
      </c>
      <c r="CA412" s="1" t="s">
        <v>105</v>
      </c>
      <c r="CB412" s="1" t="s">
        <v>105</v>
      </c>
      <c r="CC412" s="1" t="s">
        <v>105</v>
      </c>
      <c r="CD412" s="1" t="s">
        <v>105</v>
      </c>
      <c r="CE412" s="4"/>
      <c r="CF412" s="4"/>
    </row>
    <row r="413" hidden="1">
      <c r="A413" s="1" t="s">
        <v>82</v>
      </c>
      <c r="B413" s="1" t="s">
        <v>83</v>
      </c>
      <c r="C413" s="1">
        <v>6.0</v>
      </c>
      <c r="D413" s="5" t="s">
        <v>1863</v>
      </c>
      <c r="E413" s="1" t="s">
        <v>1864</v>
      </c>
      <c r="F413" s="1">
        <v>42.0</v>
      </c>
      <c r="G413" s="1">
        <v>0.7701</v>
      </c>
      <c r="H413" s="1" t="s">
        <v>1865</v>
      </c>
      <c r="I413" s="4" t="b">
        <f>IFERROR(__xludf.DUMMYFUNCTION("IF(H413="""",,REGEXMATCH(H413,""[א-ת]""))"),FALSE)</f>
        <v>0</v>
      </c>
      <c r="J413" s="4"/>
      <c r="K413" s="4"/>
      <c r="L413" s="1">
        <v>0.7599</v>
      </c>
      <c r="M413" s="1">
        <v>24.33</v>
      </c>
      <c r="N413" s="1">
        <v>59.52</v>
      </c>
      <c r="O413" s="1">
        <v>1.417142857</v>
      </c>
      <c r="P413" s="4"/>
      <c r="Q413" s="4"/>
      <c r="R413" s="1" t="s">
        <v>89</v>
      </c>
      <c r="S413" s="1" t="s">
        <v>1864</v>
      </c>
      <c r="T413" s="1" t="s">
        <v>83</v>
      </c>
      <c r="U413" s="1">
        <v>7.0</v>
      </c>
      <c r="V413" s="5" t="s">
        <v>1863</v>
      </c>
      <c r="W413" s="1" t="s">
        <v>1864</v>
      </c>
      <c r="X413" s="1" t="s">
        <v>1866</v>
      </c>
      <c r="Y413" s="4"/>
      <c r="Z413" s="4"/>
      <c r="AA413" s="4" t="b">
        <f>IFERROR(__xludf.DUMMYFUNCTION("IF(X413="""",,REGEXMATCH(X413,""[א-ת]""))"),FALSE)</f>
        <v>0</v>
      </c>
      <c r="AB413" s="1">
        <v>33.7</v>
      </c>
      <c r="AC413" s="1">
        <v>42.86</v>
      </c>
      <c r="AD413" s="1">
        <v>0.765735340899014</v>
      </c>
      <c r="AE413" s="1">
        <v>0.7599</v>
      </c>
      <c r="AF413" s="1">
        <v>0.7701</v>
      </c>
      <c r="AG413" s="1">
        <v>6.337</v>
      </c>
      <c r="AH413" s="1">
        <v>6.781</v>
      </c>
      <c r="AI413" s="1" t="b">
        <v>0</v>
      </c>
      <c r="AJ413" s="1" t="b">
        <v>0</v>
      </c>
      <c r="AK413" s="1">
        <v>94.182</v>
      </c>
      <c r="AL413" s="1">
        <v>96.508</v>
      </c>
      <c r="AM413" s="1" t="b">
        <v>0</v>
      </c>
      <c r="AN413" s="1" t="b">
        <v>0</v>
      </c>
      <c r="AO413" s="1">
        <v>8.05</v>
      </c>
      <c r="AP413" s="1">
        <v>8.53399999999999</v>
      </c>
      <c r="AQ413" s="1" t="b">
        <v>0</v>
      </c>
      <c r="AR413" s="1" t="b">
        <v>0</v>
      </c>
      <c r="AS413" s="1">
        <v>86.9179999999999</v>
      </c>
      <c r="AT413" s="1">
        <v>87.152</v>
      </c>
      <c r="AU413" s="1" t="b">
        <v>0</v>
      </c>
      <c r="AV413" s="1" t="b">
        <v>0</v>
      </c>
      <c r="AW413" s="1">
        <v>9.61399999999999</v>
      </c>
      <c r="AX413" s="1">
        <v>11.026</v>
      </c>
      <c r="AY413" s="1" t="b">
        <v>0</v>
      </c>
      <c r="AZ413" s="1" t="b">
        <v>0</v>
      </c>
      <c r="BA413" s="1">
        <v>81.25</v>
      </c>
      <c r="BB413" s="1">
        <v>77.78</v>
      </c>
      <c r="BC413" s="1" t="b">
        <v>0</v>
      </c>
      <c r="BD413" s="1" t="b">
        <v>0</v>
      </c>
      <c r="BE413" s="1">
        <v>11.34</v>
      </c>
      <c r="BF413" s="1">
        <v>13.285</v>
      </c>
      <c r="BG413" s="1" t="b">
        <v>0</v>
      </c>
      <c r="BH413" s="1" t="b">
        <v>0</v>
      </c>
      <c r="BI413" s="1">
        <v>77.78</v>
      </c>
      <c r="BJ413" s="1">
        <v>75.0</v>
      </c>
      <c r="BK413" s="1" t="b">
        <v>0</v>
      </c>
      <c r="BL413" s="1" t="b">
        <v>0</v>
      </c>
      <c r="BM413" s="1">
        <v>13.121</v>
      </c>
      <c r="BN413" s="1">
        <v>14.568</v>
      </c>
      <c r="BO413" s="1" t="b">
        <v>0</v>
      </c>
      <c r="BP413" s="1" t="b">
        <v>0</v>
      </c>
      <c r="BQ413" s="1">
        <v>75.0</v>
      </c>
      <c r="BR413" s="1">
        <v>72.027</v>
      </c>
      <c r="BS413" s="1" t="b">
        <v>0</v>
      </c>
      <c r="BT413" s="1" t="b">
        <v>0</v>
      </c>
      <c r="BU413" s="1" t="s">
        <v>105</v>
      </c>
      <c r="BV413" s="1" t="s">
        <v>105</v>
      </c>
      <c r="BW413" s="1" t="s">
        <v>105</v>
      </c>
      <c r="BX413" s="1" t="s">
        <v>105</v>
      </c>
      <c r="BY413" s="1" t="s">
        <v>105</v>
      </c>
      <c r="BZ413" s="1" t="s">
        <v>105</v>
      </c>
      <c r="CA413" s="1" t="s">
        <v>105</v>
      </c>
      <c r="CB413" s="1" t="s">
        <v>105</v>
      </c>
      <c r="CC413" s="1" t="s">
        <v>105</v>
      </c>
      <c r="CD413" s="1" t="s">
        <v>105</v>
      </c>
      <c r="CE413" s="4"/>
      <c r="CF413" s="4"/>
    </row>
    <row r="414" hidden="1">
      <c r="A414" s="1" t="s">
        <v>82</v>
      </c>
      <c r="B414" s="1" t="s">
        <v>145</v>
      </c>
      <c r="C414" s="1">
        <v>18.0</v>
      </c>
      <c r="D414" s="5" t="s">
        <v>1867</v>
      </c>
      <c r="E414" s="1" t="s">
        <v>1868</v>
      </c>
      <c r="F414" s="1">
        <v>75.0</v>
      </c>
      <c r="G414" s="1">
        <v>0.0</v>
      </c>
      <c r="H414" s="1" t="s">
        <v>1869</v>
      </c>
      <c r="I414" s="4" t="b">
        <f>IFERROR(__xludf.DUMMYFUNCTION("IF(H414="""",,REGEXMATCH(H414,""[א-ת]""))"),FALSE)</f>
        <v>0</v>
      </c>
      <c r="J414" s="4"/>
      <c r="K414" s="4"/>
      <c r="L414" s="1">
        <v>0.0</v>
      </c>
      <c r="M414" s="1">
        <v>24.36</v>
      </c>
      <c r="N414" s="1">
        <v>70.67</v>
      </c>
      <c r="O414" s="1">
        <v>0.9422666667</v>
      </c>
      <c r="P414" s="4"/>
      <c r="Q414" s="4"/>
      <c r="R414" s="1" t="s">
        <v>89</v>
      </c>
      <c r="S414" s="1" t="s">
        <v>1868</v>
      </c>
      <c r="T414" s="1" t="s">
        <v>145</v>
      </c>
      <c r="U414" s="1">
        <v>19.0</v>
      </c>
      <c r="V414" s="5" t="s">
        <v>1867</v>
      </c>
      <c r="W414" s="1" t="s">
        <v>1868</v>
      </c>
      <c r="X414" s="1" t="s">
        <v>1870</v>
      </c>
      <c r="Y414" s="4"/>
      <c r="Z414" s="4"/>
      <c r="AA414" s="4" t="b">
        <f>IFERROR(__xludf.DUMMYFUNCTION("IF(X414="""",,REGEXMATCH(X414,""[א-ת]""))"),FALSE)</f>
        <v>0</v>
      </c>
      <c r="AB414" s="1">
        <v>26.27</v>
      </c>
      <c r="AC414" s="1">
        <v>52.0</v>
      </c>
      <c r="AD414" s="1">
        <v>0.863121060058045</v>
      </c>
      <c r="AE414" s="1">
        <v>0.0</v>
      </c>
      <c r="AF414" s="1">
        <v>0.0</v>
      </c>
      <c r="AG414" s="1">
        <v>6.337</v>
      </c>
      <c r="AH414" s="1">
        <v>6.781</v>
      </c>
      <c r="AI414" s="1" t="b">
        <v>0</v>
      </c>
      <c r="AJ414" s="1" t="b">
        <v>0</v>
      </c>
      <c r="AK414" s="1">
        <v>94.182</v>
      </c>
      <c r="AL414" s="1">
        <v>96.508</v>
      </c>
      <c r="AM414" s="1" t="b">
        <v>0</v>
      </c>
      <c r="AN414" s="1" t="b">
        <v>0</v>
      </c>
      <c r="AO414" s="1">
        <v>8.05</v>
      </c>
      <c r="AP414" s="1">
        <v>8.53399999999999</v>
      </c>
      <c r="AQ414" s="1" t="b">
        <v>0</v>
      </c>
      <c r="AR414" s="1" t="b">
        <v>0</v>
      </c>
      <c r="AS414" s="1">
        <v>86.9179999999999</v>
      </c>
      <c r="AT414" s="1">
        <v>87.152</v>
      </c>
      <c r="AU414" s="1" t="b">
        <v>0</v>
      </c>
      <c r="AV414" s="1" t="b">
        <v>0</v>
      </c>
      <c r="AW414" s="1">
        <v>9.61399999999999</v>
      </c>
      <c r="AX414" s="1">
        <v>11.026</v>
      </c>
      <c r="AY414" s="1" t="b">
        <v>0</v>
      </c>
      <c r="AZ414" s="1" t="b">
        <v>0</v>
      </c>
      <c r="BA414" s="1">
        <v>81.25</v>
      </c>
      <c r="BB414" s="1">
        <v>77.78</v>
      </c>
      <c r="BC414" s="1" t="b">
        <v>0</v>
      </c>
      <c r="BD414" s="1" t="b">
        <v>0</v>
      </c>
      <c r="BE414" s="1">
        <v>11.34</v>
      </c>
      <c r="BF414" s="1">
        <v>13.285</v>
      </c>
      <c r="BG414" s="1" t="b">
        <v>0</v>
      </c>
      <c r="BH414" s="1" t="b">
        <v>0</v>
      </c>
      <c r="BI414" s="1">
        <v>77.78</v>
      </c>
      <c r="BJ414" s="1">
        <v>75.0</v>
      </c>
      <c r="BK414" s="1" t="b">
        <v>0</v>
      </c>
      <c r="BL414" s="1" t="b">
        <v>0</v>
      </c>
      <c r="BM414" s="1">
        <v>13.121</v>
      </c>
      <c r="BN414" s="1">
        <v>14.568</v>
      </c>
      <c r="BO414" s="1" t="b">
        <v>0</v>
      </c>
      <c r="BP414" s="1" t="b">
        <v>0</v>
      </c>
      <c r="BQ414" s="1">
        <v>75.0</v>
      </c>
      <c r="BR414" s="1">
        <v>72.027</v>
      </c>
      <c r="BS414" s="1" t="b">
        <v>0</v>
      </c>
      <c r="BT414" s="1" t="b">
        <v>0</v>
      </c>
      <c r="BU414" s="1" t="s">
        <v>105</v>
      </c>
      <c r="BV414" s="1" t="s">
        <v>105</v>
      </c>
      <c r="BW414" s="1" t="s">
        <v>105</v>
      </c>
      <c r="BX414" s="1" t="s">
        <v>105</v>
      </c>
      <c r="BY414" s="1" t="s">
        <v>105</v>
      </c>
      <c r="BZ414" s="1" t="s">
        <v>105</v>
      </c>
      <c r="CA414" s="1" t="s">
        <v>105</v>
      </c>
      <c r="CB414" s="1" t="s">
        <v>105</v>
      </c>
      <c r="CC414" s="1" t="s">
        <v>105</v>
      </c>
      <c r="CD414" s="1" t="s">
        <v>105</v>
      </c>
      <c r="CE414" s="4"/>
      <c r="CF414" s="4"/>
    </row>
    <row r="415" hidden="1">
      <c r="A415" s="1" t="s">
        <v>82</v>
      </c>
      <c r="B415" s="1" t="s">
        <v>333</v>
      </c>
      <c r="C415" s="1">
        <v>0.0</v>
      </c>
      <c r="D415" s="5" t="s">
        <v>1871</v>
      </c>
      <c r="E415" s="1" t="s">
        <v>1872</v>
      </c>
      <c r="F415" s="1">
        <v>45.0</v>
      </c>
      <c r="G415" s="1">
        <v>-0.4404</v>
      </c>
      <c r="H415" s="1" t="s">
        <v>1873</v>
      </c>
      <c r="I415" s="4" t="b">
        <f>IFERROR(__xludf.DUMMYFUNCTION("IF(H415="""",,REGEXMATCH(H415,""[א-ת]""))"),FALSE)</f>
        <v>0</v>
      </c>
      <c r="J415" s="1" t="s">
        <v>1874</v>
      </c>
      <c r="K415" s="4"/>
      <c r="L415" s="1">
        <v>-0.5707</v>
      </c>
      <c r="M415" s="1">
        <v>24.56</v>
      </c>
      <c r="N415" s="1">
        <v>53.33</v>
      </c>
      <c r="O415" s="1">
        <v>1.185111111</v>
      </c>
      <c r="P415" s="4"/>
      <c r="Q415" s="4"/>
      <c r="R415" s="1" t="s">
        <v>89</v>
      </c>
      <c r="S415" s="1" t="s">
        <v>1872</v>
      </c>
      <c r="T415" s="1" t="s">
        <v>333</v>
      </c>
      <c r="U415" s="1">
        <v>1.0</v>
      </c>
      <c r="V415" s="5" t="s">
        <v>1871</v>
      </c>
      <c r="W415" s="1" t="s">
        <v>1872</v>
      </c>
      <c r="X415" s="1" t="s">
        <v>1875</v>
      </c>
      <c r="Y415" s="4"/>
      <c r="Z415" s="4"/>
      <c r="AA415" s="4" t="b">
        <f>IFERROR(__xludf.DUMMYFUNCTION("IF(X415="""",,REGEXMATCH(X415,""[א-ת]""))"),FALSE)</f>
        <v>0</v>
      </c>
      <c r="AB415" s="1">
        <v>19.23</v>
      </c>
      <c r="AC415" s="1">
        <v>64.44</v>
      </c>
      <c r="AD415" s="1">
        <v>0.470933586701921</v>
      </c>
      <c r="AE415" s="1">
        <v>-0.5562</v>
      </c>
      <c r="AF415" s="1">
        <v>-0.4404</v>
      </c>
      <c r="AG415" s="1">
        <v>6.337</v>
      </c>
      <c r="AH415" s="1">
        <v>6.781</v>
      </c>
      <c r="AI415" s="1" t="b">
        <v>0</v>
      </c>
      <c r="AJ415" s="1" t="b">
        <v>0</v>
      </c>
      <c r="AK415" s="1">
        <v>94.182</v>
      </c>
      <c r="AL415" s="1">
        <v>96.508</v>
      </c>
      <c r="AM415" s="1" t="b">
        <v>0</v>
      </c>
      <c r="AN415" s="1" t="b">
        <v>0</v>
      </c>
      <c r="AO415" s="1">
        <v>8.05</v>
      </c>
      <c r="AP415" s="1">
        <v>8.53399999999999</v>
      </c>
      <c r="AQ415" s="1" t="b">
        <v>0</v>
      </c>
      <c r="AR415" s="1" t="b">
        <v>0</v>
      </c>
      <c r="AS415" s="1">
        <v>86.9179999999999</v>
      </c>
      <c r="AT415" s="1">
        <v>87.152</v>
      </c>
      <c r="AU415" s="1" t="b">
        <v>0</v>
      </c>
      <c r="AV415" s="1" t="b">
        <v>0</v>
      </c>
      <c r="AW415" s="1">
        <v>9.61399999999999</v>
      </c>
      <c r="AX415" s="1">
        <v>11.026</v>
      </c>
      <c r="AY415" s="1" t="b">
        <v>0</v>
      </c>
      <c r="AZ415" s="1" t="b">
        <v>0</v>
      </c>
      <c r="BA415" s="1">
        <v>81.25</v>
      </c>
      <c r="BB415" s="1">
        <v>77.78</v>
      </c>
      <c r="BC415" s="1" t="b">
        <v>0</v>
      </c>
      <c r="BD415" s="1" t="b">
        <v>0</v>
      </c>
      <c r="BE415" s="1">
        <v>11.34</v>
      </c>
      <c r="BF415" s="1">
        <v>13.285</v>
      </c>
      <c r="BG415" s="1" t="b">
        <v>0</v>
      </c>
      <c r="BH415" s="1" t="b">
        <v>0</v>
      </c>
      <c r="BI415" s="1">
        <v>77.78</v>
      </c>
      <c r="BJ415" s="1">
        <v>75.0</v>
      </c>
      <c r="BK415" s="1" t="b">
        <v>0</v>
      </c>
      <c r="BL415" s="1" t="b">
        <v>0</v>
      </c>
      <c r="BM415" s="1">
        <v>13.121</v>
      </c>
      <c r="BN415" s="1">
        <v>14.568</v>
      </c>
      <c r="BO415" s="1" t="b">
        <v>0</v>
      </c>
      <c r="BP415" s="1" t="b">
        <v>0</v>
      </c>
      <c r="BQ415" s="1">
        <v>75.0</v>
      </c>
      <c r="BR415" s="1">
        <v>72.027</v>
      </c>
      <c r="BS415" s="1" t="b">
        <v>0</v>
      </c>
      <c r="BT415" s="1" t="b">
        <v>0</v>
      </c>
      <c r="BU415" s="1" t="s">
        <v>105</v>
      </c>
      <c r="BV415" s="1" t="s">
        <v>105</v>
      </c>
      <c r="BW415" s="1" t="s">
        <v>105</v>
      </c>
      <c r="BX415" s="1" t="s">
        <v>105</v>
      </c>
      <c r="BY415" s="1" t="s">
        <v>105</v>
      </c>
      <c r="BZ415" s="1" t="s">
        <v>105</v>
      </c>
      <c r="CA415" s="1" t="s">
        <v>105</v>
      </c>
      <c r="CB415" s="1" t="s">
        <v>105</v>
      </c>
      <c r="CC415" s="1" t="s">
        <v>105</v>
      </c>
      <c r="CD415" s="1" t="s">
        <v>105</v>
      </c>
      <c r="CE415" s="4"/>
      <c r="CF415" s="4"/>
    </row>
    <row r="416" hidden="1">
      <c r="A416" s="1" t="s">
        <v>82</v>
      </c>
      <c r="B416" s="1" t="s">
        <v>139</v>
      </c>
      <c r="C416" s="1">
        <v>13.0</v>
      </c>
      <c r="D416" s="5" t="s">
        <v>1876</v>
      </c>
      <c r="E416" s="1" t="s">
        <v>1877</v>
      </c>
      <c r="F416" s="1">
        <v>15.0</v>
      </c>
      <c r="G416" s="1">
        <v>-0.3818</v>
      </c>
      <c r="H416" s="1" t="s">
        <v>1878</v>
      </c>
      <c r="I416" s="4" t="b">
        <f>IFERROR(__xludf.DUMMYFUNCTION("IF(H416="""",,REGEXMATCH(H416,""[א-ת]""))"),FALSE)</f>
        <v>0</v>
      </c>
      <c r="J416" s="4"/>
      <c r="K416" s="4"/>
      <c r="L416" s="1">
        <v>-0.3818</v>
      </c>
      <c r="M416" s="1">
        <v>24.62</v>
      </c>
      <c r="N416" s="1">
        <v>66.67</v>
      </c>
      <c r="O416" s="1">
        <v>4.444666667</v>
      </c>
      <c r="P416" s="4"/>
      <c r="Q416" s="4"/>
      <c r="R416" s="1" t="s">
        <v>96</v>
      </c>
      <c r="S416" s="1" t="s">
        <v>1877</v>
      </c>
      <c r="T416" s="1" t="s">
        <v>139</v>
      </c>
      <c r="U416" s="1">
        <v>14.0</v>
      </c>
      <c r="V416" s="5" t="s">
        <v>1876</v>
      </c>
      <c r="W416" s="1" t="s">
        <v>1877</v>
      </c>
      <c r="X416" s="1" t="s">
        <v>1879</v>
      </c>
      <c r="Y416" s="4"/>
      <c r="Z416" s="4"/>
      <c r="AA416" s="4" t="b">
        <f>IFERROR(__xludf.DUMMYFUNCTION("IF(X416="""",,REGEXMATCH(X416,""[א-ת]""))"),FALSE)</f>
        <v>0</v>
      </c>
      <c r="AB416" s="1">
        <v>33.49</v>
      </c>
      <c r="AC416" s="1">
        <v>46.67</v>
      </c>
      <c r="AD416" s="1">
        <v>0.769924257342547</v>
      </c>
      <c r="AE416" s="1">
        <v>-0.3612</v>
      </c>
      <c r="AF416" s="1">
        <v>-0.3818</v>
      </c>
      <c r="AG416" s="1">
        <v>6.337</v>
      </c>
      <c r="AH416" s="1">
        <v>6.781</v>
      </c>
      <c r="AI416" s="1" t="b">
        <v>0</v>
      </c>
      <c r="AJ416" s="1" t="b">
        <v>0</v>
      </c>
      <c r="AK416" s="1">
        <v>94.182</v>
      </c>
      <c r="AL416" s="1">
        <v>96.508</v>
      </c>
      <c r="AM416" s="1" t="b">
        <v>0</v>
      </c>
      <c r="AN416" s="1" t="b">
        <v>0</v>
      </c>
      <c r="AO416" s="1">
        <v>8.05</v>
      </c>
      <c r="AP416" s="1">
        <v>8.53399999999999</v>
      </c>
      <c r="AQ416" s="1" t="b">
        <v>0</v>
      </c>
      <c r="AR416" s="1" t="b">
        <v>0</v>
      </c>
      <c r="AS416" s="1">
        <v>86.9179999999999</v>
      </c>
      <c r="AT416" s="1">
        <v>87.152</v>
      </c>
      <c r="AU416" s="1" t="b">
        <v>0</v>
      </c>
      <c r="AV416" s="1" t="b">
        <v>0</v>
      </c>
      <c r="AW416" s="1">
        <v>9.61399999999999</v>
      </c>
      <c r="AX416" s="1">
        <v>11.026</v>
      </c>
      <c r="AY416" s="1" t="b">
        <v>0</v>
      </c>
      <c r="AZ416" s="1" t="b">
        <v>0</v>
      </c>
      <c r="BA416" s="1">
        <v>81.25</v>
      </c>
      <c r="BB416" s="1">
        <v>77.78</v>
      </c>
      <c r="BC416" s="1" t="b">
        <v>0</v>
      </c>
      <c r="BD416" s="1" t="b">
        <v>0</v>
      </c>
      <c r="BE416" s="1">
        <v>11.34</v>
      </c>
      <c r="BF416" s="1">
        <v>13.285</v>
      </c>
      <c r="BG416" s="1" t="b">
        <v>0</v>
      </c>
      <c r="BH416" s="1" t="b">
        <v>0</v>
      </c>
      <c r="BI416" s="1">
        <v>77.78</v>
      </c>
      <c r="BJ416" s="1">
        <v>75.0</v>
      </c>
      <c r="BK416" s="1" t="b">
        <v>0</v>
      </c>
      <c r="BL416" s="1" t="b">
        <v>0</v>
      </c>
      <c r="BM416" s="1">
        <v>13.121</v>
      </c>
      <c r="BN416" s="1">
        <v>14.568</v>
      </c>
      <c r="BO416" s="1" t="b">
        <v>0</v>
      </c>
      <c r="BP416" s="1" t="b">
        <v>0</v>
      </c>
      <c r="BQ416" s="1">
        <v>75.0</v>
      </c>
      <c r="BR416" s="1">
        <v>72.027</v>
      </c>
      <c r="BS416" s="1" t="b">
        <v>0</v>
      </c>
      <c r="BT416" s="1" t="b">
        <v>0</v>
      </c>
      <c r="BU416" s="1" t="s">
        <v>105</v>
      </c>
      <c r="BV416" s="1" t="s">
        <v>105</v>
      </c>
      <c r="BW416" s="1" t="s">
        <v>105</v>
      </c>
      <c r="BX416" s="1" t="s">
        <v>105</v>
      </c>
      <c r="BY416" s="1" t="s">
        <v>105</v>
      </c>
      <c r="BZ416" s="1" t="s">
        <v>105</v>
      </c>
      <c r="CA416" s="1" t="s">
        <v>105</v>
      </c>
      <c r="CB416" s="1" t="s">
        <v>105</v>
      </c>
      <c r="CC416" s="1" t="s">
        <v>105</v>
      </c>
      <c r="CD416" s="1" t="s">
        <v>105</v>
      </c>
      <c r="CE416" s="4"/>
      <c r="CF416" s="4"/>
    </row>
    <row r="417" hidden="1">
      <c r="A417" s="1" t="s">
        <v>82</v>
      </c>
      <c r="B417" s="1" t="s">
        <v>251</v>
      </c>
      <c r="C417" s="1">
        <v>26.0</v>
      </c>
      <c r="D417" s="5" t="s">
        <v>1880</v>
      </c>
      <c r="E417" s="1" t="s">
        <v>1881</v>
      </c>
      <c r="F417" s="1">
        <v>20.0</v>
      </c>
      <c r="G417" s="1">
        <v>0.0</v>
      </c>
      <c r="H417" s="1" t="s">
        <v>1882</v>
      </c>
      <c r="I417" s="4" t="b">
        <f>IFERROR(__xludf.DUMMYFUNCTION("IF(H417="""",,REGEXMATCH(H417,""[א-ת]""))"),FALSE)</f>
        <v>0</v>
      </c>
      <c r="J417" s="4"/>
      <c r="K417" s="4"/>
      <c r="L417" s="1">
        <v>0.0</v>
      </c>
      <c r="M417" s="1">
        <v>24.65</v>
      </c>
      <c r="N417" s="1">
        <v>45.0</v>
      </c>
      <c r="O417" s="1">
        <v>2.25</v>
      </c>
      <c r="P417" s="4"/>
      <c r="Q417" s="4"/>
      <c r="R417" s="1" t="s">
        <v>89</v>
      </c>
      <c r="S417" s="1" t="s">
        <v>1881</v>
      </c>
      <c r="T417" s="1" t="s">
        <v>251</v>
      </c>
      <c r="U417" s="1">
        <v>27.0</v>
      </c>
      <c r="V417" s="5" t="s">
        <v>1880</v>
      </c>
      <c r="W417" s="1" t="s">
        <v>1881</v>
      </c>
      <c r="X417" s="1" t="s">
        <v>1883</v>
      </c>
      <c r="Y417" s="4"/>
      <c r="Z417" s="4"/>
      <c r="AA417" s="4" t="b">
        <f>IFERROR(__xludf.DUMMYFUNCTION("IF(X417="""",,REGEXMATCH(X417,""[א-ת]""))"),FALSE)</f>
        <v>0</v>
      </c>
      <c r="AB417" s="1">
        <v>22.54</v>
      </c>
      <c r="AC417" s="1">
        <v>45.0</v>
      </c>
      <c r="AD417" s="1">
        <v>0.210426942981994</v>
      </c>
      <c r="AE417" s="1">
        <v>0.0</v>
      </c>
      <c r="AF417" s="1">
        <v>0.0</v>
      </c>
      <c r="AG417" s="1">
        <v>6.337</v>
      </c>
      <c r="AH417" s="1">
        <v>6.781</v>
      </c>
      <c r="AI417" s="1" t="b">
        <v>0</v>
      </c>
      <c r="AJ417" s="1" t="b">
        <v>0</v>
      </c>
      <c r="AK417" s="1">
        <v>94.182</v>
      </c>
      <c r="AL417" s="1">
        <v>96.508</v>
      </c>
      <c r="AM417" s="1" t="b">
        <v>0</v>
      </c>
      <c r="AN417" s="1" t="b">
        <v>0</v>
      </c>
      <c r="AO417" s="1">
        <v>8.05</v>
      </c>
      <c r="AP417" s="1">
        <v>8.53399999999999</v>
      </c>
      <c r="AQ417" s="1" t="b">
        <v>0</v>
      </c>
      <c r="AR417" s="1" t="b">
        <v>0</v>
      </c>
      <c r="AS417" s="1">
        <v>86.9179999999999</v>
      </c>
      <c r="AT417" s="1">
        <v>87.152</v>
      </c>
      <c r="AU417" s="1" t="b">
        <v>0</v>
      </c>
      <c r="AV417" s="1" t="b">
        <v>0</v>
      </c>
      <c r="AW417" s="1">
        <v>9.61399999999999</v>
      </c>
      <c r="AX417" s="1">
        <v>11.026</v>
      </c>
      <c r="AY417" s="1" t="b">
        <v>0</v>
      </c>
      <c r="AZ417" s="1" t="b">
        <v>0</v>
      </c>
      <c r="BA417" s="1">
        <v>81.25</v>
      </c>
      <c r="BB417" s="1">
        <v>77.78</v>
      </c>
      <c r="BC417" s="1" t="b">
        <v>0</v>
      </c>
      <c r="BD417" s="1" t="b">
        <v>0</v>
      </c>
      <c r="BE417" s="1">
        <v>11.34</v>
      </c>
      <c r="BF417" s="1">
        <v>13.285</v>
      </c>
      <c r="BG417" s="1" t="b">
        <v>0</v>
      </c>
      <c r="BH417" s="1" t="b">
        <v>0</v>
      </c>
      <c r="BI417" s="1">
        <v>77.78</v>
      </c>
      <c r="BJ417" s="1">
        <v>75.0</v>
      </c>
      <c r="BK417" s="1" t="b">
        <v>0</v>
      </c>
      <c r="BL417" s="1" t="b">
        <v>0</v>
      </c>
      <c r="BM417" s="1">
        <v>13.121</v>
      </c>
      <c r="BN417" s="1">
        <v>14.568</v>
      </c>
      <c r="BO417" s="1" t="b">
        <v>0</v>
      </c>
      <c r="BP417" s="1" t="b">
        <v>0</v>
      </c>
      <c r="BQ417" s="1">
        <v>75.0</v>
      </c>
      <c r="BR417" s="1">
        <v>72.027</v>
      </c>
      <c r="BS417" s="1" t="b">
        <v>0</v>
      </c>
      <c r="BT417" s="1" t="b">
        <v>0</v>
      </c>
      <c r="BU417" s="1" t="s">
        <v>105</v>
      </c>
      <c r="BV417" s="1" t="s">
        <v>105</v>
      </c>
      <c r="BW417" s="1" t="s">
        <v>105</v>
      </c>
      <c r="BX417" s="1" t="s">
        <v>105</v>
      </c>
      <c r="BY417" s="1" t="s">
        <v>105</v>
      </c>
      <c r="BZ417" s="1" t="s">
        <v>105</v>
      </c>
      <c r="CA417" s="1" t="s">
        <v>105</v>
      </c>
      <c r="CB417" s="1" t="s">
        <v>105</v>
      </c>
      <c r="CC417" s="1" t="s">
        <v>105</v>
      </c>
      <c r="CD417" s="1" t="s">
        <v>105</v>
      </c>
      <c r="CE417" s="4"/>
      <c r="CF417" s="4"/>
    </row>
    <row r="418" hidden="1">
      <c r="A418" s="1" t="s">
        <v>82</v>
      </c>
      <c r="B418" s="1" t="s">
        <v>167</v>
      </c>
      <c r="C418" s="1">
        <v>3.0</v>
      </c>
      <c r="D418" s="5" t="s">
        <v>1884</v>
      </c>
      <c r="E418" s="1" t="s">
        <v>1885</v>
      </c>
      <c r="F418" s="1">
        <v>35.0</v>
      </c>
      <c r="G418" s="1">
        <v>0.2023</v>
      </c>
      <c r="H418" s="1" t="s">
        <v>1886</v>
      </c>
      <c r="I418" s="4" t="b">
        <f>IFERROR(__xludf.DUMMYFUNCTION("IF(H418="""",,REGEXMATCH(H418,""[א-ת]""))"),FALSE)</f>
        <v>0</v>
      </c>
      <c r="J418" s="4"/>
      <c r="K418" s="4"/>
      <c r="L418" s="1">
        <v>-0.0485</v>
      </c>
      <c r="M418" s="1">
        <v>24.79</v>
      </c>
      <c r="N418" s="1">
        <v>57.14</v>
      </c>
      <c r="O418" s="1">
        <v>1.632571429</v>
      </c>
      <c r="P418" s="4"/>
      <c r="Q418" s="4"/>
      <c r="R418" s="1" t="s">
        <v>127</v>
      </c>
      <c r="S418" s="1" t="s">
        <v>1885</v>
      </c>
      <c r="T418" s="1" t="s">
        <v>167</v>
      </c>
      <c r="U418" s="1">
        <v>4.0</v>
      </c>
      <c r="V418" s="5" t="s">
        <v>1884</v>
      </c>
      <c r="W418" s="1" t="s">
        <v>1885</v>
      </c>
      <c r="X418" s="1" t="s">
        <v>1887</v>
      </c>
      <c r="Y418" s="4"/>
      <c r="Z418" s="4"/>
      <c r="AA418" s="4" t="b">
        <f>IFERROR(__xludf.DUMMYFUNCTION("IF(X418="""",,REGEXMATCH(X418,""[א-ת]""))"),FALSE)</f>
        <v>0</v>
      </c>
      <c r="AB418" s="1">
        <v>19.12</v>
      </c>
      <c r="AC418" s="1">
        <v>65.71</v>
      </c>
      <c r="AD418" s="1">
        <v>0.527852469071544</v>
      </c>
      <c r="AE418" s="1">
        <v>0.1779</v>
      </c>
      <c r="AF418" s="1">
        <v>0.2023</v>
      </c>
      <c r="AG418" s="1">
        <v>6.337</v>
      </c>
      <c r="AH418" s="1">
        <v>6.781</v>
      </c>
      <c r="AI418" s="1" t="b">
        <v>0</v>
      </c>
      <c r="AJ418" s="1" t="b">
        <v>0</v>
      </c>
      <c r="AK418" s="1">
        <v>94.182</v>
      </c>
      <c r="AL418" s="1">
        <v>96.508</v>
      </c>
      <c r="AM418" s="1" t="b">
        <v>0</v>
      </c>
      <c r="AN418" s="1" t="b">
        <v>0</v>
      </c>
      <c r="AO418" s="1">
        <v>8.05</v>
      </c>
      <c r="AP418" s="1">
        <v>8.53399999999999</v>
      </c>
      <c r="AQ418" s="1" t="b">
        <v>0</v>
      </c>
      <c r="AR418" s="1" t="b">
        <v>0</v>
      </c>
      <c r="AS418" s="1">
        <v>86.9179999999999</v>
      </c>
      <c r="AT418" s="1">
        <v>87.152</v>
      </c>
      <c r="AU418" s="1" t="b">
        <v>0</v>
      </c>
      <c r="AV418" s="1" t="b">
        <v>0</v>
      </c>
      <c r="AW418" s="1">
        <v>9.61399999999999</v>
      </c>
      <c r="AX418" s="1">
        <v>11.026</v>
      </c>
      <c r="AY418" s="1" t="b">
        <v>0</v>
      </c>
      <c r="AZ418" s="1" t="b">
        <v>0</v>
      </c>
      <c r="BA418" s="1">
        <v>81.25</v>
      </c>
      <c r="BB418" s="1">
        <v>77.78</v>
      </c>
      <c r="BC418" s="1" t="b">
        <v>0</v>
      </c>
      <c r="BD418" s="1" t="b">
        <v>0</v>
      </c>
      <c r="BE418" s="1">
        <v>11.34</v>
      </c>
      <c r="BF418" s="1">
        <v>13.285</v>
      </c>
      <c r="BG418" s="1" t="b">
        <v>0</v>
      </c>
      <c r="BH418" s="1" t="b">
        <v>0</v>
      </c>
      <c r="BI418" s="1">
        <v>77.78</v>
      </c>
      <c r="BJ418" s="1">
        <v>75.0</v>
      </c>
      <c r="BK418" s="1" t="b">
        <v>0</v>
      </c>
      <c r="BL418" s="1" t="b">
        <v>0</v>
      </c>
      <c r="BM418" s="1">
        <v>13.121</v>
      </c>
      <c r="BN418" s="1">
        <v>14.568</v>
      </c>
      <c r="BO418" s="1" t="b">
        <v>0</v>
      </c>
      <c r="BP418" s="1" t="b">
        <v>0</v>
      </c>
      <c r="BQ418" s="1">
        <v>75.0</v>
      </c>
      <c r="BR418" s="1">
        <v>72.027</v>
      </c>
      <c r="BS418" s="1" t="b">
        <v>0</v>
      </c>
      <c r="BT418" s="1" t="b">
        <v>0</v>
      </c>
      <c r="BU418" s="1" t="s">
        <v>105</v>
      </c>
      <c r="BV418" s="1" t="s">
        <v>105</v>
      </c>
      <c r="BW418" s="1" t="s">
        <v>105</v>
      </c>
      <c r="BX418" s="1" t="s">
        <v>105</v>
      </c>
      <c r="BY418" s="1" t="s">
        <v>105</v>
      </c>
      <c r="BZ418" s="1" t="s">
        <v>105</v>
      </c>
      <c r="CA418" s="1" t="s">
        <v>105</v>
      </c>
      <c r="CB418" s="1" t="s">
        <v>105</v>
      </c>
      <c r="CC418" s="1" t="s">
        <v>105</v>
      </c>
      <c r="CD418" s="1" t="s">
        <v>105</v>
      </c>
      <c r="CE418" s="4"/>
      <c r="CF418" s="4"/>
    </row>
    <row r="419" hidden="1">
      <c r="A419" s="1" t="s">
        <v>82</v>
      </c>
      <c r="B419" s="1" t="s">
        <v>262</v>
      </c>
      <c r="C419" s="1">
        <v>6.0</v>
      </c>
      <c r="D419" s="5" t="s">
        <v>1888</v>
      </c>
      <c r="E419" s="1" t="s">
        <v>1889</v>
      </c>
      <c r="F419" s="1">
        <v>80.0</v>
      </c>
      <c r="G419" s="1">
        <v>0.4767</v>
      </c>
      <c r="H419" s="1" t="s">
        <v>1890</v>
      </c>
      <c r="I419" s="4" t="b">
        <f>IFERROR(__xludf.DUMMYFUNCTION("IF(H419="""",,REGEXMATCH(H419,""[א-ת]""))"),FALSE)</f>
        <v>0</v>
      </c>
      <c r="J419" s="4"/>
      <c r="K419" s="4"/>
      <c r="L419" s="1">
        <v>-0.7574</v>
      </c>
      <c r="M419" s="1">
        <v>24.85</v>
      </c>
      <c r="N419" s="1">
        <v>58.75</v>
      </c>
      <c r="O419" s="1">
        <v>0.734375</v>
      </c>
      <c r="P419" s="4"/>
      <c r="Q419" s="4"/>
      <c r="R419" s="1" t="s">
        <v>96</v>
      </c>
      <c r="S419" s="1" t="s">
        <v>1889</v>
      </c>
      <c r="T419" s="1" t="s">
        <v>262</v>
      </c>
      <c r="U419" s="1">
        <v>7.0</v>
      </c>
      <c r="V419" s="5" t="s">
        <v>1888</v>
      </c>
      <c r="W419" s="1" t="s">
        <v>1889</v>
      </c>
      <c r="X419" s="1" t="s">
        <v>1891</v>
      </c>
      <c r="Y419" s="4"/>
      <c r="Z419" s="4"/>
      <c r="AA419" s="4" t="b">
        <f>IFERROR(__xludf.DUMMYFUNCTION("IF(X419="""",,REGEXMATCH(X419,""[א-ת]""))"),FALSE)</f>
        <v>0</v>
      </c>
      <c r="AB419" s="1">
        <v>27.39</v>
      </c>
      <c r="AC419" s="1">
        <v>51.25</v>
      </c>
      <c r="AD419" s="1">
        <v>0.662429730237874</v>
      </c>
      <c r="AE419" s="1">
        <v>-0.7345</v>
      </c>
      <c r="AF419" s="1">
        <v>0.4767</v>
      </c>
      <c r="AG419" s="1">
        <v>6.337</v>
      </c>
      <c r="AH419" s="1">
        <v>6.781</v>
      </c>
      <c r="AI419" s="1" t="b">
        <v>0</v>
      </c>
      <c r="AJ419" s="1" t="b">
        <v>0</v>
      </c>
      <c r="AK419" s="1">
        <v>94.182</v>
      </c>
      <c r="AL419" s="1">
        <v>96.508</v>
      </c>
      <c r="AM419" s="1" t="b">
        <v>0</v>
      </c>
      <c r="AN419" s="1" t="b">
        <v>0</v>
      </c>
      <c r="AO419" s="1">
        <v>8.05</v>
      </c>
      <c r="AP419" s="1">
        <v>8.53399999999999</v>
      </c>
      <c r="AQ419" s="1" t="b">
        <v>0</v>
      </c>
      <c r="AR419" s="1" t="b">
        <v>0</v>
      </c>
      <c r="AS419" s="1">
        <v>86.9179999999999</v>
      </c>
      <c r="AT419" s="1">
        <v>87.152</v>
      </c>
      <c r="AU419" s="1" t="b">
        <v>0</v>
      </c>
      <c r="AV419" s="1" t="b">
        <v>0</v>
      </c>
      <c r="AW419" s="1">
        <v>9.61399999999999</v>
      </c>
      <c r="AX419" s="1">
        <v>11.026</v>
      </c>
      <c r="AY419" s="1" t="b">
        <v>0</v>
      </c>
      <c r="AZ419" s="1" t="b">
        <v>0</v>
      </c>
      <c r="BA419" s="1">
        <v>81.25</v>
      </c>
      <c r="BB419" s="1">
        <v>77.78</v>
      </c>
      <c r="BC419" s="1" t="b">
        <v>0</v>
      </c>
      <c r="BD419" s="1" t="b">
        <v>0</v>
      </c>
      <c r="BE419" s="1">
        <v>11.34</v>
      </c>
      <c r="BF419" s="1">
        <v>13.285</v>
      </c>
      <c r="BG419" s="1" t="b">
        <v>0</v>
      </c>
      <c r="BH419" s="1" t="b">
        <v>0</v>
      </c>
      <c r="BI419" s="1">
        <v>77.78</v>
      </c>
      <c r="BJ419" s="1">
        <v>75.0</v>
      </c>
      <c r="BK419" s="1" t="b">
        <v>0</v>
      </c>
      <c r="BL419" s="1" t="b">
        <v>0</v>
      </c>
      <c r="BM419" s="1">
        <v>13.121</v>
      </c>
      <c r="BN419" s="1">
        <v>14.568</v>
      </c>
      <c r="BO419" s="1" t="b">
        <v>0</v>
      </c>
      <c r="BP419" s="1" t="b">
        <v>0</v>
      </c>
      <c r="BQ419" s="1">
        <v>75.0</v>
      </c>
      <c r="BR419" s="1">
        <v>72.027</v>
      </c>
      <c r="BS419" s="1" t="b">
        <v>0</v>
      </c>
      <c r="BT419" s="1" t="b">
        <v>0</v>
      </c>
      <c r="BU419" s="1" t="s">
        <v>105</v>
      </c>
      <c r="BV419" s="1" t="s">
        <v>105</v>
      </c>
      <c r="BW419" s="1" t="s">
        <v>105</v>
      </c>
      <c r="BX419" s="1" t="s">
        <v>105</v>
      </c>
      <c r="BY419" s="1" t="s">
        <v>105</v>
      </c>
      <c r="BZ419" s="1" t="s">
        <v>105</v>
      </c>
      <c r="CA419" s="1" t="s">
        <v>105</v>
      </c>
      <c r="CB419" s="1" t="s">
        <v>105</v>
      </c>
      <c r="CC419" s="1" t="s">
        <v>105</v>
      </c>
      <c r="CD419" s="1" t="s">
        <v>105</v>
      </c>
      <c r="CE419" s="4"/>
      <c r="CF419" s="4"/>
    </row>
    <row r="420" hidden="1">
      <c r="A420" s="1" t="s">
        <v>82</v>
      </c>
      <c r="B420" s="1" t="s">
        <v>98</v>
      </c>
      <c r="C420" s="1">
        <v>4.0</v>
      </c>
      <c r="D420" s="5" t="s">
        <v>1892</v>
      </c>
      <c r="E420" s="1" t="s">
        <v>1893</v>
      </c>
      <c r="F420" s="1">
        <v>55.0</v>
      </c>
      <c r="G420" s="1">
        <v>0.1779</v>
      </c>
      <c r="H420" s="1" t="s">
        <v>1894</v>
      </c>
      <c r="I420" s="4" t="b">
        <f>IFERROR(__xludf.DUMMYFUNCTION("IF(H420="""",,REGEXMATCH(H420,""[א-ת]""))"),FALSE)</f>
        <v>0</v>
      </c>
      <c r="J420" s="1" t="s">
        <v>1895</v>
      </c>
      <c r="K420" s="1" t="s">
        <v>1896</v>
      </c>
      <c r="L420" s="1">
        <v>0.128</v>
      </c>
      <c r="M420" s="1">
        <v>24.97</v>
      </c>
      <c r="N420" s="1">
        <v>60.0</v>
      </c>
      <c r="O420" s="1">
        <v>1.090909091</v>
      </c>
      <c r="P420" s="4"/>
      <c r="Q420" s="4"/>
      <c r="R420" s="1" t="s">
        <v>89</v>
      </c>
      <c r="S420" s="1" t="s">
        <v>1893</v>
      </c>
      <c r="T420" s="1" t="s">
        <v>98</v>
      </c>
      <c r="U420" s="1">
        <v>5.0</v>
      </c>
      <c r="V420" s="5" t="s">
        <v>1892</v>
      </c>
      <c r="W420" s="1" t="s">
        <v>1893</v>
      </c>
      <c r="X420" s="1" t="s">
        <v>1897</v>
      </c>
      <c r="Y420" s="4"/>
      <c r="Z420" s="4"/>
      <c r="AA420" s="4" t="b">
        <f>IFERROR(__xludf.DUMMYFUNCTION("IF(X420="""",,REGEXMATCH(X420,""[א-ת]""))"),FALSE)</f>
        <v>0</v>
      </c>
      <c r="AB420" s="1">
        <v>17.81</v>
      </c>
      <c r="AC420" s="1">
        <v>67.27</v>
      </c>
      <c r="AD420" s="1">
        <v>0.389778759631071</v>
      </c>
      <c r="AE420" s="1">
        <v>0.0</v>
      </c>
      <c r="AF420" s="1">
        <v>0.1779</v>
      </c>
      <c r="AG420" s="1">
        <v>6.337</v>
      </c>
      <c r="AH420" s="1">
        <v>6.781</v>
      </c>
      <c r="AI420" s="1" t="b">
        <v>0</v>
      </c>
      <c r="AJ420" s="1" t="b">
        <v>0</v>
      </c>
      <c r="AK420" s="1">
        <v>94.182</v>
      </c>
      <c r="AL420" s="1">
        <v>96.508</v>
      </c>
      <c r="AM420" s="1" t="b">
        <v>0</v>
      </c>
      <c r="AN420" s="1" t="b">
        <v>0</v>
      </c>
      <c r="AO420" s="1">
        <v>8.05</v>
      </c>
      <c r="AP420" s="1">
        <v>8.53399999999999</v>
      </c>
      <c r="AQ420" s="1" t="b">
        <v>0</v>
      </c>
      <c r="AR420" s="1" t="b">
        <v>0</v>
      </c>
      <c r="AS420" s="1">
        <v>86.9179999999999</v>
      </c>
      <c r="AT420" s="1">
        <v>87.152</v>
      </c>
      <c r="AU420" s="1" t="b">
        <v>0</v>
      </c>
      <c r="AV420" s="1" t="b">
        <v>0</v>
      </c>
      <c r="AW420" s="1">
        <v>9.61399999999999</v>
      </c>
      <c r="AX420" s="1">
        <v>11.026</v>
      </c>
      <c r="AY420" s="1" t="b">
        <v>0</v>
      </c>
      <c r="AZ420" s="1" t="b">
        <v>0</v>
      </c>
      <c r="BA420" s="1">
        <v>81.25</v>
      </c>
      <c r="BB420" s="1">
        <v>77.78</v>
      </c>
      <c r="BC420" s="1" t="b">
        <v>0</v>
      </c>
      <c r="BD420" s="1" t="b">
        <v>0</v>
      </c>
      <c r="BE420" s="1">
        <v>11.34</v>
      </c>
      <c r="BF420" s="1">
        <v>13.285</v>
      </c>
      <c r="BG420" s="1" t="b">
        <v>0</v>
      </c>
      <c r="BH420" s="1" t="b">
        <v>0</v>
      </c>
      <c r="BI420" s="1">
        <v>77.78</v>
      </c>
      <c r="BJ420" s="1">
        <v>75.0</v>
      </c>
      <c r="BK420" s="1" t="b">
        <v>0</v>
      </c>
      <c r="BL420" s="1" t="b">
        <v>0</v>
      </c>
      <c r="BM420" s="1">
        <v>13.121</v>
      </c>
      <c r="BN420" s="1">
        <v>14.568</v>
      </c>
      <c r="BO420" s="1" t="b">
        <v>0</v>
      </c>
      <c r="BP420" s="1" t="b">
        <v>0</v>
      </c>
      <c r="BQ420" s="1">
        <v>75.0</v>
      </c>
      <c r="BR420" s="1">
        <v>72.027</v>
      </c>
      <c r="BS420" s="1" t="b">
        <v>0</v>
      </c>
      <c r="BT420" s="1" t="b">
        <v>0</v>
      </c>
      <c r="BU420" s="1" t="s">
        <v>105</v>
      </c>
      <c r="BV420" s="1" t="s">
        <v>105</v>
      </c>
      <c r="BW420" s="1" t="s">
        <v>105</v>
      </c>
      <c r="BX420" s="1" t="s">
        <v>105</v>
      </c>
      <c r="BY420" s="1" t="s">
        <v>105</v>
      </c>
      <c r="BZ420" s="1" t="s">
        <v>105</v>
      </c>
      <c r="CA420" s="1" t="s">
        <v>105</v>
      </c>
      <c r="CB420" s="1" t="s">
        <v>105</v>
      </c>
      <c r="CC420" s="1" t="s">
        <v>105</v>
      </c>
      <c r="CD420" s="1" t="s">
        <v>105</v>
      </c>
      <c r="CE420" s="4"/>
      <c r="CF420" s="4"/>
    </row>
    <row r="421" hidden="1">
      <c r="A421" s="1" t="s">
        <v>82</v>
      </c>
      <c r="B421" s="1" t="s">
        <v>83</v>
      </c>
      <c r="C421" s="1">
        <v>26.0</v>
      </c>
      <c r="D421" s="5" t="s">
        <v>1898</v>
      </c>
      <c r="E421" s="1" t="s">
        <v>1899</v>
      </c>
      <c r="F421" s="1">
        <v>31.0</v>
      </c>
      <c r="G421" s="1">
        <v>0.0</v>
      </c>
      <c r="H421" s="1" t="s">
        <v>1900</v>
      </c>
      <c r="I421" s="4" t="b">
        <f>IFERROR(__xludf.DUMMYFUNCTION("IF(H421="""",,REGEXMATCH(H421,""[א-ת]""))"),FALSE)</f>
        <v>0</v>
      </c>
      <c r="J421" s="4"/>
      <c r="K421" s="4"/>
      <c r="L421" s="1">
        <v>0.0</v>
      </c>
      <c r="M421" s="1">
        <v>25.01</v>
      </c>
      <c r="N421" s="1">
        <v>61.29</v>
      </c>
      <c r="O421" s="1">
        <v>1.977096774</v>
      </c>
      <c r="P421" s="4"/>
      <c r="Q421" s="4"/>
      <c r="R421" s="1" t="s">
        <v>89</v>
      </c>
      <c r="S421" s="1" t="s">
        <v>1899</v>
      </c>
      <c r="T421" s="1" t="s">
        <v>83</v>
      </c>
      <c r="U421" s="1">
        <v>27.0</v>
      </c>
      <c r="V421" s="5" t="s">
        <v>1898</v>
      </c>
      <c r="W421" s="1" t="s">
        <v>1899</v>
      </c>
      <c r="X421" s="1" t="s">
        <v>1901</v>
      </c>
      <c r="Y421" s="4"/>
      <c r="Z421" s="4"/>
      <c r="AA421" s="4" t="b">
        <f>IFERROR(__xludf.DUMMYFUNCTION("IF(X421="""",,REGEXMATCH(X421,""[א-ת]""))"),FALSE)</f>
        <v>0</v>
      </c>
      <c r="AB421" s="1">
        <v>31.8</v>
      </c>
      <c r="AC421" s="1">
        <v>38.71</v>
      </c>
      <c r="AD421" s="1">
        <v>0.573042792994831</v>
      </c>
      <c r="AE421" s="1">
        <v>0.0</v>
      </c>
      <c r="AF421" s="1">
        <v>0.0</v>
      </c>
      <c r="AG421" s="1">
        <v>6.337</v>
      </c>
      <c r="AH421" s="1">
        <v>6.781</v>
      </c>
      <c r="AI421" s="1" t="b">
        <v>0</v>
      </c>
      <c r="AJ421" s="1" t="b">
        <v>0</v>
      </c>
      <c r="AK421" s="1">
        <v>94.182</v>
      </c>
      <c r="AL421" s="1">
        <v>96.508</v>
      </c>
      <c r="AM421" s="1" t="b">
        <v>0</v>
      </c>
      <c r="AN421" s="1" t="b">
        <v>0</v>
      </c>
      <c r="AO421" s="1">
        <v>8.05</v>
      </c>
      <c r="AP421" s="1">
        <v>8.53399999999999</v>
      </c>
      <c r="AQ421" s="1" t="b">
        <v>0</v>
      </c>
      <c r="AR421" s="1" t="b">
        <v>0</v>
      </c>
      <c r="AS421" s="1">
        <v>86.9179999999999</v>
      </c>
      <c r="AT421" s="1">
        <v>87.152</v>
      </c>
      <c r="AU421" s="1" t="b">
        <v>0</v>
      </c>
      <c r="AV421" s="1" t="b">
        <v>0</v>
      </c>
      <c r="AW421" s="1">
        <v>9.61399999999999</v>
      </c>
      <c r="AX421" s="1">
        <v>11.026</v>
      </c>
      <c r="AY421" s="1" t="b">
        <v>0</v>
      </c>
      <c r="AZ421" s="1" t="b">
        <v>0</v>
      </c>
      <c r="BA421" s="1">
        <v>81.25</v>
      </c>
      <c r="BB421" s="1">
        <v>77.78</v>
      </c>
      <c r="BC421" s="1" t="b">
        <v>0</v>
      </c>
      <c r="BD421" s="1" t="b">
        <v>0</v>
      </c>
      <c r="BE421" s="1">
        <v>11.34</v>
      </c>
      <c r="BF421" s="1">
        <v>13.285</v>
      </c>
      <c r="BG421" s="1" t="b">
        <v>0</v>
      </c>
      <c r="BH421" s="1" t="b">
        <v>0</v>
      </c>
      <c r="BI421" s="1">
        <v>77.78</v>
      </c>
      <c r="BJ421" s="1">
        <v>75.0</v>
      </c>
      <c r="BK421" s="1" t="b">
        <v>0</v>
      </c>
      <c r="BL421" s="1" t="b">
        <v>0</v>
      </c>
      <c r="BM421" s="1">
        <v>13.121</v>
      </c>
      <c r="BN421" s="1">
        <v>14.568</v>
      </c>
      <c r="BO421" s="1" t="b">
        <v>0</v>
      </c>
      <c r="BP421" s="1" t="b">
        <v>0</v>
      </c>
      <c r="BQ421" s="1">
        <v>75.0</v>
      </c>
      <c r="BR421" s="1">
        <v>72.027</v>
      </c>
      <c r="BS421" s="1" t="b">
        <v>0</v>
      </c>
      <c r="BT421" s="1" t="b">
        <v>0</v>
      </c>
      <c r="BU421" s="1" t="s">
        <v>105</v>
      </c>
      <c r="BV421" s="1" t="s">
        <v>105</v>
      </c>
      <c r="BW421" s="1" t="s">
        <v>105</v>
      </c>
      <c r="BX421" s="1" t="s">
        <v>105</v>
      </c>
      <c r="BY421" s="1" t="s">
        <v>105</v>
      </c>
      <c r="BZ421" s="1" t="s">
        <v>105</v>
      </c>
      <c r="CA421" s="1" t="s">
        <v>105</v>
      </c>
      <c r="CB421" s="1" t="s">
        <v>105</v>
      </c>
      <c r="CC421" s="1" t="s">
        <v>105</v>
      </c>
      <c r="CD421" s="1" t="s">
        <v>105</v>
      </c>
      <c r="CE421" s="4"/>
      <c r="CF421" s="4"/>
    </row>
    <row r="422" hidden="1">
      <c r="A422" s="1" t="s">
        <v>82</v>
      </c>
      <c r="B422" s="1" t="s">
        <v>167</v>
      </c>
      <c r="C422" s="1">
        <v>4.0</v>
      </c>
      <c r="D422" s="5" t="s">
        <v>1902</v>
      </c>
      <c r="E422" s="1" t="s">
        <v>1903</v>
      </c>
      <c r="F422" s="1">
        <v>46.0</v>
      </c>
      <c r="G422" s="1">
        <v>-0.25</v>
      </c>
      <c r="H422" s="1" t="s">
        <v>1904</v>
      </c>
      <c r="I422" s="4" t="b">
        <f>IFERROR(__xludf.DUMMYFUNCTION("IF(H422="""",,REGEXMATCH(H422,""[א-ת]""))"),FALSE)</f>
        <v>0</v>
      </c>
      <c r="J422" s="4"/>
      <c r="K422" s="4"/>
      <c r="L422" s="1">
        <v>-0.4404</v>
      </c>
      <c r="M422" s="1">
        <v>25.19</v>
      </c>
      <c r="N422" s="1">
        <v>63.04</v>
      </c>
      <c r="O422" s="1">
        <v>1.370434783</v>
      </c>
      <c r="P422" s="4"/>
      <c r="Q422" s="4"/>
      <c r="R422" s="1" t="s">
        <v>127</v>
      </c>
      <c r="S422" s="1" t="s">
        <v>1903</v>
      </c>
      <c r="T422" s="1" t="s">
        <v>167</v>
      </c>
      <c r="U422" s="1">
        <v>5.0</v>
      </c>
      <c r="V422" s="5" t="s">
        <v>1902</v>
      </c>
      <c r="W422" s="1" t="s">
        <v>1903</v>
      </c>
      <c r="X422" s="1" t="s">
        <v>1905</v>
      </c>
      <c r="Y422" s="4"/>
      <c r="Z422" s="4"/>
      <c r="AA422" s="4" t="b">
        <f>IFERROR(__xludf.DUMMYFUNCTION("IF(X422="""",,REGEXMATCH(X422,""[א-ת]""))"),FALSE)</f>
        <v>0</v>
      </c>
      <c r="AB422" s="1">
        <v>19.49</v>
      </c>
      <c r="AC422" s="1">
        <v>58.7</v>
      </c>
      <c r="AD422" s="1">
        <v>0.528997172274538</v>
      </c>
      <c r="AE422" s="1">
        <v>-0.25</v>
      </c>
      <c r="AF422" s="1">
        <v>-0.25</v>
      </c>
      <c r="AG422" s="1">
        <v>6.337</v>
      </c>
      <c r="AH422" s="1">
        <v>6.781</v>
      </c>
      <c r="AI422" s="1" t="b">
        <v>0</v>
      </c>
      <c r="AJ422" s="1" t="b">
        <v>0</v>
      </c>
      <c r="AK422" s="1">
        <v>94.182</v>
      </c>
      <c r="AL422" s="1">
        <v>96.508</v>
      </c>
      <c r="AM422" s="1" t="b">
        <v>0</v>
      </c>
      <c r="AN422" s="1" t="b">
        <v>0</v>
      </c>
      <c r="AO422" s="1">
        <v>8.05</v>
      </c>
      <c r="AP422" s="1">
        <v>8.53399999999999</v>
      </c>
      <c r="AQ422" s="1" t="b">
        <v>0</v>
      </c>
      <c r="AR422" s="1" t="b">
        <v>0</v>
      </c>
      <c r="AS422" s="1">
        <v>86.9179999999999</v>
      </c>
      <c r="AT422" s="1">
        <v>87.152</v>
      </c>
      <c r="AU422" s="1" t="b">
        <v>0</v>
      </c>
      <c r="AV422" s="1" t="b">
        <v>0</v>
      </c>
      <c r="AW422" s="1">
        <v>9.61399999999999</v>
      </c>
      <c r="AX422" s="1">
        <v>11.026</v>
      </c>
      <c r="AY422" s="1" t="b">
        <v>0</v>
      </c>
      <c r="AZ422" s="1" t="b">
        <v>0</v>
      </c>
      <c r="BA422" s="1">
        <v>81.25</v>
      </c>
      <c r="BB422" s="1">
        <v>77.78</v>
      </c>
      <c r="BC422" s="1" t="b">
        <v>0</v>
      </c>
      <c r="BD422" s="1" t="b">
        <v>0</v>
      </c>
      <c r="BE422" s="1">
        <v>11.34</v>
      </c>
      <c r="BF422" s="1">
        <v>13.285</v>
      </c>
      <c r="BG422" s="1" t="b">
        <v>0</v>
      </c>
      <c r="BH422" s="1" t="b">
        <v>0</v>
      </c>
      <c r="BI422" s="1">
        <v>77.78</v>
      </c>
      <c r="BJ422" s="1">
        <v>75.0</v>
      </c>
      <c r="BK422" s="1" t="b">
        <v>0</v>
      </c>
      <c r="BL422" s="1" t="b">
        <v>0</v>
      </c>
      <c r="BM422" s="1">
        <v>13.121</v>
      </c>
      <c r="BN422" s="1">
        <v>14.568</v>
      </c>
      <c r="BO422" s="1" t="b">
        <v>0</v>
      </c>
      <c r="BP422" s="1" t="b">
        <v>0</v>
      </c>
      <c r="BQ422" s="1">
        <v>75.0</v>
      </c>
      <c r="BR422" s="1">
        <v>72.027</v>
      </c>
      <c r="BS422" s="1" t="b">
        <v>0</v>
      </c>
      <c r="BT422" s="1" t="b">
        <v>0</v>
      </c>
      <c r="BU422" s="1" t="s">
        <v>105</v>
      </c>
      <c r="BV422" s="1" t="s">
        <v>105</v>
      </c>
      <c r="BW422" s="1" t="s">
        <v>105</v>
      </c>
      <c r="BX422" s="1" t="s">
        <v>105</v>
      </c>
      <c r="BY422" s="1" t="s">
        <v>105</v>
      </c>
      <c r="BZ422" s="1" t="s">
        <v>105</v>
      </c>
      <c r="CA422" s="1" t="s">
        <v>105</v>
      </c>
      <c r="CB422" s="1" t="s">
        <v>105</v>
      </c>
      <c r="CC422" s="1" t="s">
        <v>105</v>
      </c>
      <c r="CD422" s="1" t="s">
        <v>105</v>
      </c>
      <c r="CE422" s="4"/>
      <c r="CF422" s="4"/>
    </row>
    <row r="423" hidden="1">
      <c r="A423" s="1" t="s">
        <v>82</v>
      </c>
      <c r="B423" s="1" t="s">
        <v>251</v>
      </c>
      <c r="C423" s="1">
        <v>16.0</v>
      </c>
      <c r="D423" s="5" t="s">
        <v>1906</v>
      </c>
      <c r="E423" s="1" t="s">
        <v>1907</v>
      </c>
      <c r="F423" s="1">
        <v>16.0</v>
      </c>
      <c r="G423" s="1">
        <v>0.0</v>
      </c>
      <c r="H423" s="1" t="s">
        <v>1908</v>
      </c>
      <c r="I423" s="4" t="b">
        <f>IFERROR(__xludf.DUMMYFUNCTION("IF(H423="""",,REGEXMATCH(H423,""[א-ת]""))"),FALSE)</f>
        <v>0</v>
      </c>
      <c r="J423" s="4"/>
      <c r="K423" s="4"/>
      <c r="L423" s="1">
        <v>-0.25</v>
      </c>
      <c r="M423" s="1">
        <v>25.25</v>
      </c>
      <c r="N423" s="1">
        <v>81.25</v>
      </c>
      <c r="O423" s="1">
        <v>5.078125</v>
      </c>
      <c r="P423" s="4"/>
      <c r="Q423" s="4"/>
      <c r="R423" s="1" t="s">
        <v>89</v>
      </c>
      <c r="S423" s="1" t="s">
        <v>1907</v>
      </c>
      <c r="T423" s="1" t="s">
        <v>251</v>
      </c>
      <c r="U423" s="1">
        <v>17.0</v>
      </c>
      <c r="V423" s="5" t="s">
        <v>1906</v>
      </c>
      <c r="W423" s="1" t="s">
        <v>1907</v>
      </c>
      <c r="X423" s="1" t="s">
        <v>1909</v>
      </c>
      <c r="Y423" s="4"/>
      <c r="Z423" s="4"/>
      <c r="AA423" s="4" t="b">
        <f>IFERROR(__xludf.DUMMYFUNCTION("IF(X423="""",,REGEXMATCH(X423,""[א-ת]""))"),FALSE)</f>
        <v>0</v>
      </c>
      <c r="AB423" s="1">
        <v>15.85</v>
      </c>
      <c r="AC423" s="1">
        <v>100.0</v>
      </c>
      <c r="AD423" s="1">
        <v>0.281153955446401</v>
      </c>
      <c r="AE423" s="1">
        <v>0.0</v>
      </c>
      <c r="AF423" s="1">
        <v>0.0</v>
      </c>
      <c r="AG423" s="1">
        <v>6.337</v>
      </c>
      <c r="AH423" s="1">
        <v>6.781</v>
      </c>
      <c r="AI423" s="1" t="b">
        <v>0</v>
      </c>
      <c r="AJ423" s="1" t="b">
        <v>0</v>
      </c>
      <c r="AK423" s="1">
        <v>94.182</v>
      </c>
      <c r="AL423" s="1">
        <v>96.508</v>
      </c>
      <c r="AM423" s="1" t="b">
        <v>0</v>
      </c>
      <c r="AN423" s="1" t="b">
        <v>1</v>
      </c>
      <c r="AO423" s="1">
        <v>8.05</v>
      </c>
      <c r="AP423" s="1">
        <v>8.53399999999999</v>
      </c>
      <c r="AQ423" s="1" t="b">
        <v>0</v>
      </c>
      <c r="AR423" s="1" t="b">
        <v>0</v>
      </c>
      <c r="AS423" s="1">
        <v>86.9179999999999</v>
      </c>
      <c r="AT423" s="1">
        <v>87.152</v>
      </c>
      <c r="AU423" s="1" t="b">
        <v>0</v>
      </c>
      <c r="AV423" s="1" t="b">
        <v>1</v>
      </c>
      <c r="AW423" s="1">
        <v>9.61399999999999</v>
      </c>
      <c r="AX423" s="1">
        <v>11.026</v>
      </c>
      <c r="AY423" s="1" t="b">
        <v>0</v>
      </c>
      <c r="AZ423" s="1" t="b">
        <v>0</v>
      </c>
      <c r="BA423" s="1">
        <v>81.25</v>
      </c>
      <c r="BB423" s="1">
        <v>77.78</v>
      </c>
      <c r="BC423" s="1" t="b">
        <v>1</v>
      </c>
      <c r="BD423" s="1" t="b">
        <v>1</v>
      </c>
      <c r="BE423" s="1">
        <v>11.34</v>
      </c>
      <c r="BF423" s="1">
        <v>13.285</v>
      </c>
      <c r="BG423" s="1" t="b">
        <v>0</v>
      </c>
      <c r="BH423" s="1" t="b">
        <v>0</v>
      </c>
      <c r="BI423" s="1">
        <v>77.78</v>
      </c>
      <c r="BJ423" s="1">
        <v>75.0</v>
      </c>
      <c r="BK423" s="1" t="b">
        <v>1</v>
      </c>
      <c r="BL423" s="1" t="b">
        <v>1</v>
      </c>
      <c r="BM423" s="1">
        <v>13.121</v>
      </c>
      <c r="BN423" s="1">
        <v>14.568</v>
      </c>
      <c r="BO423" s="1" t="b">
        <v>0</v>
      </c>
      <c r="BP423" s="1" t="b">
        <v>0</v>
      </c>
      <c r="BQ423" s="1">
        <v>75.0</v>
      </c>
      <c r="BR423" s="1">
        <v>72.027</v>
      </c>
      <c r="BS423" s="1" t="b">
        <v>1</v>
      </c>
      <c r="BT423" s="1" t="b">
        <v>1</v>
      </c>
      <c r="BU423" s="1" t="s">
        <v>105</v>
      </c>
      <c r="BV423" s="1" t="s">
        <v>157</v>
      </c>
      <c r="BW423" s="1" t="s">
        <v>105</v>
      </c>
      <c r="BX423" s="1" t="s">
        <v>157</v>
      </c>
      <c r="BY423" s="1" t="s">
        <v>105</v>
      </c>
      <c r="BZ423" s="1" t="s">
        <v>104</v>
      </c>
      <c r="CA423" s="1" t="s">
        <v>105</v>
      </c>
      <c r="CB423" s="1" t="s">
        <v>104</v>
      </c>
      <c r="CC423" s="1" t="s">
        <v>105</v>
      </c>
      <c r="CD423" s="1" t="s">
        <v>104</v>
      </c>
      <c r="CE423" s="4"/>
      <c r="CF423" s="4"/>
    </row>
    <row r="424" hidden="1">
      <c r="A424" s="1" t="s">
        <v>82</v>
      </c>
      <c r="B424" s="1" t="s">
        <v>111</v>
      </c>
      <c r="C424" s="1">
        <v>29.0</v>
      </c>
      <c r="D424" s="5" t="s">
        <v>1910</v>
      </c>
      <c r="E424" s="1" t="s">
        <v>1911</v>
      </c>
      <c r="F424" s="1">
        <v>10.0</v>
      </c>
      <c r="G424" s="1">
        <v>0.0</v>
      </c>
      <c r="H424" s="1" t="s">
        <v>1912</v>
      </c>
      <c r="I424" s="4" t="b">
        <f>IFERROR(__xludf.DUMMYFUNCTION("IF(H424="""",,REGEXMATCH(H424,""[א-ת]""))"),FALSE)</f>
        <v>0</v>
      </c>
      <c r="J424" s="4"/>
      <c r="K424" s="4"/>
      <c r="L424" s="1">
        <v>0.0</v>
      </c>
      <c r="M424" s="1">
        <v>25.27</v>
      </c>
      <c r="N424" s="1">
        <v>50.0</v>
      </c>
      <c r="O424" s="1">
        <v>5.0</v>
      </c>
      <c r="P424" s="4"/>
      <c r="Q424" s="4"/>
      <c r="R424" s="1" t="s">
        <v>89</v>
      </c>
      <c r="S424" s="1" t="s">
        <v>1911</v>
      </c>
      <c r="T424" s="1" t="s">
        <v>111</v>
      </c>
      <c r="U424" s="1">
        <v>30.0</v>
      </c>
      <c r="V424" s="5" t="s">
        <v>1910</v>
      </c>
      <c r="W424" s="1" t="s">
        <v>1911</v>
      </c>
      <c r="X424" s="1" t="s">
        <v>1913</v>
      </c>
      <c r="Y424" s="4"/>
      <c r="Z424" s="4"/>
      <c r="AA424" s="4" t="b">
        <f>IFERROR(__xludf.DUMMYFUNCTION("IF(X424="""",,REGEXMATCH(X424,""[א-ת]""))"),FALSE)</f>
        <v>0</v>
      </c>
      <c r="AB424" s="1">
        <v>26.2</v>
      </c>
      <c r="AC424" s="1">
        <v>60.0</v>
      </c>
      <c r="AD424" s="1">
        <v>0.281662876352235</v>
      </c>
      <c r="AE424" s="1">
        <v>0.0</v>
      </c>
      <c r="AF424" s="1">
        <v>0.0</v>
      </c>
      <c r="AG424" s="1">
        <v>6.337</v>
      </c>
      <c r="AH424" s="1">
        <v>6.781</v>
      </c>
      <c r="AI424" s="1" t="b">
        <v>0</v>
      </c>
      <c r="AJ424" s="1" t="b">
        <v>0</v>
      </c>
      <c r="AK424" s="1">
        <v>94.182</v>
      </c>
      <c r="AL424" s="1">
        <v>96.508</v>
      </c>
      <c r="AM424" s="1" t="b">
        <v>0</v>
      </c>
      <c r="AN424" s="1" t="b">
        <v>0</v>
      </c>
      <c r="AO424" s="1">
        <v>8.05</v>
      </c>
      <c r="AP424" s="1">
        <v>8.53399999999999</v>
      </c>
      <c r="AQ424" s="1" t="b">
        <v>0</v>
      </c>
      <c r="AR424" s="1" t="b">
        <v>0</v>
      </c>
      <c r="AS424" s="1">
        <v>86.9179999999999</v>
      </c>
      <c r="AT424" s="1">
        <v>87.152</v>
      </c>
      <c r="AU424" s="1" t="b">
        <v>0</v>
      </c>
      <c r="AV424" s="1" t="b">
        <v>0</v>
      </c>
      <c r="AW424" s="1">
        <v>9.61399999999999</v>
      </c>
      <c r="AX424" s="1">
        <v>11.026</v>
      </c>
      <c r="AY424" s="1" t="b">
        <v>0</v>
      </c>
      <c r="AZ424" s="1" t="b">
        <v>0</v>
      </c>
      <c r="BA424" s="1">
        <v>81.25</v>
      </c>
      <c r="BB424" s="1">
        <v>77.78</v>
      </c>
      <c r="BC424" s="1" t="b">
        <v>0</v>
      </c>
      <c r="BD424" s="1" t="b">
        <v>0</v>
      </c>
      <c r="BE424" s="1">
        <v>11.34</v>
      </c>
      <c r="BF424" s="1">
        <v>13.285</v>
      </c>
      <c r="BG424" s="1" t="b">
        <v>0</v>
      </c>
      <c r="BH424" s="1" t="b">
        <v>0</v>
      </c>
      <c r="BI424" s="1">
        <v>77.78</v>
      </c>
      <c r="BJ424" s="1">
        <v>75.0</v>
      </c>
      <c r="BK424" s="1" t="b">
        <v>0</v>
      </c>
      <c r="BL424" s="1" t="b">
        <v>0</v>
      </c>
      <c r="BM424" s="1">
        <v>13.121</v>
      </c>
      <c r="BN424" s="1">
        <v>14.568</v>
      </c>
      <c r="BO424" s="1" t="b">
        <v>0</v>
      </c>
      <c r="BP424" s="1" t="b">
        <v>0</v>
      </c>
      <c r="BQ424" s="1">
        <v>75.0</v>
      </c>
      <c r="BR424" s="1">
        <v>72.027</v>
      </c>
      <c r="BS424" s="1" t="b">
        <v>0</v>
      </c>
      <c r="BT424" s="1" t="b">
        <v>0</v>
      </c>
      <c r="BU424" s="1" t="s">
        <v>105</v>
      </c>
      <c r="BV424" s="1" t="s">
        <v>105</v>
      </c>
      <c r="BW424" s="1" t="s">
        <v>105</v>
      </c>
      <c r="BX424" s="1" t="s">
        <v>105</v>
      </c>
      <c r="BY424" s="1" t="s">
        <v>105</v>
      </c>
      <c r="BZ424" s="1" t="s">
        <v>105</v>
      </c>
      <c r="CA424" s="1" t="s">
        <v>105</v>
      </c>
      <c r="CB424" s="1" t="s">
        <v>105</v>
      </c>
      <c r="CC424" s="1" t="s">
        <v>105</v>
      </c>
      <c r="CD424" s="1" t="s">
        <v>105</v>
      </c>
      <c r="CE424" s="4"/>
      <c r="CF424" s="4"/>
    </row>
    <row r="425" hidden="1">
      <c r="A425" s="1" t="s">
        <v>82</v>
      </c>
      <c r="B425" s="1" t="s">
        <v>524</v>
      </c>
      <c r="C425" s="1">
        <v>7.0</v>
      </c>
      <c r="D425" s="5" t="s">
        <v>1914</v>
      </c>
      <c r="E425" s="1" t="s">
        <v>1915</v>
      </c>
      <c r="F425" s="1">
        <v>63.0</v>
      </c>
      <c r="G425" s="1">
        <v>0.0</v>
      </c>
      <c r="H425" s="1" t="s">
        <v>1916</v>
      </c>
      <c r="I425" s="4" t="b">
        <f>IFERROR(__xludf.DUMMYFUNCTION("IF(H425="""",,REGEXMATCH(H425,""[א-ת]""))"),FALSE)</f>
        <v>0</v>
      </c>
      <c r="J425" s="4"/>
      <c r="K425" s="4"/>
      <c r="L425" s="1">
        <v>0.3612</v>
      </c>
      <c r="M425" s="1">
        <v>25.3</v>
      </c>
      <c r="N425" s="1">
        <v>52.38</v>
      </c>
      <c r="O425" s="1">
        <v>0.8314285714</v>
      </c>
      <c r="P425" s="4"/>
      <c r="Q425" s="4"/>
      <c r="R425" s="1" t="s">
        <v>89</v>
      </c>
      <c r="S425" s="1" t="s">
        <v>1915</v>
      </c>
      <c r="T425" s="1" t="s">
        <v>524</v>
      </c>
      <c r="U425" s="1">
        <v>8.0</v>
      </c>
      <c r="V425" s="5" t="s">
        <v>1914</v>
      </c>
      <c r="W425" s="1" t="s">
        <v>1915</v>
      </c>
      <c r="X425" s="1" t="s">
        <v>1917</v>
      </c>
      <c r="Y425" s="4"/>
      <c r="Z425" s="4"/>
      <c r="AA425" s="4" t="b">
        <f>IFERROR(__xludf.DUMMYFUNCTION("IF(X425="""",,REGEXMATCH(X425,""[א-ת]""))"),FALSE)</f>
        <v>0</v>
      </c>
      <c r="AB425" s="1">
        <v>26.98</v>
      </c>
      <c r="AC425" s="1">
        <v>50.79</v>
      </c>
      <c r="AD425" s="1">
        <v>0.618060612516898</v>
      </c>
      <c r="AE425" s="1">
        <v>0.6908</v>
      </c>
      <c r="AF425" s="1">
        <v>0.0</v>
      </c>
      <c r="AG425" s="1">
        <v>6.337</v>
      </c>
      <c r="AH425" s="1">
        <v>6.781</v>
      </c>
      <c r="AI425" s="1" t="b">
        <v>0</v>
      </c>
      <c r="AJ425" s="1" t="b">
        <v>0</v>
      </c>
      <c r="AK425" s="1">
        <v>94.182</v>
      </c>
      <c r="AL425" s="1">
        <v>96.508</v>
      </c>
      <c r="AM425" s="1" t="b">
        <v>0</v>
      </c>
      <c r="AN425" s="1" t="b">
        <v>0</v>
      </c>
      <c r="AO425" s="1">
        <v>8.05</v>
      </c>
      <c r="AP425" s="1">
        <v>8.53399999999999</v>
      </c>
      <c r="AQ425" s="1" t="b">
        <v>0</v>
      </c>
      <c r="AR425" s="1" t="b">
        <v>0</v>
      </c>
      <c r="AS425" s="1">
        <v>86.9179999999999</v>
      </c>
      <c r="AT425" s="1">
        <v>87.152</v>
      </c>
      <c r="AU425" s="1" t="b">
        <v>0</v>
      </c>
      <c r="AV425" s="1" t="b">
        <v>0</v>
      </c>
      <c r="AW425" s="1">
        <v>9.61399999999999</v>
      </c>
      <c r="AX425" s="1">
        <v>11.026</v>
      </c>
      <c r="AY425" s="1" t="b">
        <v>0</v>
      </c>
      <c r="AZ425" s="1" t="b">
        <v>0</v>
      </c>
      <c r="BA425" s="1">
        <v>81.25</v>
      </c>
      <c r="BB425" s="1">
        <v>77.78</v>
      </c>
      <c r="BC425" s="1" t="b">
        <v>0</v>
      </c>
      <c r="BD425" s="1" t="b">
        <v>0</v>
      </c>
      <c r="BE425" s="1">
        <v>11.34</v>
      </c>
      <c r="BF425" s="1">
        <v>13.285</v>
      </c>
      <c r="BG425" s="1" t="b">
        <v>0</v>
      </c>
      <c r="BH425" s="1" t="b">
        <v>0</v>
      </c>
      <c r="BI425" s="1">
        <v>77.78</v>
      </c>
      <c r="BJ425" s="1">
        <v>75.0</v>
      </c>
      <c r="BK425" s="1" t="b">
        <v>0</v>
      </c>
      <c r="BL425" s="1" t="b">
        <v>0</v>
      </c>
      <c r="BM425" s="1">
        <v>13.121</v>
      </c>
      <c r="BN425" s="1">
        <v>14.568</v>
      </c>
      <c r="BO425" s="1" t="b">
        <v>0</v>
      </c>
      <c r="BP425" s="1" t="b">
        <v>0</v>
      </c>
      <c r="BQ425" s="1">
        <v>75.0</v>
      </c>
      <c r="BR425" s="1">
        <v>72.027</v>
      </c>
      <c r="BS425" s="1" t="b">
        <v>0</v>
      </c>
      <c r="BT425" s="1" t="b">
        <v>0</v>
      </c>
      <c r="BU425" s="1" t="s">
        <v>105</v>
      </c>
      <c r="BV425" s="1" t="s">
        <v>105</v>
      </c>
      <c r="BW425" s="1" t="s">
        <v>105</v>
      </c>
      <c r="BX425" s="1" t="s">
        <v>105</v>
      </c>
      <c r="BY425" s="1" t="s">
        <v>105</v>
      </c>
      <c r="BZ425" s="1" t="s">
        <v>105</v>
      </c>
      <c r="CA425" s="1" t="s">
        <v>105</v>
      </c>
      <c r="CB425" s="1" t="s">
        <v>105</v>
      </c>
      <c r="CC425" s="1" t="s">
        <v>105</v>
      </c>
      <c r="CD425" s="1" t="s">
        <v>105</v>
      </c>
      <c r="CE425" s="4"/>
      <c r="CF425" s="4"/>
    </row>
    <row r="426" hidden="1">
      <c r="A426" s="1" t="s">
        <v>82</v>
      </c>
      <c r="B426" s="1" t="s">
        <v>123</v>
      </c>
      <c r="C426" s="1">
        <v>29.0</v>
      </c>
      <c r="D426" s="5" t="s">
        <v>1918</v>
      </c>
      <c r="E426" s="1" t="s">
        <v>1919</v>
      </c>
      <c r="F426" s="1">
        <v>10.0</v>
      </c>
      <c r="G426" s="1">
        <v>0.0</v>
      </c>
      <c r="H426" s="1" t="s">
        <v>1920</v>
      </c>
      <c r="I426" s="4" t="b">
        <f>IFERROR(__xludf.DUMMYFUNCTION("IF(H426="""",,REGEXMATCH(H426,""[א-ת]""))"),FALSE)</f>
        <v>0</v>
      </c>
      <c r="J426" s="4"/>
      <c r="K426" s="4"/>
      <c r="L426" s="1">
        <v>-0.3167</v>
      </c>
      <c r="M426" s="1">
        <v>25.34</v>
      </c>
      <c r="N426" s="1">
        <v>60.0</v>
      </c>
      <c r="O426" s="1">
        <v>6.0</v>
      </c>
      <c r="P426" s="4"/>
      <c r="Q426" s="4"/>
      <c r="R426" s="1" t="s">
        <v>127</v>
      </c>
      <c r="S426" s="1" t="s">
        <v>1919</v>
      </c>
      <c r="T426" s="1" t="s">
        <v>123</v>
      </c>
      <c r="U426" s="1">
        <v>30.0</v>
      </c>
      <c r="V426" s="5" t="s">
        <v>1918</v>
      </c>
      <c r="W426" s="1" t="s">
        <v>1919</v>
      </c>
      <c r="X426" s="1" t="s">
        <v>1921</v>
      </c>
      <c r="Y426" s="4"/>
      <c r="Z426" s="4"/>
      <c r="AA426" s="4" t="b">
        <f>IFERROR(__xludf.DUMMYFUNCTION("IF(X426="""",,REGEXMATCH(X426,""[א-ת]""))"),FALSE)</f>
        <v>0</v>
      </c>
      <c r="AB426" s="1">
        <v>16.65</v>
      </c>
      <c r="AC426" s="1">
        <v>90.0</v>
      </c>
      <c r="AD426" s="1">
        <v>0.531225127455138</v>
      </c>
      <c r="AE426" s="1">
        <v>0.0</v>
      </c>
      <c r="AF426" s="1">
        <v>0.0</v>
      </c>
      <c r="AG426" s="1">
        <v>6.337</v>
      </c>
      <c r="AH426" s="1">
        <v>6.781</v>
      </c>
      <c r="AI426" s="1" t="b">
        <v>0</v>
      </c>
      <c r="AJ426" s="1" t="b">
        <v>0</v>
      </c>
      <c r="AK426" s="1">
        <v>94.182</v>
      </c>
      <c r="AL426" s="1">
        <v>96.508</v>
      </c>
      <c r="AM426" s="1" t="b">
        <v>0</v>
      </c>
      <c r="AN426" s="1" t="b">
        <v>0</v>
      </c>
      <c r="AO426" s="1">
        <v>8.05</v>
      </c>
      <c r="AP426" s="1">
        <v>8.53399999999999</v>
      </c>
      <c r="AQ426" s="1" t="b">
        <v>0</v>
      </c>
      <c r="AR426" s="1" t="b">
        <v>0</v>
      </c>
      <c r="AS426" s="1">
        <v>86.9179999999999</v>
      </c>
      <c r="AT426" s="1">
        <v>87.152</v>
      </c>
      <c r="AU426" s="1" t="b">
        <v>0</v>
      </c>
      <c r="AV426" s="1" t="b">
        <v>1</v>
      </c>
      <c r="AW426" s="1">
        <v>9.61399999999999</v>
      </c>
      <c r="AX426" s="1">
        <v>11.026</v>
      </c>
      <c r="AY426" s="1" t="b">
        <v>0</v>
      </c>
      <c r="AZ426" s="1" t="b">
        <v>0</v>
      </c>
      <c r="BA426" s="1">
        <v>81.25</v>
      </c>
      <c r="BB426" s="1">
        <v>77.78</v>
      </c>
      <c r="BC426" s="1" t="b">
        <v>0</v>
      </c>
      <c r="BD426" s="1" t="b">
        <v>1</v>
      </c>
      <c r="BE426" s="1">
        <v>11.34</v>
      </c>
      <c r="BF426" s="1">
        <v>13.285</v>
      </c>
      <c r="BG426" s="1" t="b">
        <v>0</v>
      </c>
      <c r="BH426" s="1" t="b">
        <v>0</v>
      </c>
      <c r="BI426" s="1">
        <v>77.78</v>
      </c>
      <c r="BJ426" s="1">
        <v>75.0</v>
      </c>
      <c r="BK426" s="1" t="b">
        <v>0</v>
      </c>
      <c r="BL426" s="1" t="b">
        <v>1</v>
      </c>
      <c r="BM426" s="1">
        <v>13.121</v>
      </c>
      <c r="BN426" s="1">
        <v>14.568</v>
      </c>
      <c r="BO426" s="1" t="b">
        <v>0</v>
      </c>
      <c r="BP426" s="1" t="b">
        <v>0</v>
      </c>
      <c r="BQ426" s="1">
        <v>75.0</v>
      </c>
      <c r="BR426" s="1">
        <v>72.027</v>
      </c>
      <c r="BS426" s="1" t="b">
        <v>0</v>
      </c>
      <c r="BT426" s="1" t="b">
        <v>1</v>
      </c>
      <c r="BU426" s="1" t="s">
        <v>105</v>
      </c>
      <c r="BV426" s="1" t="s">
        <v>105</v>
      </c>
      <c r="BW426" s="1" t="s">
        <v>105</v>
      </c>
      <c r="BX426" s="1" t="s">
        <v>157</v>
      </c>
      <c r="BY426" s="1" t="s">
        <v>105</v>
      </c>
      <c r="BZ426" s="1" t="s">
        <v>157</v>
      </c>
      <c r="CA426" s="1" t="s">
        <v>105</v>
      </c>
      <c r="CB426" s="1" t="s">
        <v>157</v>
      </c>
      <c r="CC426" s="1" t="s">
        <v>105</v>
      </c>
      <c r="CD426" s="1" t="s">
        <v>157</v>
      </c>
      <c r="CE426" s="4"/>
      <c r="CF426" s="4"/>
    </row>
    <row r="427" hidden="1">
      <c r="A427" s="1" t="s">
        <v>82</v>
      </c>
      <c r="B427" s="1" t="s">
        <v>83</v>
      </c>
      <c r="C427" s="1">
        <v>9.0</v>
      </c>
      <c r="D427" s="5" t="s">
        <v>1922</v>
      </c>
      <c r="E427" s="1" t="s">
        <v>1923</v>
      </c>
      <c r="F427" s="1">
        <v>45.0</v>
      </c>
      <c r="G427" s="1">
        <v>0.8547</v>
      </c>
      <c r="H427" s="1" t="s">
        <v>1924</v>
      </c>
      <c r="I427" s="4" t="b">
        <f>IFERROR(__xludf.DUMMYFUNCTION("IF(H427="""",,REGEXMATCH(H427,""[א-ת]""))"),FALSE)</f>
        <v>0</v>
      </c>
      <c r="J427" s="4"/>
      <c r="K427" s="4"/>
      <c r="L427" s="1">
        <v>0.7599</v>
      </c>
      <c r="M427" s="1">
        <v>25.34</v>
      </c>
      <c r="N427" s="1">
        <v>62.22</v>
      </c>
      <c r="O427" s="1">
        <v>1.382666667</v>
      </c>
      <c r="P427" s="4"/>
      <c r="Q427" s="4"/>
      <c r="R427" s="1" t="s">
        <v>89</v>
      </c>
      <c r="S427" s="1" t="s">
        <v>1923</v>
      </c>
      <c r="T427" s="1" t="s">
        <v>83</v>
      </c>
      <c r="U427" s="1">
        <v>10.0</v>
      </c>
      <c r="V427" s="5" t="s">
        <v>1922</v>
      </c>
      <c r="W427" s="1" t="s">
        <v>1923</v>
      </c>
      <c r="X427" s="1" t="s">
        <v>1925</v>
      </c>
      <c r="Y427" s="4"/>
      <c r="Z427" s="4"/>
      <c r="AA427" s="4" t="b">
        <f>IFERROR(__xludf.DUMMYFUNCTION("IF(X427="""",,REGEXMATCH(X427,""[א-ת]""))"),FALSE)</f>
        <v>0</v>
      </c>
      <c r="AB427" s="1">
        <v>30.75</v>
      </c>
      <c r="AC427" s="1">
        <v>55.56</v>
      </c>
      <c r="AD427" s="1">
        <v>0.625147923547404</v>
      </c>
      <c r="AE427" s="1">
        <v>0.6249</v>
      </c>
      <c r="AF427" s="1">
        <v>0.8547</v>
      </c>
      <c r="AG427" s="1">
        <v>6.337</v>
      </c>
      <c r="AH427" s="1">
        <v>6.781</v>
      </c>
      <c r="AI427" s="1" t="b">
        <v>0</v>
      </c>
      <c r="AJ427" s="1" t="b">
        <v>0</v>
      </c>
      <c r="AK427" s="1">
        <v>94.182</v>
      </c>
      <c r="AL427" s="1">
        <v>96.508</v>
      </c>
      <c r="AM427" s="1" t="b">
        <v>0</v>
      </c>
      <c r="AN427" s="1" t="b">
        <v>0</v>
      </c>
      <c r="AO427" s="1">
        <v>8.05</v>
      </c>
      <c r="AP427" s="1">
        <v>8.53399999999999</v>
      </c>
      <c r="AQ427" s="1" t="b">
        <v>0</v>
      </c>
      <c r="AR427" s="1" t="b">
        <v>0</v>
      </c>
      <c r="AS427" s="1">
        <v>86.9179999999999</v>
      </c>
      <c r="AT427" s="1">
        <v>87.152</v>
      </c>
      <c r="AU427" s="1" t="b">
        <v>0</v>
      </c>
      <c r="AV427" s="1" t="b">
        <v>0</v>
      </c>
      <c r="AW427" s="1">
        <v>9.61399999999999</v>
      </c>
      <c r="AX427" s="1">
        <v>11.026</v>
      </c>
      <c r="AY427" s="1" t="b">
        <v>0</v>
      </c>
      <c r="AZ427" s="1" t="b">
        <v>0</v>
      </c>
      <c r="BA427" s="1">
        <v>81.25</v>
      </c>
      <c r="BB427" s="1">
        <v>77.78</v>
      </c>
      <c r="BC427" s="1" t="b">
        <v>0</v>
      </c>
      <c r="BD427" s="1" t="b">
        <v>0</v>
      </c>
      <c r="BE427" s="1">
        <v>11.34</v>
      </c>
      <c r="BF427" s="1">
        <v>13.285</v>
      </c>
      <c r="BG427" s="1" t="b">
        <v>0</v>
      </c>
      <c r="BH427" s="1" t="b">
        <v>0</v>
      </c>
      <c r="BI427" s="1">
        <v>77.78</v>
      </c>
      <c r="BJ427" s="1">
        <v>75.0</v>
      </c>
      <c r="BK427" s="1" t="b">
        <v>0</v>
      </c>
      <c r="BL427" s="1" t="b">
        <v>0</v>
      </c>
      <c r="BM427" s="1">
        <v>13.121</v>
      </c>
      <c r="BN427" s="1">
        <v>14.568</v>
      </c>
      <c r="BO427" s="1" t="b">
        <v>0</v>
      </c>
      <c r="BP427" s="1" t="b">
        <v>0</v>
      </c>
      <c r="BQ427" s="1">
        <v>75.0</v>
      </c>
      <c r="BR427" s="1">
        <v>72.027</v>
      </c>
      <c r="BS427" s="1" t="b">
        <v>0</v>
      </c>
      <c r="BT427" s="1" t="b">
        <v>0</v>
      </c>
      <c r="BU427" s="1" t="s">
        <v>105</v>
      </c>
      <c r="BV427" s="1" t="s">
        <v>105</v>
      </c>
      <c r="BW427" s="1" t="s">
        <v>105</v>
      </c>
      <c r="BX427" s="1" t="s">
        <v>105</v>
      </c>
      <c r="BY427" s="1" t="s">
        <v>105</v>
      </c>
      <c r="BZ427" s="1" t="s">
        <v>105</v>
      </c>
      <c r="CA427" s="1" t="s">
        <v>105</v>
      </c>
      <c r="CB427" s="1" t="s">
        <v>105</v>
      </c>
      <c r="CC427" s="1" t="s">
        <v>105</v>
      </c>
      <c r="CD427" s="1" t="s">
        <v>105</v>
      </c>
      <c r="CE427" s="4"/>
      <c r="CF427" s="4"/>
    </row>
    <row r="428">
      <c r="A428" s="1" t="s">
        <v>82</v>
      </c>
      <c r="B428" s="1" t="s">
        <v>98</v>
      </c>
      <c r="C428" s="1">
        <v>1.0</v>
      </c>
      <c r="D428" s="5" t="s">
        <v>1926</v>
      </c>
      <c r="E428" s="1" t="s">
        <v>1927</v>
      </c>
      <c r="F428" s="1">
        <v>46.0</v>
      </c>
      <c r="G428" s="1">
        <v>0.3182</v>
      </c>
      <c r="H428" s="1" t="s">
        <v>1928</v>
      </c>
      <c r="I428" s="4" t="b">
        <f>IFERROR(__xludf.DUMMYFUNCTION("IF(H428="""",,REGEXMATCH(H428,""[א-ת]""))"),FALSE)</f>
        <v>0</v>
      </c>
      <c r="J428" s="4"/>
      <c r="K428" s="4"/>
      <c r="L428" s="1">
        <v>0.0258</v>
      </c>
      <c r="M428" s="1">
        <v>25.35</v>
      </c>
      <c r="N428" s="1">
        <v>69.57</v>
      </c>
      <c r="O428" s="1">
        <v>1.512391304</v>
      </c>
      <c r="P428" s="4"/>
      <c r="Q428" s="4"/>
      <c r="R428" s="1" t="s">
        <v>89</v>
      </c>
      <c r="S428" s="1" t="s">
        <v>1927</v>
      </c>
      <c r="T428" s="1" t="s">
        <v>98</v>
      </c>
      <c r="U428" s="1">
        <v>2.0</v>
      </c>
      <c r="V428" s="5" t="s">
        <v>1926</v>
      </c>
      <c r="W428" s="1" t="s">
        <v>1927</v>
      </c>
      <c r="X428" s="1" t="s">
        <v>1929</v>
      </c>
      <c r="Y428" s="1" t="s">
        <v>1930</v>
      </c>
      <c r="Z428" s="1" t="s">
        <v>1931</v>
      </c>
      <c r="AA428" s="4" t="b">
        <f>IFERROR(__xludf.DUMMYFUNCTION("IF(X428="""",,REGEXMATCH(X428,""[א-ת]""))"),FALSE)</f>
        <v>0</v>
      </c>
      <c r="AB428" s="1">
        <v>3.65</v>
      </c>
      <c r="AC428" s="1">
        <v>86.96</v>
      </c>
      <c r="AD428" s="1">
        <v>0.385362448016547</v>
      </c>
      <c r="AE428" s="1">
        <v>0.0258</v>
      </c>
      <c r="AF428" s="1">
        <v>0.3182</v>
      </c>
      <c r="AG428" s="1">
        <v>6.337</v>
      </c>
      <c r="AH428" s="1">
        <v>6.781</v>
      </c>
      <c r="AI428" s="1" t="b">
        <v>0</v>
      </c>
      <c r="AJ428" s="1" t="b">
        <v>1</v>
      </c>
      <c r="AK428" s="1">
        <v>94.182</v>
      </c>
      <c r="AL428" s="1">
        <v>96.508</v>
      </c>
      <c r="AM428" s="1" t="b">
        <v>0</v>
      </c>
      <c r="AN428" s="1" t="b">
        <v>0</v>
      </c>
      <c r="AO428" s="1">
        <v>8.05</v>
      </c>
      <c r="AP428" s="1">
        <v>8.53399999999999</v>
      </c>
      <c r="AQ428" s="1" t="b">
        <v>0</v>
      </c>
      <c r="AR428" s="1" t="b">
        <v>1</v>
      </c>
      <c r="AS428" s="1">
        <v>86.9179999999999</v>
      </c>
      <c r="AT428" s="1">
        <v>87.152</v>
      </c>
      <c r="AU428" s="1" t="b">
        <v>0</v>
      </c>
      <c r="AV428" s="1" t="b">
        <v>0</v>
      </c>
      <c r="AW428" s="1">
        <v>9.61399999999999</v>
      </c>
      <c r="AX428" s="1">
        <v>11.026</v>
      </c>
      <c r="AY428" s="1" t="b">
        <v>0</v>
      </c>
      <c r="AZ428" s="1" t="b">
        <v>1</v>
      </c>
      <c r="BA428" s="1">
        <v>81.25</v>
      </c>
      <c r="BB428" s="1">
        <v>77.78</v>
      </c>
      <c r="BC428" s="1" t="b">
        <v>0</v>
      </c>
      <c r="BD428" s="1" t="b">
        <v>1</v>
      </c>
      <c r="BE428" s="1">
        <v>11.34</v>
      </c>
      <c r="BF428" s="1">
        <v>13.285</v>
      </c>
      <c r="BG428" s="1" t="b">
        <v>0</v>
      </c>
      <c r="BH428" s="1" t="b">
        <v>1</v>
      </c>
      <c r="BI428" s="1">
        <v>77.78</v>
      </c>
      <c r="BJ428" s="1">
        <v>75.0</v>
      </c>
      <c r="BK428" s="1" t="b">
        <v>0</v>
      </c>
      <c r="BL428" s="1" t="b">
        <v>1</v>
      </c>
      <c r="BM428" s="1">
        <v>13.121</v>
      </c>
      <c r="BN428" s="1">
        <v>14.568</v>
      </c>
      <c r="BO428" s="1" t="b">
        <v>0</v>
      </c>
      <c r="BP428" s="1" t="b">
        <v>1</v>
      </c>
      <c r="BQ428" s="1">
        <v>75.0</v>
      </c>
      <c r="BR428" s="1">
        <v>72.027</v>
      </c>
      <c r="BS428" s="1" t="b">
        <v>0</v>
      </c>
      <c r="BT428" s="1" t="b">
        <v>1</v>
      </c>
      <c r="BU428" s="1" t="s">
        <v>157</v>
      </c>
      <c r="BV428" s="1" t="s">
        <v>105</v>
      </c>
      <c r="BW428" s="1" t="s">
        <v>157</v>
      </c>
      <c r="BX428" s="1" t="s">
        <v>105</v>
      </c>
      <c r="BY428" s="1" t="s">
        <v>157</v>
      </c>
      <c r="BZ428" s="1" t="s">
        <v>157</v>
      </c>
      <c r="CA428" s="1" t="s">
        <v>157</v>
      </c>
      <c r="CB428" s="1" t="s">
        <v>157</v>
      </c>
      <c r="CC428" s="1" t="s">
        <v>157</v>
      </c>
      <c r="CD428" s="1" t="s">
        <v>157</v>
      </c>
      <c r="CE428" s="4"/>
      <c r="CF428" s="4"/>
    </row>
    <row r="429" hidden="1">
      <c r="A429" s="1" t="s">
        <v>82</v>
      </c>
      <c r="B429" s="1" t="s">
        <v>123</v>
      </c>
      <c r="C429" s="1">
        <v>11.0</v>
      </c>
      <c r="D429" s="5" t="s">
        <v>1932</v>
      </c>
      <c r="E429" s="1" t="s">
        <v>1933</v>
      </c>
      <c r="F429" s="1">
        <v>33.0</v>
      </c>
      <c r="G429" s="1">
        <v>-0.296</v>
      </c>
      <c r="H429" s="1" t="s">
        <v>1934</v>
      </c>
      <c r="I429" s="4" t="b">
        <f>IFERROR(__xludf.DUMMYFUNCTION("IF(H429="""",,REGEXMATCH(H429,""[א-ת]""))"),FALSE)</f>
        <v>0</v>
      </c>
      <c r="J429" s="4"/>
      <c r="K429" s="4"/>
      <c r="L429" s="1">
        <v>-0.296</v>
      </c>
      <c r="M429" s="1">
        <v>25.37</v>
      </c>
      <c r="N429" s="1">
        <v>57.58</v>
      </c>
      <c r="O429" s="1">
        <v>1.744848485</v>
      </c>
      <c r="P429" s="4"/>
      <c r="Q429" s="4"/>
      <c r="R429" s="1" t="s">
        <v>127</v>
      </c>
      <c r="S429" s="1" t="s">
        <v>1933</v>
      </c>
      <c r="T429" s="1" t="s">
        <v>123</v>
      </c>
      <c r="U429" s="1">
        <v>12.0</v>
      </c>
      <c r="V429" s="5" t="s">
        <v>1932</v>
      </c>
      <c r="W429" s="1" t="s">
        <v>1933</v>
      </c>
      <c r="X429" s="1" t="s">
        <v>1935</v>
      </c>
      <c r="Y429" s="4"/>
      <c r="Z429" s="4"/>
      <c r="AA429" s="4" t="b">
        <f>IFERROR(__xludf.DUMMYFUNCTION("IF(X429="""",,REGEXMATCH(X429,""[א-ת]""))"),FALSE)</f>
        <v>0</v>
      </c>
      <c r="AB429" s="1">
        <v>22.1</v>
      </c>
      <c r="AC429" s="1">
        <v>60.61</v>
      </c>
      <c r="AD429" s="1">
        <v>0.546688972124614</v>
      </c>
      <c r="AE429" s="1">
        <v>0.0</v>
      </c>
      <c r="AF429" s="1">
        <v>-0.296</v>
      </c>
      <c r="AG429" s="1">
        <v>6.337</v>
      </c>
      <c r="AH429" s="1">
        <v>6.781</v>
      </c>
      <c r="AI429" s="1" t="b">
        <v>0</v>
      </c>
      <c r="AJ429" s="1" t="b">
        <v>0</v>
      </c>
      <c r="AK429" s="1">
        <v>94.182</v>
      </c>
      <c r="AL429" s="1">
        <v>96.508</v>
      </c>
      <c r="AM429" s="1" t="b">
        <v>0</v>
      </c>
      <c r="AN429" s="1" t="b">
        <v>0</v>
      </c>
      <c r="AO429" s="1">
        <v>8.05</v>
      </c>
      <c r="AP429" s="1">
        <v>8.53399999999999</v>
      </c>
      <c r="AQ429" s="1" t="b">
        <v>0</v>
      </c>
      <c r="AR429" s="1" t="b">
        <v>0</v>
      </c>
      <c r="AS429" s="1">
        <v>86.9179999999999</v>
      </c>
      <c r="AT429" s="1">
        <v>87.152</v>
      </c>
      <c r="AU429" s="1" t="b">
        <v>0</v>
      </c>
      <c r="AV429" s="1" t="b">
        <v>0</v>
      </c>
      <c r="AW429" s="1">
        <v>9.61399999999999</v>
      </c>
      <c r="AX429" s="1">
        <v>11.026</v>
      </c>
      <c r="AY429" s="1" t="b">
        <v>0</v>
      </c>
      <c r="AZ429" s="1" t="b">
        <v>0</v>
      </c>
      <c r="BA429" s="1">
        <v>81.25</v>
      </c>
      <c r="BB429" s="1">
        <v>77.78</v>
      </c>
      <c r="BC429" s="1" t="b">
        <v>0</v>
      </c>
      <c r="BD429" s="1" t="b">
        <v>0</v>
      </c>
      <c r="BE429" s="1">
        <v>11.34</v>
      </c>
      <c r="BF429" s="1">
        <v>13.285</v>
      </c>
      <c r="BG429" s="1" t="b">
        <v>0</v>
      </c>
      <c r="BH429" s="1" t="b">
        <v>0</v>
      </c>
      <c r="BI429" s="1">
        <v>77.78</v>
      </c>
      <c r="BJ429" s="1">
        <v>75.0</v>
      </c>
      <c r="BK429" s="1" t="b">
        <v>0</v>
      </c>
      <c r="BL429" s="1" t="b">
        <v>0</v>
      </c>
      <c r="BM429" s="1">
        <v>13.121</v>
      </c>
      <c r="BN429" s="1">
        <v>14.568</v>
      </c>
      <c r="BO429" s="1" t="b">
        <v>0</v>
      </c>
      <c r="BP429" s="1" t="b">
        <v>0</v>
      </c>
      <c r="BQ429" s="1">
        <v>75.0</v>
      </c>
      <c r="BR429" s="1">
        <v>72.027</v>
      </c>
      <c r="BS429" s="1" t="b">
        <v>0</v>
      </c>
      <c r="BT429" s="1" t="b">
        <v>0</v>
      </c>
      <c r="BU429" s="1" t="s">
        <v>105</v>
      </c>
      <c r="BV429" s="1" t="s">
        <v>105</v>
      </c>
      <c r="BW429" s="1" t="s">
        <v>105</v>
      </c>
      <c r="BX429" s="1" t="s">
        <v>105</v>
      </c>
      <c r="BY429" s="1" t="s">
        <v>105</v>
      </c>
      <c r="BZ429" s="1" t="s">
        <v>105</v>
      </c>
      <c r="CA429" s="1" t="s">
        <v>105</v>
      </c>
      <c r="CB429" s="1" t="s">
        <v>105</v>
      </c>
      <c r="CC429" s="1" t="s">
        <v>105</v>
      </c>
      <c r="CD429" s="1" t="s">
        <v>105</v>
      </c>
      <c r="CE429" s="4"/>
      <c r="CF429" s="4"/>
    </row>
    <row r="430" hidden="1">
      <c r="A430" s="1" t="s">
        <v>82</v>
      </c>
      <c r="B430" s="1" t="s">
        <v>111</v>
      </c>
      <c r="C430" s="1">
        <v>58.0</v>
      </c>
      <c r="D430" s="5" t="s">
        <v>1936</v>
      </c>
      <c r="E430" s="1" t="s">
        <v>1937</v>
      </c>
      <c r="F430" s="1">
        <v>67.0</v>
      </c>
      <c r="G430" s="1">
        <v>0.6908</v>
      </c>
      <c r="H430" s="1" t="s">
        <v>1938</v>
      </c>
      <c r="I430" s="4" t="b">
        <f>IFERROR(__xludf.DUMMYFUNCTION("IF(H430="""",,REGEXMATCH(H430,""[א-ת]""))"),FALSE)</f>
        <v>0</v>
      </c>
      <c r="J430" s="4"/>
      <c r="K430" s="4"/>
      <c r="L430" s="1">
        <v>0.6486</v>
      </c>
      <c r="M430" s="1">
        <v>25.46</v>
      </c>
      <c r="N430" s="1">
        <v>55.22</v>
      </c>
      <c r="O430" s="1">
        <v>0.8241791045</v>
      </c>
      <c r="P430" s="4"/>
      <c r="Q430" s="4"/>
      <c r="R430" s="1" t="s">
        <v>89</v>
      </c>
      <c r="S430" s="1" t="s">
        <v>1937</v>
      </c>
      <c r="T430" s="1" t="s">
        <v>111</v>
      </c>
      <c r="U430" s="1">
        <v>59.0</v>
      </c>
      <c r="V430" s="5" t="s">
        <v>1936</v>
      </c>
      <c r="W430" s="1" t="s">
        <v>1937</v>
      </c>
      <c r="X430" s="1" t="s">
        <v>1939</v>
      </c>
      <c r="Y430" s="4"/>
      <c r="Z430" s="4"/>
      <c r="AA430" s="4" t="b">
        <f>IFERROR(__xludf.DUMMYFUNCTION("IF(X430="""",,REGEXMATCH(X430,""[א-ת]""))"),FALSE)</f>
        <v>0</v>
      </c>
      <c r="AB430" s="1">
        <v>44.11</v>
      </c>
      <c r="AC430" s="1">
        <v>31.34</v>
      </c>
      <c r="AD430" s="1">
        <v>0.821612007550191</v>
      </c>
      <c r="AE430" s="1">
        <v>0.6908</v>
      </c>
      <c r="AF430" s="1">
        <v>0.6908</v>
      </c>
      <c r="AG430" s="1">
        <v>6.337</v>
      </c>
      <c r="AH430" s="1">
        <v>6.781</v>
      </c>
      <c r="AI430" s="1" t="b">
        <v>0</v>
      </c>
      <c r="AJ430" s="1" t="b">
        <v>0</v>
      </c>
      <c r="AK430" s="1">
        <v>94.182</v>
      </c>
      <c r="AL430" s="1">
        <v>96.508</v>
      </c>
      <c r="AM430" s="1" t="b">
        <v>0</v>
      </c>
      <c r="AN430" s="1" t="b">
        <v>0</v>
      </c>
      <c r="AO430" s="1">
        <v>8.05</v>
      </c>
      <c r="AP430" s="1">
        <v>8.53399999999999</v>
      </c>
      <c r="AQ430" s="1" t="b">
        <v>0</v>
      </c>
      <c r="AR430" s="1" t="b">
        <v>0</v>
      </c>
      <c r="AS430" s="1">
        <v>86.9179999999999</v>
      </c>
      <c r="AT430" s="1">
        <v>87.152</v>
      </c>
      <c r="AU430" s="1" t="b">
        <v>0</v>
      </c>
      <c r="AV430" s="1" t="b">
        <v>0</v>
      </c>
      <c r="AW430" s="1">
        <v>9.61399999999999</v>
      </c>
      <c r="AX430" s="1">
        <v>11.026</v>
      </c>
      <c r="AY430" s="1" t="b">
        <v>0</v>
      </c>
      <c r="AZ430" s="1" t="b">
        <v>0</v>
      </c>
      <c r="BA430" s="1">
        <v>81.25</v>
      </c>
      <c r="BB430" s="1">
        <v>77.78</v>
      </c>
      <c r="BC430" s="1" t="b">
        <v>0</v>
      </c>
      <c r="BD430" s="1" t="b">
        <v>0</v>
      </c>
      <c r="BE430" s="1">
        <v>11.34</v>
      </c>
      <c r="BF430" s="1">
        <v>13.285</v>
      </c>
      <c r="BG430" s="1" t="b">
        <v>0</v>
      </c>
      <c r="BH430" s="1" t="b">
        <v>0</v>
      </c>
      <c r="BI430" s="1">
        <v>77.78</v>
      </c>
      <c r="BJ430" s="1">
        <v>75.0</v>
      </c>
      <c r="BK430" s="1" t="b">
        <v>0</v>
      </c>
      <c r="BL430" s="1" t="b">
        <v>0</v>
      </c>
      <c r="BM430" s="1">
        <v>13.121</v>
      </c>
      <c r="BN430" s="1">
        <v>14.568</v>
      </c>
      <c r="BO430" s="1" t="b">
        <v>0</v>
      </c>
      <c r="BP430" s="1" t="b">
        <v>0</v>
      </c>
      <c r="BQ430" s="1">
        <v>75.0</v>
      </c>
      <c r="BR430" s="1">
        <v>72.027</v>
      </c>
      <c r="BS430" s="1" t="b">
        <v>0</v>
      </c>
      <c r="BT430" s="1" t="b">
        <v>0</v>
      </c>
      <c r="BU430" s="1" t="s">
        <v>105</v>
      </c>
      <c r="BV430" s="1" t="s">
        <v>105</v>
      </c>
      <c r="BW430" s="1" t="s">
        <v>105</v>
      </c>
      <c r="BX430" s="1" t="s">
        <v>105</v>
      </c>
      <c r="BY430" s="1" t="s">
        <v>105</v>
      </c>
      <c r="BZ430" s="1" t="s">
        <v>105</v>
      </c>
      <c r="CA430" s="1" t="s">
        <v>105</v>
      </c>
      <c r="CB430" s="1" t="s">
        <v>105</v>
      </c>
      <c r="CC430" s="1" t="s">
        <v>105</v>
      </c>
      <c r="CD430" s="1" t="s">
        <v>105</v>
      </c>
      <c r="CE430" s="4"/>
      <c r="CF430" s="4"/>
    </row>
    <row r="431" hidden="1">
      <c r="A431" s="1" t="s">
        <v>82</v>
      </c>
      <c r="B431" s="1" t="s">
        <v>631</v>
      </c>
      <c r="C431" s="1">
        <v>4.0</v>
      </c>
      <c r="D431" s="5" t="s">
        <v>1940</v>
      </c>
      <c r="E431" s="1" t="s">
        <v>1941</v>
      </c>
      <c r="F431" s="1">
        <v>78.0</v>
      </c>
      <c r="G431" s="1">
        <v>-0.3687</v>
      </c>
      <c r="H431" s="1" t="s">
        <v>1942</v>
      </c>
      <c r="I431" s="4" t="b">
        <f>IFERROR(__xludf.DUMMYFUNCTION("IF(H431="""",,REGEXMATCH(H431,""[א-ת]""))"),FALSE)</f>
        <v>0</v>
      </c>
      <c r="J431" s="4"/>
      <c r="K431" s="4"/>
      <c r="L431" s="1">
        <v>-0.8228</v>
      </c>
      <c r="M431" s="1">
        <v>25.61</v>
      </c>
      <c r="N431" s="1">
        <v>50.0</v>
      </c>
      <c r="O431" s="1">
        <v>0.641025641</v>
      </c>
      <c r="P431" s="4"/>
      <c r="Q431" s="4"/>
      <c r="R431" s="1" t="s">
        <v>89</v>
      </c>
      <c r="S431" s="1" t="s">
        <v>1941</v>
      </c>
      <c r="T431" s="1" t="s">
        <v>631</v>
      </c>
      <c r="U431" s="1">
        <v>5.0</v>
      </c>
      <c r="V431" s="5" t="s">
        <v>1940</v>
      </c>
      <c r="W431" s="1" t="s">
        <v>1941</v>
      </c>
      <c r="X431" s="1" t="s">
        <v>1943</v>
      </c>
      <c r="Y431" s="4"/>
      <c r="Z431" s="4"/>
      <c r="AA431" s="4" t="b">
        <f>IFERROR(__xludf.DUMMYFUNCTION("IF(X431="""",,REGEXMATCH(X431,""[א-ת]""))"),TRUE)</f>
        <v>1</v>
      </c>
      <c r="AB431" s="1">
        <v>27.02</v>
      </c>
      <c r="AC431" s="1">
        <v>91.03</v>
      </c>
      <c r="AD431" s="1">
        <v>0.602495318005952</v>
      </c>
      <c r="AE431" s="1">
        <v>-0.6527</v>
      </c>
      <c r="AF431" s="1">
        <v>-0.3687</v>
      </c>
      <c r="AG431" s="1">
        <v>6.337</v>
      </c>
      <c r="AH431" s="1">
        <v>6.781</v>
      </c>
      <c r="AI431" s="1" t="b">
        <v>0</v>
      </c>
      <c r="AJ431" s="1" t="b">
        <v>0</v>
      </c>
      <c r="AK431" s="1">
        <v>94.182</v>
      </c>
      <c r="AL431" s="1">
        <v>96.508</v>
      </c>
      <c r="AM431" s="1" t="b">
        <v>0</v>
      </c>
      <c r="AN431" s="1" t="b">
        <v>0</v>
      </c>
      <c r="AO431" s="1">
        <v>8.05</v>
      </c>
      <c r="AP431" s="1">
        <v>8.53399999999999</v>
      </c>
      <c r="AQ431" s="1" t="b">
        <v>0</v>
      </c>
      <c r="AR431" s="1" t="b">
        <v>0</v>
      </c>
      <c r="AS431" s="1">
        <v>86.9179999999999</v>
      </c>
      <c r="AT431" s="1">
        <v>87.152</v>
      </c>
      <c r="AU431" s="1" t="b">
        <v>0</v>
      </c>
      <c r="AV431" s="1" t="b">
        <v>1</v>
      </c>
      <c r="AW431" s="1">
        <v>9.61399999999999</v>
      </c>
      <c r="AX431" s="1">
        <v>11.026</v>
      </c>
      <c r="AY431" s="1" t="b">
        <v>0</v>
      </c>
      <c r="AZ431" s="1" t="b">
        <v>0</v>
      </c>
      <c r="BA431" s="1">
        <v>81.25</v>
      </c>
      <c r="BB431" s="1">
        <v>77.78</v>
      </c>
      <c r="BC431" s="1" t="b">
        <v>0</v>
      </c>
      <c r="BD431" s="1" t="b">
        <v>1</v>
      </c>
      <c r="BE431" s="1">
        <v>11.34</v>
      </c>
      <c r="BF431" s="1">
        <v>13.285</v>
      </c>
      <c r="BG431" s="1" t="b">
        <v>0</v>
      </c>
      <c r="BH431" s="1" t="b">
        <v>0</v>
      </c>
      <c r="BI431" s="1">
        <v>77.78</v>
      </c>
      <c r="BJ431" s="1">
        <v>75.0</v>
      </c>
      <c r="BK431" s="1" t="b">
        <v>0</v>
      </c>
      <c r="BL431" s="1" t="b">
        <v>1</v>
      </c>
      <c r="BM431" s="1">
        <v>13.121</v>
      </c>
      <c r="BN431" s="1">
        <v>14.568</v>
      </c>
      <c r="BO431" s="1" t="b">
        <v>0</v>
      </c>
      <c r="BP431" s="1" t="b">
        <v>0</v>
      </c>
      <c r="BQ431" s="1">
        <v>75.0</v>
      </c>
      <c r="BR431" s="1">
        <v>72.027</v>
      </c>
      <c r="BS431" s="1" t="b">
        <v>0</v>
      </c>
      <c r="BT431" s="1" t="b">
        <v>1</v>
      </c>
      <c r="BU431" s="1" t="s">
        <v>105</v>
      </c>
      <c r="BV431" s="1" t="s">
        <v>105</v>
      </c>
      <c r="BW431" s="1" t="s">
        <v>105</v>
      </c>
      <c r="BX431" s="1" t="s">
        <v>157</v>
      </c>
      <c r="BY431" s="1" t="s">
        <v>105</v>
      </c>
      <c r="BZ431" s="1" t="s">
        <v>157</v>
      </c>
      <c r="CA431" s="1" t="s">
        <v>105</v>
      </c>
      <c r="CB431" s="1" t="s">
        <v>157</v>
      </c>
      <c r="CC431" s="1" t="s">
        <v>105</v>
      </c>
      <c r="CD431" s="1" t="s">
        <v>157</v>
      </c>
      <c r="CE431" s="4"/>
      <c r="CF431" s="4"/>
    </row>
    <row r="432" hidden="1">
      <c r="A432" s="1" t="s">
        <v>82</v>
      </c>
      <c r="B432" s="1" t="s">
        <v>176</v>
      </c>
      <c r="C432" s="1">
        <v>10.0</v>
      </c>
      <c r="D432" s="5" t="s">
        <v>1944</v>
      </c>
      <c r="E432" s="1" t="s">
        <v>1945</v>
      </c>
      <c r="F432" s="1">
        <v>30.0</v>
      </c>
      <c r="G432" s="1">
        <v>-0.5859</v>
      </c>
      <c r="H432" s="1" t="s">
        <v>1946</v>
      </c>
      <c r="I432" s="4" t="b">
        <f>IFERROR(__xludf.DUMMYFUNCTION("IF(H432="""",,REGEXMATCH(H432,""[א-ת]""))"),FALSE)</f>
        <v>0</v>
      </c>
      <c r="J432" s="4"/>
      <c r="K432" s="4"/>
      <c r="L432" s="1">
        <v>-0.4019</v>
      </c>
      <c r="M432" s="1">
        <v>25.63</v>
      </c>
      <c r="N432" s="1">
        <v>53.33</v>
      </c>
      <c r="O432" s="1">
        <v>1.777666667</v>
      </c>
      <c r="P432" s="4"/>
      <c r="Q432" s="4"/>
      <c r="R432" s="1" t="s">
        <v>89</v>
      </c>
      <c r="S432" s="1" t="s">
        <v>1945</v>
      </c>
      <c r="T432" s="1" t="s">
        <v>176</v>
      </c>
      <c r="U432" s="1">
        <v>11.0</v>
      </c>
      <c r="V432" s="5" t="s">
        <v>1944</v>
      </c>
      <c r="W432" s="1" t="s">
        <v>1945</v>
      </c>
      <c r="X432" s="1" t="s">
        <v>1947</v>
      </c>
      <c r="Y432" s="4"/>
      <c r="Z432" s="4"/>
      <c r="AA432" s="4" t="b">
        <f>IFERROR(__xludf.DUMMYFUNCTION("IF(X432="""",,REGEXMATCH(X432,""[א-ת]""))"),FALSE)</f>
        <v>0</v>
      </c>
      <c r="AB432" s="1">
        <v>24.09</v>
      </c>
      <c r="AC432" s="1">
        <v>40.0</v>
      </c>
      <c r="AD432" s="1">
        <v>0.75184083909326</v>
      </c>
      <c r="AE432" s="1">
        <v>-0.4019</v>
      </c>
      <c r="AF432" s="1">
        <v>-0.5859</v>
      </c>
      <c r="AG432" s="1">
        <v>6.337</v>
      </c>
      <c r="AH432" s="1">
        <v>6.781</v>
      </c>
      <c r="AI432" s="1" t="b">
        <v>0</v>
      </c>
      <c r="AJ432" s="1" t="b">
        <v>0</v>
      </c>
      <c r="AK432" s="1">
        <v>94.182</v>
      </c>
      <c r="AL432" s="1">
        <v>96.508</v>
      </c>
      <c r="AM432" s="1" t="b">
        <v>0</v>
      </c>
      <c r="AN432" s="1" t="b">
        <v>0</v>
      </c>
      <c r="AO432" s="1">
        <v>8.05</v>
      </c>
      <c r="AP432" s="1">
        <v>8.53399999999999</v>
      </c>
      <c r="AQ432" s="1" t="b">
        <v>0</v>
      </c>
      <c r="AR432" s="1" t="b">
        <v>0</v>
      </c>
      <c r="AS432" s="1">
        <v>86.9179999999999</v>
      </c>
      <c r="AT432" s="1">
        <v>87.152</v>
      </c>
      <c r="AU432" s="1" t="b">
        <v>0</v>
      </c>
      <c r="AV432" s="1" t="b">
        <v>0</v>
      </c>
      <c r="AW432" s="1">
        <v>9.61399999999999</v>
      </c>
      <c r="AX432" s="1">
        <v>11.026</v>
      </c>
      <c r="AY432" s="1" t="b">
        <v>0</v>
      </c>
      <c r="AZ432" s="1" t="b">
        <v>0</v>
      </c>
      <c r="BA432" s="1">
        <v>81.25</v>
      </c>
      <c r="BB432" s="1">
        <v>77.78</v>
      </c>
      <c r="BC432" s="1" t="b">
        <v>0</v>
      </c>
      <c r="BD432" s="1" t="b">
        <v>0</v>
      </c>
      <c r="BE432" s="1">
        <v>11.34</v>
      </c>
      <c r="BF432" s="1">
        <v>13.285</v>
      </c>
      <c r="BG432" s="1" t="b">
        <v>0</v>
      </c>
      <c r="BH432" s="1" t="b">
        <v>0</v>
      </c>
      <c r="BI432" s="1">
        <v>77.78</v>
      </c>
      <c r="BJ432" s="1">
        <v>75.0</v>
      </c>
      <c r="BK432" s="1" t="b">
        <v>0</v>
      </c>
      <c r="BL432" s="1" t="b">
        <v>0</v>
      </c>
      <c r="BM432" s="1">
        <v>13.121</v>
      </c>
      <c r="BN432" s="1">
        <v>14.568</v>
      </c>
      <c r="BO432" s="1" t="b">
        <v>0</v>
      </c>
      <c r="BP432" s="1" t="b">
        <v>0</v>
      </c>
      <c r="BQ432" s="1">
        <v>75.0</v>
      </c>
      <c r="BR432" s="1">
        <v>72.027</v>
      </c>
      <c r="BS432" s="1" t="b">
        <v>0</v>
      </c>
      <c r="BT432" s="1" t="b">
        <v>0</v>
      </c>
      <c r="BU432" s="1" t="s">
        <v>105</v>
      </c>
      <c r="BV432" s="1" t="s">
        <v>105</v>
      </c>
      <c r="BW432" s="1" t="s">
        <v>105</v>
      </c>
      <c r="BX432" s="1" t="s">
        <v>105</v>
      </c>
      <c r="BY432" s="1" t="s">
        <v>105</v>
      </c>
      <c r="BZ432" s="1" t="s">
        <v>105</v>
      </c>
      <c r="CA432" s="1" t="s">
        <v>105</v>
      </c>
      <c r="CB432" s="1" t="s">
        <v>105</v>
      </c>
      <c r="CC432" s="1" t="s">
        <v>105</v>
      </c>
      <c r="CD432" s="1" t="s">
        <v>105</v>
      </c>
      <c r="CE432" s="4"/>
      <c r="CF432" s="4"/>
    </row>
    <row r="433" hidden="1">
      <c r="A433" s="1" t="s">
        <v>82</v>
      </c>
      <c r="B433" s="1" t="s">
        <v>111</v>
      </c>
      <c r="C433" s="1">
        <v>42.0</v>
      </c>
      <c r="D433" s="5" t="s">
        <v>1948</v>
      </c>
      <c r="E433" s="1" t="s">
        <v>1949</v>
      </c>
      <c r="F433" s="1">
        <v>34.0</v>
      </c>
      <c r="G433" s="1">
        <v>-0.3818</v>
      </c>
      <c r="H433" s="1" t="s">
        <v>1950</v>
      </c>
      <c r="I433" s="4" t="b">
        <f>IFERROR(__xludf.DUMMYFUNCTION("IF(H433="""",,REGEXMATCH(H433,""[א-ת]""))"),FALSE)</f>
        <v>0</v>
      </c>
      <c r="J433" s="4"/>
      <c r="K433" s="4"/>
      <c r="L433" s="1">
        <v>0.6818</v>
      </c>
      <c r="M433" s="1">
        <v>25.69</v>
      </c>
      <c r="N433" s="1">
        <v>76.47</v>
      </c>
      <c r="O433" s="1">
        <v>2.249117647</v>
      </c>
      <c r="P433" s="4"/>
      <c r="Q433" s="4"/>
      <c r="R433" s="1" t="s">
        <v>89</v>
      </c>
      <c r="S433" s="1" t="s">
        <v>1949</v>
      </c>
      <c r="T433" s="1" t="s">
        <v>111</v>
      </c>
      <c r="U433" s="1">
        <v>43.0</v>
      </c>
      <c r="V433" s="5" t="s">
        <v>1948</v>
      </c>
      <c r="W433" s="1" t="s">
        <v>1949</v>
      </c>
      <c r="X433" s="1" t="s">
        <v>1951</v>
      </c>
      <c r="Y433" s="4"/>
      <c r="Z433" s="4"/>
      <c r="AA433" s="4" t="b">
        <f>IFERROR(__xludf.DUMMYFUNCTION("IF(X433="""",,REGEXMATCH(X433,""[א-ת]""))"),FALSE)</f>
        <v>0</v>
      </c>
      <c r="AB433" s="1">
        <v>17.09</v>
      </c>
      <c r="AC433" s="1">
        <v>82.35</v>
      </c>
      <c r="AD433" s="1">
        <v>0.513443971088062</v>
      </c>
      <c r="AE433" s="1">
        <v>0.4784</v>
      </c>
      <c r="AF433" s="1">
        <v>-0.3818</v>
      </c>
      <c r="AG433" s="1">
        <v>6.337</v>
      </c>
      <c r="AH433" s="1">
        <v>6.781</v>
      </c>
      <c r="AI433" s="1" t="b">
        <v>0</v>
      </c>
      <c r="AJ433" s="1" t="b">
        <v>0</v>
      </c>
      <c r="AK433" s="1">
        <v>94.182</v>
      </c>
      <c r="AL433" s="1">
        <v>96.508</v>
      </c>
      <c r="AM433" s="1" t="b">
        <v>0</v>
      </c>
      <c r="AN433" s="1" t="b">
        <v>0</v>
      </c>
      <c r="AO433" s="1">
        <v>8.05</v>
      </c>
      <c r="AP433" s="1">
        <v>8.53399999999999</v>
      </c>
      <c r="AQ433" s="1" t="b">
        <v>0</v>
      </c>
      <c r="AR433" s="1" t="b">
        <v>0</v>
      </c>
      <c r="AS433" s="1">
        <v>86.9179999999999</v>
      </c>
      <c r="AT433" s="1">
        <v>87.152</v>
      </c>
      <c r="AU433" s="1" t="b">
        <v>0</v>
      </c>
      <c r="AV433" s="1" t="b">
        <v>0</v>
      </c>
      <c r="AW433" s="1">
        <v>9.61399999999999</v>
      </c>
      <c r="AX433" s="1">
        <v>11.026</v>
      </c>
      <c r="AY433" s="1" t="b">
        <v>0</v>
      </c>
      <c r="AZ433" s="1" t="b">
        <v>0</v>
      </c>
      <c r="BA433" s="1">
        <v>81.25</v>
      </c>
      <c r="BB433" s="1">
        <v>77.78</v>
      </c>
      <c r="BC433" s="1" t="b">
        <v>0</v>
      </c>
      <c r="BD433" s="1" t="b">
        <v>1</v>
      </c>
      <c r="BE433" s="1">
        <v>11.34</v>
      </c>
      <c r="BF433" s="1">
        <v>13.285</v>
      </c>
      <c r="BG433" s="1" t="b">
        <v>0</v>
      </c>
      <c r="BH433" s="1" t="b">
        <v>0</v>
      </c>
      <c r="BI433" s="1">
        <v>77.78</v>
      </c>
      <c r="BJ433" s="1">
        <v>75.0</v>
      </c>
      <c r="BK433" s="1" t="b">
        <v>0</v>
      </c>
      <c r="BL433" s="1" t="b">
        <v>1</v>
      </c>
      <c r="BM433" s="1">
        <v>13.121</v>
      </c>
      <c r="BN433" s="1">
        <v>14.568</v>
      </c>
      <c r="BO433" s="1" t="b">
        <v>0</v>
      </c>
      <c r="BP433" s="1" t="b">
        <v>0</v>
      </c>
      <c r="BQ433" s="1">
        <v>75.0</v>
      </c>
      <c r="BR433" s="1">
        <v>72.027</v>
      </c>
      <c r="BS433" s="1" t="b">
        <v>1</v>
      </c>
      <c r="BT433" s="1" t="b">
        <v>1</v>
      </c>
      <c r="BU433" s="1" t="s">
        <v>105</v>
      </c>
      <c r="BV433" s="1" t="s">
        <v>105</v>
      </c>
      <c r="BW433" s="1" t="s">
        <v>105</v>
      </c>
      <c r="BX433" s="1" t="s">
        <v>105</v>
      </c>
      <c r="BY433" s="1" t="s">
        <v>105</v>
      </c>
      <c r="BZ433" s="1" t="s">
        <v>157</v>
      </c>
      <c r="CA433" s="1" t="s">
        <v>105</v>
      </c>
      <c r="CB433" s="1" t="s">
        <v>157</v>
      </c>
      <c r="CC433" s="1" t="s">
        <v>105</v>
      </c>
      <c r="CD433" s="1" t="s">
        <v>104</v>
      </c>
      <c r="CE433" s="4"/>
      <c r="CF433" s="4"/>
    </row>
    <row r="434" hidden="1">
      <c r="A434" s="1" t="s">
        <v>82</v>
      </c>
      <c r="B434" s="1" t="s">
        <v>176</v>
      </c>
      <c r="C434" s="1">
        <v>15.0</v>
      </c>
      <c r="D434" s="5" t="s">
        <v>1952</v>
      </c>
      <c r="E434" s="1" t="s">
        <v>1953</v>
      </c>
      <c r="F434" s="1">
        <v>43.0</v>
      </c>
      <c r="G434" s="1">
        <v>0.5106</v>
      </c>
      <c r="H434" s="1" t="s">
        <v>1954</v>
      </c>
      <c r="I434" s="4" t="b">
        <f>IFERROR(__xludf.DUMMYFUNCTION("IF(H434="""",,REGEXMATCH(H434,""[א-ת]""))"),FALSE)</f>
        <v>0</v>
      </c>
      <c r="J434" s="4"/>
      <c r="K434" s="4"/>
      <c r="L434" s="1">
        <v>0.4596</v>
      </c>
      <c r="M434" s="1">
        <v>25.76</v>
      </c>
      <c r="N434" s="1">
        <v>46.51</v>
      </c>
      <c r="O434" s="1">
        <v>1.081627907</v>
      </c>
      <c r="P434" s="4"/>
      <c r="Q434" s="4"/>
      <c r="R434" s="1" t="s">
        <v>89</v>
      </c>
      <c r="S434" s="1" t="s">
        <v>1953</v>
      </c>
      <c r="T434" s="1" t="s">
        <v>176</v>
      </c>
      <c r="U434" s="1">
        <v>16.0</v>
      </c>
      <c r="V434" s="5" t="s">
        <v>1952</v>
      </c>
      <c r="W434" s="1" t="s">
        <v>1953</v>
      </c>
      <c r="X434" s="1" t="s">
        <v>1955</v>
      </c>
      <c r="Y434" s="4"/>
      <c r="Z434" s="4"/>
      <c r="AA434" s="4" t="b">
        <f>IFERROR(__xludf.DUMMYFUNCTION("IF(X434="""",,REGEXMATCH(X434,""[א-ת]""))"),FALSE)</f>
        <v>0</v>
      </c>
      <c r="AB434" s="1">
        <v>15.9</v>
      </c>
      <c r="AC434" s="1">
        <v>55.81</v>
      </c>
      <c r="AD434" s="1">
        <v>0.604005212211059</v>
      </c>
      <c r="AE434" s="1">
        <v>0.4596</v>
      </c>
      <c r="AF434" s="1">
        <v>0.5106</v>
      </c>
      <c r="AG434" s="1">
        <v>6.337</v>
      </c>
      <c r="AH434" s="1">
        <v>6.781</v>
      </c>
      <c r="AI434" s="1" t="b">
        <v>0</v>
      </c>
      <c r="AJ434" s="1" t="b">
        <v>0</v>
      </c>
      <c r="AK434" s="1">
        <v>94.182</v>
      </c>
      <c r="AL434" s="1">
        <v>96.508</v>
      </c>
      <c r="AM434" s="1" t="b">
        <v>0</v>
      </c>
      <c r="AN434" s="1" t="b">
        <v>0</v>
      </c>
      <c r="AO434" s="1">
        <v>8.05</v>
      </c>
      <c r="AP434" s="1">
        <v>8.53399999999999</v>
      </c>
      <c r="AQ434" s="1" t="b">
        <v>0</v>
      </c>
      <c r="AR434" s="1" t="b">
        <v>0</v>
      </c>
      <c r="AS434" s="1">
        <v>86.9179999999999</v>
      </c>
      <c r="AT434" s="1">
        <v>87.152</v>
      </c>
      <c r="AU434" s="1" t="b">
        <v>0</v>
      </c>
      <c r="AV434" s="1" t="b">
        <v>0</v>
      </c>
      <c r="AW434" s="1">
        <v>9.61399999999999</v>
      </c>
      <c r="AX434" s="1">
        <v>11.026</v>
      </c>
      <c r="AY434" s="1" t="b">
        <v>0</v>
      </c>
      <c r="AZ434" s="1" t="b">
        <v>0</v>
      </c>
      <c r="BA434" s="1">
        <v>81.25</v>
      </c>
      <c r="BB434" s="1">
        <v>77.78</v>
      </c>
      <c r="BC434" s="1" t="b">
        <v>0</v>
      </c>
      <c r="BD434" s="1" t="b">
        <v>0</v>
      </c>
      <c r="BE434" s="1">
        <v>11.34</v>
      </c>
      <c r="BF434" s="1">
        <v>13.285</v>
      </c>
      <c r="BG434" s="1" t="b">
        <v>0</v>
      </c>
      <c r="BH434" s="1" t="b">
        <v>0</v>
      </c>
      <c r="BI434" s="1">
        <v>77.78</v>
      </c>
      <c r="BJ434" s="1">
        <v>75.0</v>
      </c>
      <c r="BK434" s="1" t="b">
        <v>0</v>
      </c>
      <c r="BL434" s="1" t="b">
        <v>0</v>
      </c>
      <c r="BM434" s="1">
        <v>13.121</v>
      </c>
      <c r="BN434" s="1">
        <v>14.568</v>
      </c>
      <c r="BO434" s="1" t="b">
        <v>0</v>
      </c>
      <c r="BP434" s="1" t="b">
        <v>0</v>
      </c>
      <c r="BQ434" s="1">
        <v>75.0</v>
      </c>
      <c r="BR434" s="1">
        <v>72.027</v>
      </c>
      <c r="BS434" s="1" t="b">
        <v>0</v>
      </c>
      <c r="BT434" s="1" t="b">
        <v>0</v>
      </c>
      <c r="BU434" s="1" t="s">
        <v>105</v>
      </c>
      <c r="BV434" s="1" t="s">
        <v>105</v>
      </c>
      <c r="BW434" s="1" t="s">
        <v>105</v>
      </c>
      <c r="BX434" s="1" t="s">
        <v>105</v>
      </c>
      <c r="BY434" s="1" t="s">
        <v>105</v>
      </c>
      <c r="BZ434" s="1" t="s">
        <v>105</v>
      </c>
      <c r="CA434" s="1" t="s">
        <v>105</v>
      </c>
      <c r="CB434" s="1" t="s">
        <v>105</v>
      </c>
      <c r="CC434" s="1" t="s">
        <v>105</v>
      </c>
      <c r="CD434" s="1" t="s">
        <v>105</v>
      </c>
      <c r="CE434" s="4"/>
      <c r="CF434" s="4"/>
    </row>
    <row r="435" hidden="1">
      <c r="A435" s="1" t="s">
        <v>82</v>
      </c>
      <c r="B435" s="1" t="s">
        <v>333</v>
      </c>
      <c r="C435" s="1">
        <v>23.0</v>
      </c>
      <c r="D435" s="5" t="s">
        <v>1956</v>
      </c>
      <c r="E435" s="1" t="s">
        <v>1957</v>
      </c>
      <c r="F435" s="1">
        <v>41.0</v>
      </c>
      <c r="G435" s="1">
        <v>-0.5267</v>
      </c>
      <c r="H435" s="1" t="s">
        <v>1958</v>
      </c>
      <c r="I435" s="4" t="b">
        <f>IFERROR(__xludf.DUMMYFUNCTION("IF(H435="""",,REGEXMATCH(H435,""[א-ת]""))"),FALSE)</f>
        <v>0</v>
      </c>
      <c r="J435" s="4"/>
      <c r="K435" s="1" t="s">
        <v>1959</v>
      </c>
      <c r="L435" s="1">
        <v>-0.1306</v>
      </c>
      <c r="M435" s="1">
        <v>25.8</v>
      </c>
      <c r="N435" s="1">
        <v>60.98</v>
      </c>
      <c r="O435" s="1">
        <v>1.487317073</v>
      </c>
      <c r="P435" s="4"/>
      <c r="Q435" s="4"/>
      <c r="R435" s="1" t="s">
        <v>89</v>
      </c>
      <c r="S435" s="1" t="s">
        <v>1957</v>
      </c>
      <c r="T435" s="1" t="s">
        <v>333</v>
      </c>
      <c r="U435" s="1">
        <v>24.0</v>
      </c>
      <c r="V435" s="5" t="s">
        <v>1956</v>
      </c>
      <c r="W435" s="1" t="s">
        <v>1957</v>
      </c>
      <c r="X435" s="1" t="s">
        <v>1960</v>
      </c>
      <c r="Y435" s="4"/>
      <c r="Z435" s="4"/>
      <c r="AA435" s="4" t="b">
        <f>IFERROR(__xludf.DUMMYFUNCTION("IF(X435="""",,REGEXMATCH(X435,""[א-ת]""))"),FALSE)</f>
        <v>0</v>
      </c>
      <c r="AB435" s="1">
        <v>36.38</v>
      </c>
      <c r="AC435" s="1">
        <v>46.34</v>
      </c>
      <c r="AD435" s="1">
        <v>0.681833662205495</v>
      </c>
      <c r="AE435" s="1">
        <v>-0.5267</v>
      </c>
      <c r="AF435" s="1">
        <v>-0.5267</v>
      </c>
      <c r="AG435" s="1">
        <v>6.337</v>
      </c>
      <c r="AH435" s="1">
        <v>6.781</v>
      </c>
      <c r="AI435" s="1" t="b">
        <v>0</v>
      </c>
      <c r="AJ435" s="1" t="b">
        <v>0</v>
      </c>
      <c r="AK435" s="1">
        <v>94.182</v>
      </c>
      <c r="AL435" s="1">
        <v>96.508</v>
      </c>
      <c r="AM435" s="1" t="b">
        <v>0</v>
      </c>
      <c r="AN435" s="1" t="b">
        <v>0</v>
      </c>
      <c r="AO435" s="1">
        <v>8.05</v>
      </c>
      <c r="AP435" s="1">
        <v>8.53399999999999</v>
      </c>
      <c r="AQ435" s="1" t="b">
        <v>0</v>
      </c>
      <c r="AR435" s="1" t="b">
        <v>0</v>
      </c>
      <c r="AS435" s="1">
        <v>86.9179999999999</v>
      </c>
      <c r="AT435" s="1">
        <v>87.152</v>
      </c>
      <c r="AU435" s="1" t="b">
        <v>0</v>
      </c>
      <c r="AV435" s="1" t="b">
        <v>0</v>
      </c>
      <c r="AW435" s="1">
        <v>9.61399999999999</v>
      </c>
      <c r="AX435" s="1">
        <v>11.026</v>
      </c>
      <c r="AY435" s="1" t="b">
        <v>0</v>
      </c>
      <c r="AZ435" s="1" t="b">
        <v>0</v>
      </c>
      <c r="BA435" s="1">
        <v>81.25</v>
      </c>
      <c r="BB435" s="1">
        <v>77.78</v>
      </c>
      <c r="BC435" s="1" t="b">
        <v>0</v>
      </c>
      <c r="BD435" s="1" t="b">
        <v>0</v>
      </c>
      <c r="BE435" s="1">
        <v>11.34</v>
      </c>
      <c r="BF435" s="1">
        <v>13.285</v>
      </c>
      <c r="BG435" s="1" t="b">
        <v>0</v>
      </c>
      <c r="BH435" s="1" t="b">
        <v>0</v>
      </c>
      <c r="BI435" s="1">
        <v>77.78</v>
      </c>
      <c r="BJ435" s="1">
        <v>75.0</v>
      </c>
      <c r="BK435" s="1" t="b">
        <v>0</v>
      </c>
      <c r="BL435" s="1" t="b">
        <v>0</v>
      </c>
      <c r="BM435" s="1">
        <v>13.121</v>
      </c>
      <c r="BN435" s="1">
        <v>14.568</v>
      </c>
      <c r="BO435" s="1" t="b">
        <v>0</v>
      </c>
      <c r="BP435" s="1" t="b">
        <v>0</v>
      </c>
      <c r="BQ435" s="1">
        <v>75.0</v>
      </c>
      <c r="BR435" s="1">
        <v>72.027</v>
      </c>
      <c r="BS435" s="1" t="b">
        <v>0</v>
      </c>
      <c r="BT435" s="1" t="b">
        <v>0</v>
      </c>
      <c r="BU435" s="1" t="s">
        <v>105</v>
      </c>
      <c r="BV435" s="1" t="s">
        <v>105</v>
      </c>
      <c r="BW435" s="1" t="s">
        <v>105</v>
      </c>
      <c r="BX435" s="1" t="s">
        <v>105</v>
      </c>
      <c r="BY435" s="1" t="s">
        <v>105</v>
      </c>
      <c r="BZ435" s="1" t="s">
        <v>105</v>
      </c>
      <c r="CA435" s="1" t="s">
        <v>105</v>
      </c>
      <c r="CB435" s="1" t="s">
        <v>105</v>
      </c>
      <c r="CC435" s="1" t="s">
        <v>105</v>
      </c>
      <c r="CD435" s="1" t="s">
        <v>105</v>
      </c>
      <c r="CE435" s="4"/>
      <c r="CF435" s="4"/>
    </row>
    <row r="436" hidden="1">
      <c r="A436" s="1" t="s">
        <v>82</v>
      </c>
      <c r="B436" s="1" t="s">
        <v>167</v>
      </c>
      <c r="C436" s="1">
        <v>15.0</v>
      </c>
      <c r="D436" s="5" t="s">
        <v>1961</v>
      </c>
      <c r="E436" s="1" t="s">
        <v>1962</v>
      </c>
      <c r="F436" s="1">
        <v>15.0</v>
      </c>
      <c r="G436" s="1">
        <v>-0.2023</v>
      </c>
      <c r="H436" s="1" t="s">
        <v>1963</v>
      </c>
      <c r="I436" s="4" t="b">
        <f>IFERROR(__xludf.DUMMYFUNCTION("IF(H436="""",,REGEXMATCH(H436,""[א-ת]""))"),FALSE)</f>
        <v>0</v>
      </c>
      <c r="J436" s="4"/>
      <c r="K436" s="4"/>
      <c r="L436" s="1">
        <v>-0.4588</v>
      </c>
      <c r="M436" s="1">
        <v>25.83</v>
      </c>
      <c r="N436" s="1">
        <v>106.67</v>
      </c>
      <c r="O436" s="1">
        <v>7.111333333</v>
      </c>
      <c r="P436" s="4"/>
      <c r="Q436" s="4"/>
      <c r="R436" s="1" t="s">
        <v>127</v>
      </c>
      <c r="S436" s="1" t="s">
        <v>1962</v>
      </c>
      <c r="T436" s="1" t="s">
        <v>167</v>
      </c>
      <c r="U436" s="1">
        <v>16.0</v>
      </c>
      <c r="V436" s="5" t="s">
        <v>1961</v>
      </c>
      <c r="W436" s="1" t="s">
        <v>1962</v>
      </c>
      <c r="X436" s="1" t="s">
        <v>1964</v>
      </c>
      <c r="Y436" s="4"/>
      <c r="Z436" s="4"/>
      <c r="AA436" s="4" t="b">
        <f>IFERROR(__xludf.DUMMYFUNCTION("IF(X436="""",,REGEXMATCH(X436,""[א-ת]""))"),FALSE)</f>
        <v>0</v>
      </c>
      <c r="AB436" s="1">
        <v>12.49</v>
      </c>
      <c r="AC436" s="1">
        <v>53.33</v>
      </c>
      <c r="AD436" s="1">
        <v>0.50355698053601</v>
      </c>
      <c r="AE436" s="1">
        <v>-0.2732</v>
      </c>
      <c r="AF436" s="1">
        <v>-0.2023</v>
      </c>
      <c r="AG436" s="1">
        <v>6.337</v>
      </c>
      <c r="AH436" s="1">
        <v>6.781</v>
      </c>
      <c r="AI436" s="1" t="b">
        <v>0</v>
      </c>
      <c r="AJ436" s="1" t="b">
        <v>0</v>
      </c>
      <c r="AK436" s="1">
        <v>94.182</v>
      </c>
      <c r="AL436" s="1">
        <v>96.508</v>
      </c>
      <c r="AM436" s="1" t="b">
        <v>1</v>
      </c>
      <c r="AN436" s="1" t="b">
        <v>0</v>
      </c>
      <c r="AO436" s="1">
        <v>8.05</v>
      </c>
      <c r="AP436" s="1">
        <v>8.53399999999999</v>
      </c>
      <c r="AQ436" s="1" t="b">
        <v>0</v>
      </c>
      <c r="AR436" s="1" t="b">
        <v>0</v>
      </c>
      <c r="AS436" s="1">
        <v>86.9179999999999</v>
      </c>
      <c r="AT436" s="1">
        <v>87.152</v>
      </c>
      <c r="AU436" s="1" t="b">
        <v>1</v>
      </c>
      <c r="AV436" s="1" t="b">
        <v>0</v>
      </c>
      <c r="AW436" s="1">
        <v>9.61399999999999</v>
      </c>
      <c r="AX436" s="1">
        <v>11.026</v>
      </c>
      <c r="AY436" s="1" t="b">
        <v>0</v>
      </c>
      <c r="AZ436" s="1" t="b">
        <v>0</v>
      </c>
      <c r="BA436" s="1">
        <v>81.25</v>
      </c>
      <c r="BB436" s="1">
        <v>77.78</v>
      </c>
      <c r="BC436" s="1" t="b">
        <v>1</v>
      </c>
      <c r="BD436" s="1" t="b">
        <v>0</v>
      </c>
      <c r="BE436" s="1">
        <v>11.34</v>
      </c>
      <c r="BF436" s="1">
        <v>13.285</v>
      </c>
      <c r="BG436" s="1" t="b">
        <v>0</v>
      </c>
      <c r="BH436" s="1" t="b">
        <v>1</v>
      </c>
      <c r="BI436" s="1">
        <v>77.78</v>
      </c>
      <c r="BJ436" s="1">
        <v>75.0</v>
      </c>
      <c r="BK436" s="1" t="b">
        <v>1</v>
      </c>
      <c r="BL436" s="1" t="b">
        <v>0</v>
      </c>
      <c r="BM436" s="1">
        <v>13.121</v>
      </c>
      <c r="BN436" s="1">
        <v>14.568</v>
      </c>
      <c r="BO436" s="1" t="b">
        <v>0</v>
      </c>
      <c r="BP436" s="1" t="b">
        <v>1</v>
      </c>
      <c r="BQ436" s="1">
        <v>75.0</v>
      </c>
      <c r="BR436" s="1">
        <v>72.027</v>
      </c>
      <c r="BS436" s="1" t="b">
        <v>1</v>
      </c>
      <c r="BT436" s="1" t="b">
        <v>0</v>
      </c>
      <c r="BU436" s="1" t="s">
        <v>105</v>
      </c>
      <c r="BV436" s="1" t="s">
        <v>91</v>
      </c>
      <c r="BW436" s="1" t="s">
        <v>105</v>
      </c>
      <c r="BX436" s="1" t="s">
        <v>91</v>
      </c>
      <c r="BY436" s="1" t="s">
        <v>105</v>
      </c>
      <c r="BZ436" s="1" t="s">
        <v>91</v>
      </c>
      <c r="CA436" s="1" t="s">
        <v>157</v>
      </c>
      <c r="CB436" s="1" t="s">
        <v>91</v>
      </c>
      <c r="CC436" s="1" t="s">
        <v>157</v>
      </c>
      <c r="CD436" s="1" t="s">
        <v>91</v>
      </c>
      <c r="CE436" s="4"/>
      <c r="CF436" s="4"/>
    </row>
    <row r="437" hidden="1">
      <c r="A437" s="1" t="s">
        <v>82</v>
      </c>
      <c r="B437" s="1" t="s">
        <v>139</v>
      </c>
      <c r="C437" s="1">
        <v>30.0</v>
      </c>
      <c r="D437" s="5" t="s">
        <v>1965</v>
      </c>
      <c r="E437" s="1" t="s">
        <v>1966</v>
      </c>
      <c r="F437" s="1">
        <v>29.0</v>
      </c>
      <c r="G437" s="1">
        <v>0.1027</v>
      </c>
      <c r="H437" s="1" t="s">
        <v>1967</v>
      </c>
      <c r="I437" s="4" t="b">
        <f>IFERROR(__xludf.DUMMYFUNCTION("IF(H437="""",,REGEXMATCH(H437,""[א-ת]""))"),FALSE)</f>
        <v>0</v>
      </c>
      <c r="J437" s="4"/>
      <c r="K437" s="4"/>
      <c r="L437" s="1">
        <v>-0.4588</v>
      </c>
      <c r="M437" s="1">
        <v>25.86</v>
      </c>
      <c r="N437" s="1">
        <v>58.62</v>
      </c>
      <c r="O437" s="1">
        <v>2.02137931</v>
      </c>
      <c r="P437" s="4"/>
      <c r="Q437" s="4"/>
      <c r="R437" s="1" t="s">
        <v>96</v>
      </c>
      <c r="S437" s="1" t="s">
        <v>1966</v>
      </c>
      <c r="T437" s="1" t="s">
        <v>139</v>
      </c>
      <c r="U437" s="1">
        <v>31.0</v>
      </c>
      <c r="V437" s="5" t="s">
        <v>1965</v>
      </c>
      <c r="W437" s="1" t="s">
        <v>1966</v>
      </c>
      <c r="X437" s="1" t="s">
        <v>1968</v>
      </c>
      <c r="Y437" s="4"/>
      <c r="Z437" s="4"/>
      <c r="AA437" s="4" t="b">
        <f>IFERROR(__xludf.DUMMYFUNCTION("IF(X437="""",,REGEXMATCH(X437,""[א-ת]""))"),FALSE)</f>
        <v>0</v>
      </c>
      <c r="AB437" s="1">
        <v>47.48</v>
      </c>
      <c r="AC437" s="1">
        <v>34.48</v>
      </c>
      <c r="AD437" s="1">
        <v>0.710512930174152</v>
      </c>
      <c r="AE437" s="1">
        <v>-0.2732</v>
      </c>
      <c r="AF437" s="1">
        <v>0.1027</v>
      </c>
      <c r="AG437" s="1">
        <v>6.337</v>
      </c>
      <c r="AH437" s="1">
        <v>6.781</v>
      </c>
      <c r="AI437" s="1" t="b">
        <v>0</v>
      </c>
      <c r="AJ437" s="1" t="b">
        <v>0</v>
      </c>
      <c r="AK437" s="1">
        <v>94.182</v>
      </c>
      <c r="AL437" s="1">
        <v>96.508</v>
      </c>
      <c r="AM437" s="1" t="b">
        <v>0</v>
      </c>
      <c r="AN437" s="1" t="b">
        <v>0</v>
      </c>
      <c r="AO437" s="1">
        <v>8.05</v>
      </c>
      <c r="AP437" s="1">
        <v>8.53399999999999</v>
      </c>
      <c r="AQ437" s="1" t="b">
        <v>0</v>
      </c>
      <c r="AR437" s="1" t="b">
        <v>0</v>
      </c>
      <c r="AS437" s="1">
        <v>86.9179999999999</v>
      </c>
      <c r="AT437" s="1">
        <v>87.152</v>
      </c>
      <c r="AU437" s="1" t="b">
        <v>0</v>
      </c>
      <c r="AV437" s="1" t="b">
        <v>0</v>
      </c>
      <c r="AW437" s="1">
        <v>9.61399999999999</v>
      </c>
      <c r="AX437" s="1">
        <v>11.026</v>
      </c>
      <c r="AY437" s="1" t="b">
        <v>0</v>
      </c>
      <c r="AZ437" s="1" t="b">
        <v>0</v>
      </c>
      <c r="BA437" s="1">
        <v>81.25</v>
      </c>
      <c r="BB437" s="1">
        <v>77.78</v>
      </c>
      <c r="BC437" s="1" t="b">
        <v>0</v>
      </c>
      <c r="BD437" s="1" t="b">
        <v>0</v>
      </c>
      <c r="BE437" s="1">
        <v>11.34</v>
      </c>
      <c r="BF437" s="1">
        <v>13.285</v>
      </c>
      <c r="BG437" s="1" t="b">
        <v>0</v>
      </c>
      <c r="BH437" s="1" t="b">
        <v>0</v>
      </c>
      <c r="BI437" s="1">
        <v>77.78</v>
      </c>
      <c r="BJ437" s="1">
        <v>75.0</v>
      </c>
      <c r="BK437" s="1" t="b">
        <v>0</v>
      </c>
      <c r="BL437" s="1" t="b">
        <v>0</v>
      </c>
      <c r="BM437" s="1">
        <v>13.121</v>
      </c>
      <c r="BN437" s="1">
        <v>14.568</v>
      </c>
      <c r="BO437" s="1" t="b">
        <v>0</v>
      </c>
      <c r="BP437" s="1" t="b">
        <v>0</v>
      </c>
      <c r="BQ437" s="1">
        <v>75.0</v>
      </c>
      <c r="BR437" s="1">
        <v>72.027</v>
      </c>
      <c r="BS437" s="1" t="b">
        <v>0</v>
      </c>
      <c r="BT437" s="1" t="b">
        <v>0</v>
      </c>
      <c r="BU437" s="1" t="s">
        <v>105</v>
      </c>
      <c r="BV437" s="1" t="s">
        <v>105</v>
      </c>
      <c r="BW437" s="1" t="s">
        <v>105</v>
      </c>
      <c r="BX437" s="1" t="s">
        <v>105</v>
      </c>
      <c r="BY437" s="1" t="s">
        <v>105</v>
      </c>
      <c r="BZ437" s="1" t="s">
        <v>105</v>
      </c>
      <c r="CA437" s="1" t="s">
        <v>105</v>
      </c>
      <c r="CB437" s="1" t="s">
        <v>105</v>
      </c>
      <c r="CC437" s="1" t="s">
        <v>105</v>
      </c>
      <c r="CD437" s="1" t="s">
        <v>105</v>
      </c>
      <c r="CE437" s="4"/>
      <c r="CF437" s="4"/>
    </row>
    <row r="438" hidden="1">
      <c r="A438" s="1" t="s">
        <v>82</v>
      </c>
      <c r="B438" s="1" t="s">
        <v>262</v>
      </c>
      <c r="C438" s="1">
        <v>30.0</v>
      </c>
      <c r="D438" s="5" t="s">
        <v>1969</v>
      </c>
      <c r="E438" s="1" t="s">
        <v>1970</v>
      </c>
      <c r="F438" s="1">
        <v>73.0</v>
      </c>
      <c r="G438" s="1">
        <v>0.0258</v>
      </c>
      <c r="H438" s="1" t="s">
        <v>1971</v>
      </c>
      <c r="I438" s="4" t="b">
        <f>IFERROR(__xludf.DUMMYFUNCTION("IF(H438="""",,REGEXMATCH(H438,""[א-ת]""))"),FALSE)</f>
        <v>0</v>
      </c>
      <c r="J438" s="4"/>
      <c r="K438" s="1" t="s">
        <v>1972</v>
      </c>
      <c r="L438" s="1">
        <v>-0.3818</v>
      </c>
      <c r="M438" s="1">
        <v>25.9</v>
      </c>
      <c r="N438" s="1">
        <v>64.38</v>
      </c>
      <c r="O438" s="1">
        <v>0.8819178082</v>
      </c>
      <c r="P438" s="4"/>
      <c r="Q438" s="4"/>
      <c r="R438" s="1" t="s">
        <v>96</v>
      </c>
      <c r="S438" s="1" t="s">
        <v>1970</v>
      </c>
      <c r="T438" s="1" t="s">
        <v>262</v>
      </c>
      <c r="U438" s="1">
        <v>31.0</v>
      </c>
      <c r="V438" s="5" t="s">
        <v>1969</v>
      </c>
      <c r="W438" s="1" t="s">
        <v>1970</v>
      </c>
      <c r="X438" s="1" t="s">
        <v>1973</v>
      </c>
      <c r="Y438" s="4"/>
      <c r="Z438" s="4"/>
      <c r="AA438" s="4" t="b">
        <f>IFERROR(__xludf.DUMMYFUNCTION("IF(X438="""",,REGEXMATCH(X438,""[א-ת]""))"),FALSE)</f>
        <v>0</v>
      </c>
      <c r="AB438" s="1">
        <v>29.06</v>
      </c>
      <c r="AC438" s="1">
        <v>43.84</v>
      </c>
      <c r="AD438" s="1">
        <v>0.583128517043125</v>
      </c>
      <c r="AE438" s="1">
        <v>0.2732</v>
      </c>
      <c r="AF438" s="1">
        <v>0.0258</v>
      </c>
      <c r="AG438" s="1">
        <v>6.337</v>
      </c>
      <c r="AH438" s="1">
        <v>6.781</v>
      </c>
      <c r="AI438" s="1" t="b">
        <v>0</v>
      </c>
      <c r="AJ438" s="1" t="b">
        <v>0</v>
      </c>
      <c r="AK438" s="1">
        <v>94.182</v>
      </c>
      <c r="AL438" s="1">
        <v>96.508</v>
      </c>
      <c r="AM438" s="1" t="b">
        <v>0</v>
      </c>
      <c r="AN438" s="1" t="b">
        <v>0</v>
      </c>
      <c r="AO438" s="1">
        <v>8.05</v>
      </c>
      <c r="AP438" s="1">
        <v>8.53399999999999</v>
      </c>
      <c r="AQ438" s="1" t="b">
        <v>0</v>
      </c>
      <c r="AR438" s="1" t="b">
        <v>0</v>
      </c>
      <c r="AS438" s="1">
        <v>86.9179999999999</v>
      </c>
      <c r="AT438" s="1">
        <v>87.152</v>
      </c>
      <c r="AU438" s="1" t="b">
        <v>0</v>
      </c>
      <c r="AV438" s="1" t="b">
        <v>0</v>
      </c>
      <c r="AW438" s="1">
        <v>9.61399999999999</v>
      </c>
      <c r="AX438" s="1">
        <v>11.026</v>
      </c>
      <c r="AY438" s="1" t="b">
        <v>0</v>
      </c>
      <c r="AZ438" s="1" t="b">
        <v>0</v>
      </c>
      <c r="BA438" s="1">
        <v>81.25</v>
      </c>
      <c r="BB438" s="1">
        <v>77.78</v>
      </c>
      <c r="BC438" s="1" t="b">
        <v>0</v>
      </c>
      <c r="BD438" s="1" t="b">
        <v>0</v>
      </c>
      <c r="BE438" s="1">
        <v>11.34</v>
      </c>
      <c r="BF438" s="1">
        <v>13.285</v>
      </c>
      <c r="BG438" s="1" t="b">
        <v>0</v>
      </c>
      <c r="BH438" s="1" t="b">
        <v>0</v>
      </c>
      <c r="BI438" s="1">
        <v>77.78</v>
      </c>
      <c r="BJ438" s="1">
        <v>75.0</v>
      </c>
      <c r="BK438" s="1" t="b">
        <v>0</v>
      </c>
      <c r="BL438" s="1" t="b">
        <v>0</v>
      </c>
      <c r="BM438" s="1">
        <v>13.121</v>
      </c>
      <c r="BN438" s="1">
        <v>14.568</v>
      </c>
      <c r="BO438" s="1" t="b">
        <v>0</v>
      </c>
      <c r="BP438" s="1" t="b">
        <v>0</v>
      </c>
      <c r="BQ438" s="1">
        <v>75.0</v>
      </c>
      <c r="BR438" s="1">
        <v>72.027</v>
      </c>
      <c r="BS438" s="1" t="b">
        <v>0</v>
      </c>
      <c r="BT438" s="1" t="b">
        <v>0</v>
      </c>
      <c r="BU438" s="1" t="s">
        <v>105</v>
      </c>
      <c r="BV438" s="1" t="s">
        <v>105</v>
      </c>
      <c r="BW438" s="1" t="s">
        <v>105</v>
      </c>
      <c r="BX438" s="1" t="s">
        <v>105</v>
      </c>
      <c r="BY438" s="1" t="s">
        <v>105</v>
      </c>
      <c r="BZ438" s="1" t="s">
        <v>105</v>
      </c>
      <c r="CA438" s="1" t="s">
        <v>105</v>
      </c>
      <c r="CB438" s="1" t="s">
        <v>105</v>
      </c>
      <c r="CC438" s="1" t="s">
        <v>105</v>
      </c>
      <c r="CD438" s="1" t="s">
        <v>105</v>
      </c>
      <c r="CE438" s="4"/>
      <c r="CF438" s="4"/>
    </row>
    <row r="439" hidden="1">
      <c r="A439" s="1" t="s">
        <v>82</v>
      </c>
      <c r="B439" s="1" t="s">
        <v>92</v>
      </c>
      <c r="C439" s="1">
        <v>37.0</v>
      </c>
      <c r="D439" s="5" t="s">
        <v>1974</v>
      </c>
      <c r="E439" s="1" t="s">
        <v>1975</v>
      </c>
      <c r="F439" s="1">
        <v>48.0</v>
      </c>
      <c r="G439" s="1">
        <v>-0.6834</v>
      </c>
      <c r="H439" s="1" t="s">
        <v>1976</v>
      </c>
      <c r="I439" s="4" t="b">
        <f>IFERROR(__xludf.DUMMYFUNCTION("IF(H439="""",,REGEXMATCH(H439,""[א-ת]""))"),FALSE)</f>
        <v>0</v>
      </c>
      <c r="J439" s="4"/>
      <c r="K439" s="4"/>
      <c r="L439" s="1">
        <v>-0.3164</v>
      </c>
      <c r="M439" s="1">
        <v>25.93</v>
      </c>
      <c r="N439" s="1">
        <v>50.0</v>
      </c>
      <c r="O439" s="1">
        <v>1.041666667</v>
      </c>
      <c r="P439" s="4"/>
      <c r="Q439" s="4"/>
      <c r="R439" s="1" t="s">
        <v>96</v>
      </c>
      <c r="S439" s="1" t="s">
        <v>1975</v>
      </c>
      <c r="T439" s="1" t="s">
        <v>92</v>
      </c>
      <c r="U439" s="1">
        <v>38.0</v>
      </c>
      <c r="V439" s="5" t="s">
        <v>1974</v>
      </c>
      <c r="W439" s="1" t="s">
        <v>1975</v>
      </c>
      <c r="X439" s="1" t="s">
        <v>1977</v>
      </c>
      <c r="Y439" s="4"/>
      <c r="Z439" s="4"/>
      <c r="AA439" s="4" t="b">
        <f>IFERROR(__xludf.DUMMYFUNCTION("IF(X439="""",,REGEXMATCH(X439,""[א-ת]""))"),TRUE)</f>
        <v>1</v>
      </c>
      <c r="AB439" s="1">
        <v>18.12</v>
      </c>
      <c r="AC439" s="1">
        <v>62.5</v>
      </c>
      <c r="AD439" s="1">
        <v>0.471455746853186</v>
      </c>
      <c r="AE439" s="1">
        <v>-0.6239</v>
      </c>
      <c r="AF439" s="1">
        <v>-0.6834</v>
      </c>
      <c r="AG439" s="1">
        <v>6.337</v>
      </c>
      <c r="AH439" s="1">
        <v>6.781</v>
      </c>
      <c r="AI439" s="1" t="b">
        <v>0</v>
      </c>
      <c r="AJ439" s="1" t="b">
        <v>0</v>
      </c>
      <c r="AK439" s="1">
        <v>94.182</v>
      </c>
      <c r="AL439" s="1">
        <v>96.508</v>
      </c>
      <c r="AM439" s="1" t="b">
        <v>0</v>
      </c>
      <c r="AN439" s="1" t="b">
        <v>0</v>
      </c>
      <c r="AO439" s="1">
        <v>8.05</v>
      </c>
      <c r="AP439" s="1">
        <v>8.53399999999999</v>
      </c>
      <c r="AQ439" s="1" t="b">
        <v>0</v>
      </c>
      <c r="AR439" s="1" t="b">
        <v>0</v>
      </c>
      <c r="AS439" s="1">
        <v>86.9179999999999</v>
      </c>
      <c r="AT439" s="1">
        <v>87.152</v>
      </c>
      <c r="AU439" s="1" t="b">
        <v>0</v>
      </c>
      <c r="AV439" s="1" t="b">
        <v>0</v>
      </c>
      <c r="AW439" s="1">
        <v>9.61399999999999</v>
      </c>
      <c r="AX439" s="1">
        <v>11.026</v>
      </c>
      <c r="AY439" s="1" t="b">
        <v>0</v>
      </c>
      <c r="AZ439" s="1" t="b">
        <v>0</v>
      </c>
      <c r="BA439" s="1">
        <v>81.25</v>
      </c>
      <c r="BB439" s="1">
        <v>77.78</v>
      </c>
      <c r="BC439" s="1" t="b">
        <v>0</v>
      </c>
      <c r="BD439" s="1" t="b">
        <v>0</v>
      </c>
      <c r="BE439" s="1">
        <v>11.34</v>
      </c>
      <c r="BF439" s="1">
        <v>13.285</v>
      </c>
      <c r="BG439" s="1" t="b">
        <v>0</v>
      </c>
      <c r="BH439" s="1" t="b">
        <v>0</v>
      </c>
      <c r="BI439" s="1">
        <v>77.78</v>
      </c>
      <c r="BJ439" s="1">
        <v>75.0</v>
      </c>
      <c r="BK439" s="1" t="b">
        <v>0</v>
      </c>
      <c r="BL439" s="1" t="b">
        <v>0</v>
      </c>
      <c r="BM439" s="1">
        <v>13.121</v>
      </c>
      <c r="BN439" s="1">
        <v>14.568</v>
      </c>
      <c r="BO439" s="1" t="b">
        <v>0</v>
      </c>
      <c r="BP439" s="1" t="b">
        <v>0</v>
      </c>
      <c r="BQ439" s="1">
        <v>75.0</v>
      </c>
      <c r="BR439" s="1">
        <v>72.027</v>
      </c>
      <c r="BS439" s="1" t="b">
        <v>0</v>
      </c>
      <c r="BT439" s="1" t="b">
        <v>0</v>
      </c>
      <c r="BU439" s="1" t="s">
        <v>105</v>
      </c>
      <c r="BV439" s="1" t="s">
        <v>105</v>
      </c>
      <c r="BW439" s="1" t="s">
        <v>105</v>
      </c>
      <c r="BX439" s="1" t="s">
        <v>105</v>
      </c>
      <c r="BY439" s="1" t="s">
        <v>105</v>
      </c>
      <c r="BZ439" s="1" t="s">
        <v>105</v>
      </c>
      <c r="CA439" s="1" t="s">
        <v>105</v>
      </c>
      <c r="CB439" s="1" t="s">
        <v>105</v>
      </c>
      <c r="CC439" s="1" t="s">
        <v>105</v>
      </c>
      <c r="CD439" s="1" t="s">
        <v>105</v>
      </c>
      <c r="CE439" s="4"/>
      <c r="CF439" s="4"/>
    </row>
    <row r="440" hidden="1">
      <c r="A440" s="1" t="s">
        <v>82</v>
      </c>
      <c r="B440" s="1" t="s">
        <v>304</v>
      </c>
      <c r="C440" s="1">
        <v>9.0</v>
      </c>
      <c r="D440" s="5" t="s">
        <v>1978</v>
      </c>
      <c r="E440" s="1" t="s">
        <v>1979</v>
      </c>
      <c r="F440" s="1">
        <v>58.0</v>
      </c>
      <c r="G440" s="1">
        <v>0.4767</v>
      </c>
      <c r="H440" s="1" t="s">
        <v>1980</v>
      </c>
      <c r="I440" s="4" t="b">
        <f>IFERROR(__xludf.DUMMYFUNCTION("IF(H440="""",,REGEXMATCH(H440,""[א-ת]""))"),FALSE)</f>
        <v>0</v>
      </c>
      <c r="J440" s="4"/>
      <c r="K440" s="4"/>
      <c r="L440" s="1">
        <v>-0.2598</v>
      </c>
      <c r="M440" s="1">
        <v>25.97</v>
      </c>
      <c r="N440" s="1">
        <v>50.0</v>
      </c>
      <c r="O440" s="1">
        <v>0.8620689655</v>
      </c>
      <c r="P440" s="4"/>
      <c r="Q440" s="4"/>
      <c r="R440" s="1" t="s">
        <v>89</v>
      </c>
      <c r="S440" s="1" t="s">
        <v>1979</v>
      </c>
      <c r="T440" s="1" t="s">
        <v>304</v>
      </c>
      <c r="U440" s="1">
        <v>10.0</v>
      </c>
      <c r="V440" s="5" t="s">
        <v>1978</v>
      </c>
      <c r="W440" s="1" t="s">
        <v>1979</v>
      </c>
      <c r="X440" s="1" t="s">
        <v>1981</v>
      </c>
      <c r="Y440" s="4"/>
      <c r="Z440" s="4"/>
      <c r="AA440" s="4" t="b">
        <f>IFERROR(__xludf.DUMMYFUNCTION("IF(X440="""",,REGEXMATCH(X440,""[א-ת]""))"),FALSE)</f>
        <v>0</v>
      </c>
      <c r="AB440" s="1">
        <v>20.11</v>
      </c>
      <c r="AC440" s="1">
        <v>63.79</v>
      </c>
      <c r="AD440" s="1">
        <v>0.507768141710822</v>
      </c>
      <c r="AE440" s="1">
        <v>0.68</v>
      </c>
      <c r="AF440" s="1">
        <v>0.4767</v>
      </c>
      <c r="AG440" s="1">
        <v>6.337</v>
      </c>
      <c r="AH440" s="1">
        <v>6.781</v>
      </c>
      <c r="AI440" s="1" t="b">
        <v>0</v>
      </c>
      <c r="AJ440" s="1" t="b">
        <v>0</v>
      </c>
      <c r="AK440" s="1">
        <v>94.182</v>
      </c>
      <c r="AL440" s="1">
        <v>96.508</v>
      </c>
      <c r="AM440" s="1" t="b">
        <v>0</v>
      </c>
      <c r="AN440" s="1" t="b">
        <v>0</v>
      </c>
      <c r="AO440" s="1">
        <v>8.05</v>
      </c>
      <c r="AP440" s="1">
        <v>8.53399999999999</v>
      </c>
      <c r="AQ440" s="1" t="b">
        <v>0</v>
      </c>
      <c r="AR440" s="1" t="b">
        <v>0</v>
      </c>
      <c r="AS440" s="1">
        <v>86.9179999999999</v>
      </c>
      <c r="AT440" s="1">
        <v>87.152</v>
      </c>
      <c r="AU440" s="1" t="b">
        <v>0</v>
      </c>
      <c r="AV440" s="1" t="b">
        <v>0</v>
      </c>
      <c r="AW440" s="1">
        <v>9.61399999999999</v>
      </c>
      <c r="AX440" s="1">
        <v>11.026</v>
      </c>
      <c r="AY440" s="1" t="b">
        <v>0</v>
      </c>
      <c r="AZ440" s="1" t="b">
        <v>0</v>
      </c>
      <c r="BA440" s="1">
        <v>81.25</v>
      </c>
      <c r="BB440" s="1">
        <v>77.78</v>
      </c>
      <c r="BC440" s="1" t="b">
        <v>0</v>
      </c>
      <c r="BD440" s="1" t="b">
        <v>0</v>
      </c>
      <c r="BE440" s="1">
        <v>11.34</v>
      </c>
      <c r="BF440" s="1">
        <v>13.285</v>
      </c>
      <c r="BG440" s="1" t="b">
        <v>0</v>
      </c>
      <c r="BH440" s="1" t="b">
        <v>0</v>
      </c>
      <c r="BI440" s="1">
        <v>77.78</v>
      </c>
      <c r="BJ440" s="1">
        <v>75.0</v>
      </c>
      <c r="BK440" s="1" t="b">
        <v>0</v>
      </c>
      <c r="BL440" s="1" t="b">
        <v>0</v>
      </c>
      <c r="BM440" s="1">
        <v>13.121</v>
      </c>
      <c r="BN440" s="1">
        <v>14.568</v>
      </c>
      <c r="BO440" s="1" t="b">
        <v>0</v>
      </c>
      <c r="BP440" s="1" t="b">
        <v>0</v>
      </c>
      <c r="BQ440" s="1">
        <v>75.0</v>
      </c>
      <c r="BR440" s="1">
        <v>72.027</v>
      </c>
      <c r="BS440" s="1" t="b">
        <v>0</v>
      </c>
      <c r="BT440" s="1" t="b">
        <v>0</v>
      </c>
      <c r="BU440" s="1" t="s">
        <v>105</v>
      </c>
      <c r="BV440" s="1" t="s">
        <v>105</v>
      </c>
      <c r="BW440" s="1" t="s">
        <v>105</v>
      </c>
      <c r="BX440" s="1" t="s">
        <v>105</v>
      </c>
      <c r="BY440" s="1" t="s">
        <v>105</v>
      </c>
      <c r="BZ440" s="1" t="s">
        <v>105</v>
      </c>
      <c r="CA440" s="1" t="s">
        <v>105</v>
      </c>
      <c r="CB440" s="1" t="s">
        <v>105</v>
      </c>
      <c r="CC440" s="1" t="s">
        <v>105</v>
      </c>
      <c r="CD440" s="1" t="s">
        <v>105</v>
      </c>
      <c r="CE440" s="4"/>
      <c r="CF440" s="4"/>
    </row>
    <row r="441" hidden="1">
      <c r="A441" s="1" t="s">
        <v>82</v>
      </c>
      <c r="B441" s="1" t="s">
        <v>83</v>
      </c>
      <c r="C441" s="1">
        <v>2.0</v>
      </c>
      <c r="D441" s="5" t="s">
        <v>1982</v>
      </c>
      <c r="E441" s="1" t="s">
        <v>1983</v>
      </c>
      <c r="F441" s="1">
        <v>35.0</v>
      </c>
      <c r="G441" s="1">
        <v>-0.1779</v>
      </c>
      <c r="H441" s="1" t="s">
        <v>1984</v>
      </c>
      <c r="I441" s="4" t="b">
        <f>IFERROR(__xludf.DUMMYFUNCTION("IF(H441="""",,REGEXMATCH(H441,""[א-ת]""))"),FALSE)</f>
        <v>0</v>
      </c>
      <c r="J441" s="4"/>
      <c r="K441" s="4"/>
      <c r="L441" s="1">
        <v>-0.3182</v>
      </c>
      <c r="M441" s="1">
        <v>26.06</v>
      </c>
      <c r="N441" s="1">
        <v>68.57</v>
      </c>
      <c r="O441" s="1">
        <v>1.959142857</v>
      </c>
      <c r="P441" s="4"/>
      <c r="Q441" s="4"/>
      <c r="R441" s="1" t="s">
        <v>89</v>
      </c>
      <c r="S441" s="1" t="s">
        <v>1983</v>
      </c>
      <c r="T441" s="1" t="s">
        <v>83</v>
      </c>
      <c r="U441" s="1">
        <v>3.0</v>
      </c>
      <c r="V441" s="5" t="s">
        <v>1982</v>
      </c>
      <c r="W441" s="1" t="s">
        <v>1983</v>
      </c>
      <c r="X441" s="1" t="s">
        <v>1985</v>
      </c>
      <c r="Y441" s="4"/>
      <c r="Z441" s="4"/>
      <c r="AA441" s="4" t="b">
        <f>IFERROR(__xludf.DUMMYFUNCTION("IF(X441="""",,REGEXMATCH(X441,""[א-ת]""))"),FALSE)</f>
        <v>0</v>
      </c>
      <c r="AB441" s="1">
        <v>30.9</v>
      </c>
      <c r="AC441" s="1">
        <v>57.14</v>
      </c>
      <c r="AD441" s="1">
        <v>0.773751330149079</v>
      </c>
      <c r="AE441" s="1">
        <v>-0.296</v>
      </c>
      <c r="AF441" s="1">
        <v>-0.1779</v>
      </c>
      <c r="AG441" s="1">
        <v>6.337</v>
      </c>
      <c r="AH441" s="1">
        <v>6.781</v>
      </c>
      <c r="AI441" s="1" t="b">
        <v>0</v>
      </c>
      <c r="AJ441" s="1" t="b">
        <v>0</v>
      </c>
      <c r="AK441" s="1">
        <v>94.182</v>
      </c>
      <c r="AL441" s="1">
        <v>96.508</v>
      </c>
      <c r="AM441" s="1" t="b">
        <v>0</v>
      </c>
      <c r="AN441" s="1" t="b">
        <v>0</v>
      </c>
      <c r="AO441" s="1">
        <v>8.05</v>
      </c>
      <c r="AP441" s="1">
        <v>8.53399999999999</v>
      </c>
      <c r="AQ441" s="1" t="b">
        <v>0</v>
      </c>
      <c r="AR441" s="1" t="b">
        <v>0</v>
      </c>
      <c r="AS441" s="1">
        <v>86.9179999999999</v>
      </c>
      <c r="AT441" s="1">
        <v>87.152</v>
      </c>
      <c r="AU441" s="1" t="b">
        <v>0</v>
      </c>
      <c r="AV441" s="1" t="b">
        <v>0</v>
      </c>
      <c r="AW441" s="1">
        <v>9.61399999999999</v>
      </c>
      <c r="AX441" s="1">
        <v>11.026</v>
      </c>
      <c r="AY441" s="1" t="b">
        <v>0</v>
      </c>
      <c r="AZ441" s="1" t="b">
        <v>0</v>
      </c>
      <c r="BA441" s="1">
        <v>81.25</v>
      </c>
      <c r="BB441" s="1">
        <v>77.78</v>
      </c>
      <c r="BC441" s="1" t="b">
        <v>0</v>
      </c>
      <c r="BD441" s="1" t="b">
        <v>0</v>
      </c>
      <c r="BE441" s="1">
        <v>11.34</v>
      </c>
      <c r="BF441" s="1">
        <v>13.285</v>
      </c>
      <c r="BG441" s="1" t="b">
        <v>0</v>
      </c>
      <c r="BH441" s="1" t="b">
        <v>0</v>
      </c>
      <c r="BI441" s="1">
        <v>77.78</v>
      </c>
      <c r="BJ441" s="1">
        <v>75.0</v>
      </c>
      <c r="BK441" s="1" t="b">
        <v>0</v>
      </c>
      <c r="BL441" s="1" t="b">
        <v>0</v>
      </c>
      <c r="BM441" s="1">
        <v>13.121</v>
      </c>
      <c r="BN441" s="1">
        <v>14.568</v>
      </c>
      <c r="BO441" s="1" t="b">
        <v>0</v>
      </c>
      <c r="BP441" s="1" t="b">
        <v>0</v>
      </c>
      <c r="BQ441" s="1">
        <v>75.0</v>
      </c>
      <c r="BR441" s="1">
        <v>72.027</v>
      </c>
      <c r="BS441" s="1" t="b">
        <v>0</v>
      </c>
      <c r="BT441" s="1" t="b">
        <v>0</v>
      </c>
      <c r="BU441" s="1" t="s">
        <v>105</v>
      </c>
      <c r="BV441" s="1" t="s">
        <v>105</v>
      </c>
      <c r="BW441" s="1" t="s">
        <v>105</v>
      </c>
      <c r="BX441" s="1" t="s">
        <v>105</v>
      </c>
      <c r="BY441" s="1" t="s">
        <v>105</v>
      </c>
      <c r="BZ441" s="1" t="s">
        <v>105</v>
      </c>
      <c r="CA441" s="1" t="s">
        <v>105</v>
      </c>
      <c r="CB441" s="1" t="s">
        <v>105</v>
      </c>
      <c r="CC441" s="1" t="s">
        <v>105</v>
      </c>
      <c r="CD441" s="1" t="s">
        <v>105</v>
      </c>
      <c r="CE441" s="4"/>
      <c r="CF441" s="4"/>
    </row>
    <row r="442" hidden="1">
      <c r="A442" s="1" t="s">
        <v>82</v>
      </c>
      <c r="B442" s="1" t="s">
        <v>152</v>
      </c>
      <c r="C442" s="1">
        <v>1.0</v>
      </c>
      <c r="D442" s="5" t="s">
        <v>1986</v>
      </c>
      <c r="E442" s="1" t="s">
        <v>1987</v>
      </c>
      <c r="F442" s="1">
        <v>34.0</v>
      </c>
      <c r="G442" s="1">
        <v>0.0</v>
      </c>
      <c r="H442" s="1" t="s">
        <v>1988</v>
      </c>
      <c r="I442" s="4" t="b">
        <f>IFERROR(__xludf.DUMMYFUNCTION("IF(H442="""",,REGEXMATCH(H442,""[א-ת]""))"),FALSE)</f>
        <v>0</v>
      </c>
      <c r="J442" s="4"/>
      <c r="K442" s="4"/>
      <c r="L442" s="1">
        <v>0.0</v>
      </c>
      <c r="M442" s="1">
        <v>26.08</v>
      </c>
      <c r="N442" s="1">
        <v>41.18</v>
      </c>
      <c r="O442" s="1">
        <v>1.211176471</v>
      </c>
      <c r="P442" s="4"/>
      <c r="Q442" s="4"/>
      <c r="R442" s="1" t="s">
        <v>89</v>
      </c>
      <c r="S442" s="1" t="s">
        <v>1987</v>
      </c>
      <c r="T442" s="1" t="s">
        <v>152</v>
      </c>
      <c r="U442" s="1">
        <v>2.0</v>
      </c>
      <c r="V442" s="5" t="s">
        <v>1986</v>
      </c>
      <c r="W442" s="1" t="s">
        <v>1987</v>
      </c>
      <c r="X442" s="1" t="s">
        <v>1989</v>
      </c>
      <c r="Y442" s="4"/>
      <c r="Z442" s="4"/>
      <c r="AA442" s="4" t="b">
        <f>IFERROR(__xludf.DUMMYFUNCTION("IF(X442="""",,REGEXMATCH(X442,""[א-ת]""))"),FALSE)</f>
        <v>0</v>
      </c>
      <c r="AB442" s="1">
        <v>53.06</v>
      </c>
      <c r="AC442" s="1">
        <v>29.41</v>
      </c>
      <c r="AD442" s="1">
        <v>0.885787239590397</v>
      </c>
      <c r="AE442" s="1">
        <v>0.0</v>
      </c>
      <c r="AF442" s="1">
        <v>0.0</v>
      </c>
      <c r="AG442" s="1">
        <v>6.337</v>
      </c>
      <c r="AH442" s="1">
        <v>6.781</v>
      </c>
      <c r="AI442" s="1" t="b">
        <v>0</v>
      </c>
      <c r="AJ442" s="1" t="b">
        <v>0</v>
      </c>
      <c r="AK442" s="1">
        <v>94.182</v>
      </c>
      <c r="AL442" s="1">
        <v>96.508</v>
      </c>
      <c r="AM442" s="1" t="b">
        <v>0</v>
      </c>
      <c r="AN442" s="1" t="b">
        <v>0</v>
      </c>
      <c r="AO442" s="1">
        <v>8.05</v>
      </c>
      <c r="AP442" s="1">
        <v>8.53399999999999</v>
      </c>
      <c r="AQ442" s="1" t="b">
        <v>0</v>
      </c>
      <c r="AR442" s="1" t="b">
        <v>0</v>
      </c>
      <c r="AS442" s="1">
        <v>86.9179999999999</v>
      </c>
      <c r="AT442" s="1">
        <v>87.152</v>
      </c>
      <c r="AU442" s="1" t="b">
        <v>0</v>
      </c>
      <c r="AV442" s="1" t="b">
        <v>0</v>
      </c>
      <c r="AW442" s="1">
        <v>9.61399999999999</v>
      </c>
      <c r="AX442" s="1">
        <v>11.026</v>
      </c>
      <c r="AY442" s="1" t="b">
        <v>0</v>
      </c>
      <c r="AZ442" s="1" t="b">
        <v>0</v>
      </c>
      <c r="BA442" s="1">
        <v>81.25</v>
      </c>
      <c r="BB442" s="1">
        <v>77.78</v>
      </c>
      <c r="BC442" s="1" t="b">
        <v>0</v>
      </c>
      <c r="BD442" s="1" t="b">
        <v>0</v>
      </c>
      <c r="BE442" s="1">
        <v>11.34</v>
      </c>
      <c r="BF442" s="1">
        <v>13.285</v>
      </c>
      <c r="BG442" s="1" t="b">
        <v>0</v>
      </c>
      <c r="BH442" s="1" t="b">
        <v>0</v>
      </c>
      <c r="BI442" s="1">
        <v>77.78</v>
      </c>
      <c r="BJ442" s="1">
        <v>75.0</v>
      </c>
      <c r="BK442" s="1" t="b">
        <v>0</v>
      </c>
      <c r="BL442" s="1" t="b">
        <v>0</v>
      </c>
      <c r="BM442" s="1">
        <v>13.121</v>
      </c>
      <c r="BN442" s="1">
        <v>14.568</v>
      </c>
      <c r="BO442" s="1" t="b">
        <v>0</v>
      </c>
      <c r="BP442" s="1" t="b">
        <v>0</v>
      </c>
      <c r="BQ442" s="1">
        <v>75.0</v>
      </c>
      <c r="BR442" s="1">
        <v>72.027</v>
      </c>
      <c r="BS442" s="1" t="b">
        <v>0</v>
      </c>
      <c r="BT442" s="1" t="b">
        <v>0</v>
      </c>
      <c r="BU442" s="1" t="s">
        <v>105</v>
      </c>
      <c r="BV442" s="1" t="s">
        <v>105</v>
      </c>
      <c r="BW442" s="1" t="s">
        <v>105</v>
      </c>
      <c r="BX442" s="1" t="s">
        <v>105</v>
      </c>
      <c r="BY442" s="1" t="s">
        <v>105</v>
      </c>
      <c r="BZ442" s="1" t="s">
        <v>105</v>
      </c>
      <c r="CA442" s="1" t="s">
        <v>105</v>
      </c>
      <c r="CB442" s="1" t="s">
        <v>105</v>
      </c>
      <c r="CC442" s="1" t="s">
        <v>105</v>
      </c>
      <c r="CD442" s="1" t="s">
        <v>105</v>
      </c>
      <c r="CE442" s="4"/>
      <c r="CF442" s="4"/>
    </row>
    <row r="443" hidden="1">
      <c r="A443" s="1" t="s">
        <v>82</v>
      </c>
      <c r="B443" s="1" t="s">
        <v>631</v>
      </c>
      <c r="C443" s="1">
        <v>5.0</v>
      </c>
      <c r="D443" s="5" t="s">
        <v>1990</v>
      </c>
      <c r="E443" s="1" t="s">
        <v>1991</v>
      </c>
      <c r="F443" s="1">
        <v>50.0</v>
      </c>
      <c r="G443" s="1">
        <v>0.8233</v>
      </c>
      <c r="H443" s="1" t="s">
        <v>1992</v>
      </c>
      <c r="I443" s="4" t="b">
        <f>IFERROR(__xludf.DUMMYFUNCTION("IF(H443="""",,REGEXMATCH(H443,""[א-ת]""))"),FALSE)</f>
        <v>0</v>
      </c>
      <c r="J443" s="4"/>
      <c r="K443" s="4"/>
      <c r="L443" s="1">
        <v>0.765</v>
      </c>
      <c r="M443" s="1">
        <v>26.15</v>
      </c>
      <c r="N443" s="1">
        <v>50.0</v>
      </c>
      <c r="O443" s="1">
        <v>1.0</v>
      </c>
      <c r="P443" s="4"/>
      <c r="Q443" s="4"/>
      <c r="R443" s="1" t="s">
        <v>89</v>
      </c>
      <c r="S443" s="1" t="s">
        <v>1991</v>
      </c>
      <c r="T443" s="1" t="s">
        <v>631</v>
      </c>
      <c r="U443" s="1">
        <v>6.0</v>
      </c>
      <c r="V443" s="5" t="s">
        <v>1990</v>
      </c>
      <c r="W443" s="1" t="s">
        <v>1991</v>
      </c>
      <c r="X443" s="1" t="s">
        <v>1993</v>
      </c>
      <c r="Y443" s="4"/>
      <c r="Z443" s="4"/>
      <c r="AA443" s="4" t="b">
        <f>IFERROR(__xludf.DUMMYFUNCTION("IF(X443="""",,REGEXMATCH(X443,""[א-ת]""))"),FALSE)</f>
        <v>0</v>
      </c>
      <c r="AB443" s="1">
        <v>48.13</v>
      </c>
      <c r="AC443" s="1">
        <v>44.0</v>
      </c>
      <c r="AD443" s="1">
        <v>0.64386779201341</v>
      </c>
      <c r="AE443" s="1">
        <v>0.0516</v>
      </c>
      <c r="AF443" s="1">
        <v>0.8233</v>
      </c>
      <c r="AG443" s="1">
        <v>6.337</v>
      </c>
      <c r="AH443" s="1">
        <v>6.781</v>
      </c>
      <c r="AI443" s="1" t="b">
        <v>0</v>
      </c>
      <c r="AJ443" s="1" t="b">
        <v>0</v>
      </c>
      <c r="AK443" s="1">
        <v>94.182</v>
      </c>
      <c r="AL443" s="1">
        <v>96.508</v>
      </c>
      <c r="AM443" s="1" t="b">
        <v>0</v>
      </c>
      <c r="AN443" s="1" t="b">
        <v>0</v>
      </c>
      <c r="AO443" s="1">
        <v>8.05</v>
      </c>
      <c r="AP443" s="1">
        <v>8.53399999999999</v>
      </c>
      <c r="AQ443" s="1" t="b">
        <v>0</v>
      </c>
      <c r="AR443" s="1" t="b">
        <v>0</v>
      </c>
      <c r="AS443" s="1">
        <v>86.9179999999999</v>
      </c>
      <c r="AT443" s="1">
        <v>87.152</v>
      </c>
      <c r="AU443" s="1" t="b">
        <v>0</v>
      </c>
      <c r="AV443" s="1" t="b">
        <v>0</v>
      </c>
      <c r="AW443" s="1">
        <v>9.61399999999999</v>
      </c>
      <c r="AX443" s="1">
        <v>11.026</v>
      </c>
      <c r="AY443" s="1" t="b">
        <v>0</v>
      </c>
      <c r="AZ443" s="1" t="b">
        <v>0</v>
      </c>
      <c r="BA443" s="1">
        <v>81.25</v>
      </c>
      <c r="BB443" s="1">
        <v>77.78</v>
      </c>
      <c r="BC443" s="1" t="b">
        <v>0</v>
      </c>
      <c r="BD443" s="1" t="b">
        <v>0</v>
      </c>
      <c r="BE443" s="1">
        <v>11.34</v>
      </c>
      <c r="BF443" s="1">
        <v>13.285</v>
      </c>
      <c r="BG443" s="1" t="b">
        <v>0</v>
      </c>
      <c r="BH443" s="1" t="b">
        <v>0</v>
      </c>
      <c r="BI443" s="1">
        <v>77.78</v>
      </c>
      <c r="BJ443" s="1">
        <v>75.0</v>
      </c>
      <c r="BK443" s="1" t="b">
        <v>0</v>
      </c>
      <c r="BL443" s="1" t="b">
        <v>0</v>
      </c>
      <c r="BM443" s="1">
        <v>13.121</v>
      </c>
      <c r="BN443" s="1">
        <v>14.568</v>
      </c>
      <c r="BO443" s="1" t="b">
        <v>0</v>
      </c>
      <c r="BP443" s="1" t="b">
        <v>0</v>
      </c>
      <c r="BQ443" s="1">
        <v>75.0</v>
      </c>
      <c r="BR443" s="1">
        <v>72.027</v>
      </c>
      <c r="BS443" s="1" t="b">
        <v>0</v>
      </c>
      <c r="BT443" s="1" t="b">
        <v>0</v>
      </c>
      <c r="BU443" s="1" t="s">
        <v>105</v>
      </c>
      <c r="BV443" s="1" t="s">
        <v>105</v>
      </c>
      <c r="BW443" s="1" t="s">
        <v>105</v>
      </c>
      <c r="BX443" s="1" t="s">
        <v>105</v>
      </c>
      <c r="BY443" s="1" t="s">
        <v>105</v>
      </c>
      <c r="BZ443" s="1" t="s">
        <v>105</v>
      </c>
      <c r="CA443" s="1" t="s">
        <v>105</v>
      </c>
      <c r="CB443" s="1" t="s">
        <v>105</v>
      </c>
      <c r="CC443" s="1" t="s">
        <v>105</v>
      </c>
      <c r="CD443" s="1" t="s">
        <v>105</v>
      </c>
      <c r="CE443" s="4"/>
      <c r="CF443" s="4"/>
    </row>
    <row r="444" hidden="1">
      <c r="A444" s="1" t="s">
        <v>82</v>
      </c>
      <c r="B444" s="1" t="s">
        <v>92</v>
      </c>
      <c r="C444" s="1">
        <v>25.0</v>
      </c>
      <c r="D444" s="5" t="s">
        <v>1994</v>
      </c>
      <c r="E444" s="1" t="s">
        <v>1995</v>
      </c>
      <c r="F444" s="1">
        <v>78.0</v>
      </c>
      <c r="G444" s="1">
        <v>0.7269</v>
      </c>
      <c r="H444" s="1" t="s">
        <v>1996</v>
      </c>
      <c r="I444" s="4" t="b">
        <f>IFERROR(__xludf.DUMMYFUNCTION("IF(H444="""",,REGEXMATCH(H444,""[א-ת]""))"),FALSE)</f>
        <v>0</v>
      </c>
      <c r="J444" s="4"/>
      <c r="K444" s="4"/>
      <c r="L444" s="1">
        <v>0.7906</v>
      </c>
      <c r="M444" s="1">
        <v>26.17</v>
      </c>
      <c r="N444" s="1">
        <v>50.0</v>
      </c>
      <c r="O444" s="1">
        <v>0.641025641</v>
      </c>
      <c r="P444" s="4"/>
      <c r="Q444" s="4"/>
      <c r="R444" s="1" t="s">
        <v>96</v>
      </c>
      <c r="S444" s="1" t="s">
        <v>1995</v>
      </c>
      <c r="T444" s="1" t="s">
        <v>92</v>
      </c>
      <c r="U444" s="1">
        <v>26.0</v>
      </c>
      <c r="V444" s="5" t="s">
        <v>1994</v>
      </c>
      <c r="W444" s="1" t="s">
        <v>1995</v>
      </c>
      <c r="X444" s="1" t="s">
        <v>1997</v>
      </c>
      <c r="Y444" s="4"/>
      <c r="Z444" s="4"/>
      <c r="AA444" s="4" t="b">
        <f>IFERROR(__xludf.DUMMYFUNCTION("IF(X444="""",,REGEXMATCH(X444,""[א-ת]""))"),TRUE)</f>
        <v>1</v>
      </c>
      <c r="AB444" s="1">
        <v>28.5</v>
      </c>
      <c r="AC444" s="1">
        <v>46.15</v>
      </c>
      <c r="AD444" s="1">
        <v>0.55895832530584</v>
      </c>
      <c r="AE444" s="1">
        <v>0.7845</v>
      </c>
      <c r="AF444" s="1">
        <v>0.7269</v>
      </c>
      <c r="AG444" s="1">
        <v>6.337</v>
      </c>
      <c r="AH444" s="1">
        <v>6.781</v>
      </c>
      <c r="AI444" s="1" t="b">
        <v>0</v>
      </c>
      <c r="AJ444" s="1" t="b">
        <v>0</v>
      </c>
      <c r="AK444" s="1">
        <v>94.182</v>
      </c>
      <c r="AL444" s="1">
        <v>96.508</v>
      </c>
      <c r="AM444" s="1" t="b">
        <v>0</v>
      </c>
      <c r="AN444" s="1" t="b">
        <v>0</v>
      </c>
      <c r="AO444" s="1">
        <v>8.05</v>
      </c>
      <c r="AP444" s="1">
        <v>8.53399999999999</v>
      </c>
      <c r="AQ444" s="1" t="b">
        <v>0</v>
      </c>
      <c r="AR444" s="1" t="b">
        <v>0</v>
      </c>
      <c r="AS444" s="1">
        <v>86.9179999999999</v>
      </c>
      <c r="AT444" s="1">
        <v>87.152</v>
      </c>
      <c r="AU444" s="1" t="b">
        <v>0</v>
      </c>
      <c r="AV444" s="1" t="b">
        <v>0</v>
      </c>
      <c r="AW444" s="1">
        <v>9.61399999999999</v>
      </c>
      <c r="AX444" s="1">
        <v>11.026</v>
      </c>
      <c r="AY444" s="1" t="b">
        <v>0</v>
      </c>
      <c r="AZ444" s="1" t="b">
        <v>0</v>
      </c>
      <c r="BA444" s="1">
        <v>81.25</v>
      </c>
      <c r="BB444" s="1">
        <v>77.78</v>
      </c>
      <c r="BC444" s="1" t="b">
        <v>0</v>
      </c>
      <c r="BD444" s="1" t="b">
        <v>0</v>
      </c>
      <c r="BE444" s="1">
        <v>11.34</v>
      </c>
      <c r="BF444" s="1">
        <v>13.285</v>
      </c>
      <c r="BG444" s="1" t="b">
        <v>0</v>
      </c>
      <c r="BH444" s="1" t="b">
        <v>0</v>
      </c>
      <c r="BI444" s="1">
        <v>77.78</v>
      </c>
      <c r="BJ444" s="1">
        <v>75.0</v>
      </c>
      <c r="BK444" s="1" t="b">
        <v>0</v>
      </c>
      <c r="BL444" s="1" t="b">
        <v>0</v>
      </c>
      <c r="BM444" s="1">
        <v>13.121</v>
      </c>
      <c r="BN444" s="1">
        <v>14.568</v>
      </c>
      <c r="BO444" s="1" t="b">
        <v>0</v>
      </c>
      <c r="BP444" s="1" t="b">
        <v>0</v>
      </c>
      <c r="BQ444" s="1">
        <v>75.0</v>
      </c>
      <c r="BR444" s="1">
        <v>72.027</v>
      </c>
      <c r="BS444" s="1" t="b">
        <v>0</v>
      </c>
      <c r="BT444" s="1" t="b">
        <v>0</v>
      </c>
      <c r="BU444" s="1" t="s">
        <v>105</v>
      </c>
      <c r="BV444" s="1" t="s">
        <v>105</v>
      </c>
      <c r="BW444" s="1" t="s">
        <v>105</v>
      </c>
      <c r="BX444" s="1" t="s">
        <v>105</v>
      </c>
      <c r="BY444" s="1" t="s">
        <v>105</v>
      </c>
      <c r="BZ444" s="1" t="s">
        <v>105</v>
      </c>
      <c r="CA444" s="1" t="s">
        <v>105</v>
      </c>
      <c r="CB444" s="1" t="s">
        <v>105</v>
      </c>
      <c r="CC444" s="1" t="s">
        <v>105</v>
      </c>
      <c r="CD444" s="1" t="s">
        <v>105</v>
      </c>
      <c r="CE444" s="4"/>
      <c r="CF444" s="4"/>
    </row>
    <row r="445" hidden="1">
      <c r="A445" s="1" t="s">
        <v>82</v>
      </c>
      <c r="B445" s="1" t="s">
        <v>111</v>
      </c>
      <c r="C445" s="1">
        <v>55.0</v>
      </c>
      <c r="D445" s="5" t="s">
        <v>1998</v>
      </c>
      <c r="E445" s="1" t="s">
        <v>1999</v>
      </c>
      <c r="F445" s="1">
        <v>52.0</v>
      </c>
      <c r="G445" s="1">
        <v>-0.9528</v>
      </c>
      <c r="H445" s="1" t="s">
        <v>2000</v>
      </c>
      <c r="I445" s="4" t="b">
        <f>IFERROR(__xludf.DUMMYFUNCTION("IF(H445="""",,REGEXMATCH(H445,""[א-ת]""))"),FALSE)</f>
        <v>0</v>
      </c>
      <c r="J445" s="4"/>
      <c r="K445" s="4"/>
      <c r="L445" s="1">
        <v>-0.8988</v>
      </c>
      <c r="M445" s="1">
        <v>26.45</v>
      </c>
      <c r="N445" s="1">
        <v>63.46</v>
      </c>
      <c r="O445" s="1">
        <v>1.220384615</v>
      </c>
      <c r="P445" s="4"/>
      <c r="Q445" s="4"/>
      <c r="R445" s="1" t="s">
        <v>89</v>
      </c>
      <c r="S445" s="1" t="s">
        <v>1999</v>
      </c>
      <c r="T445" s="1" t="s">
        <v>111</v>
      </c>
      <c r="U445" s="1">
        <v>56.0</v>
      </c>
      <c r="V445" s="5" t="s">
        <v>1998</v>
      </c>
      <c r="W445" s="1" t="s">
        <v>1999</v>
      </c>
      <c r="X445" s="1" t="s">
        <v>2001</v>
      </c>
      <c r="Y445" s="4"/>
      <c r="Z445" s="4"/>
      <c r="AA445" s="4" t="b">
        <f>IFERROR(__xludf.DUMMYFUNCTION("IF(X445="""",,REGEXMATCH(X445,""[א-ת]""))"),FALSE)</f>
        <v>0</v>
      </c>
      <c r="AB445" s="1">
        <v>21.53</v>
      </c>
      <c r="AC445" s="1">
        <v>59.62</v>
      </c>
      <c r="AD445" s="1">
        <v>0.23100114978648</v>
      </c>
      <c r="AE445" s="1">
        <v>-0.7828</v>
      </c>
      <c r="AF445" s="1">
        <v>-0.9528</v>
      </c>
      <c r="AG445" s="1">
        <v>6.337</v>
      </c>
      <c r="AH445" s="1">
        <v>6.781</v>
      </c>
      <c r="AI445" s="1" t="b">
        <v>0</v>
      </c>
      <c r="AJ445" s="1" t="b">
        <v>0</v>
      </c>
      <c r="AK445" s="1">
        <v>94.182</v>
      </c>
      <c r="AL445" s="1">
        <v>96.508</v>
      </c>
      <c r="AM445" s="1" t="b">
        <v>0</v>
      </c>
      <c r="AN445" s="1" t="b">
        <v>0</v>
      </c>
      <c r="AO445" s="1">
        <v>8.05</v>
      </c>
      <c r="AP445" s="1">
        <v>8.53399999999999</v>
      </c>
      <c r="AQ445" s="1" t="b">
        <v>0</v>
      </c>
      <c r="AR445" s="1" t="b">
        <v>0</v>
      </c>
      <c r="AS445" s="1">
        <v>86.9179999999999</v>
      </c>
      <c r="AT445" s="1">
        <v>87.152</v>
      </c>
      <c r="AU445" s="1" t="b">
        <v>0</v>
      </c>
      <c r="AV445" s="1" t="b">
        <v>0</v>
      </c>
      <c r="AW445" s="1">
        <v>9.61399999999999</v>
      </c>
      <c r="AX445" s="1">
        <v>11.026</v>
      </c>
      <c r="AY445" s="1" t="b">
        <v>0</v>
      </c>
      <c r="AZ445" s="1" t="b">
        <v>0</v>
      </c>
      <c r="BA445" s="1">
        <v>81.25</v>
      </c>
      <c r="BB445" s="1">
        <v>77.78</v>
      </c>
      <c r="BC445" s="1" t="b">
        <v>0</v>
      </c>
      <c r="BD445" s="1" t="b">
        <v>0</v>
      </c>
      <c r="BE445" s="1">
        <v>11.34</v>
      </c>
      <c r="BF445" s="1">
        <v>13.285</v>
      </c>
      <c r="BG445" s="1" t="b">
        <v>0</v>
      </c>
      <c r="BH445" s="1" t="b">
        <v>0</v>
      </c>
      <c r="BI445" s="1">
        <v>77.78</v>
      </c>
      <c r="BJ445" s="1">
        <v>75.0</v>
      </c>
      <c r="BK445" s="1" t="b">
        <v>0</v>
      </c>
      <c r="BL445" s="1" t="b">
        <v>0</v>
      </c>
      <c r="BM445" s="1">
        <v>13.121</v>
      </c>
      <c r="BN445" s="1">
        <v>14.568</v>
      </c>
      <c r="BO445" s="1" t="b">
        <v>0</v>
      </c>
      <c r="BP445" s="1" t="b">
        <v>0</v>
      </c>
      <c r="BQ445" s="1">
        <v>75.0</v>
      </c>
      <c r="BR445" s="1">
        <v>72.027</v>
      </c>
      <c r="BS445" s="1" t="b">
        <v>0</v>
      </c>
      <c r="BT445" s="1" t="b">
        <v>0</v>
      </c>
      <c r="BU445" s="1" t="s">
        <v>105</v>
      </c>
      <c r="BV445" s="1" t="s">
        <v>105</v>
      </c>
      <c r="BW445" s="1" t="s">
        <v>105</v>
      </c>
      <c r="BX445" s="1" t="s">
        <v>105</v>
      </c>
      <c r="BY445" s="1" t="s">
        <v>105</v>
      </c>
      <c r="BZ445" s="1" t="s">
        <v>105</v>
      </c>
      <c r="CA445" s="1" t="s">
        <v>105</v>
      </c>
      <c r="CB445" s="1" t="s">
        <v>105</v>
      </c>
      <c r="CC445" s="1" t="s">
        <v>105</v>
      </c>
      <c r="CD445" s="1" t="s">
        <v>105</v>
      </c>
      <c r="CE445" s="4"/>
      <c r="CF445" s="4"/>
    </row>
    <row r="446" hidden="1">
      <c r="A446" s="1" t="s">
        <v>82</v>
      </c>
      <c r="B446" s="1" t="s">
        <v>251</v>
      </c>
      <c r="C446" s="1">
        <v>14.0</v>
      </c>
      <c r="D446" s="5" t="s">
        <v>2002</v>
      </c>
      <c r="E446" s="1" t="s">
        <v>2003</v>
      </c>
      <c r="F446" s="1">
        <v>46.0</v>
      </c>
      <c r="G446" s="1">
        <v>-0.25</v>
      </c>
      <c r="H446" s="1" t="s">
        <v>2004</v>
      </c>
      <c r="I446" s="4" t="b">
        <f>IFERROR(__xludf.DUMMYFUNCTION("IF(H446="""",,REGEXMATCH(H446,""[א-ת]""))"),FALSE)</f>
        <v>0</v>
      </c>
      <c r="J446" s="4"/>
      <c r="K446" s="4"/>
      <c r="L446" s="1">
        <v>0.6705</v>
      </c>
      <c r="M446" s="1">
        <v>26.54</v>
      </c>
      <c r="N446" s="1">
        <v>60.87</v>
      </c>
      <c r="O446" s="1">
        <v>1.32326087</v>
      </c>
      <c r="P446" s="4"/>
      <c r="Q446" s="4"/>
      <c r="R446" s="1" t="s">
        <v>89</v>
      </c>
      <c r="S446" s="1" t="s">
        <v>2003</v>
      </c>
      <c r="T446" s="1" t="s">
        <v>251</v>
      </c>
      <c r="U446" s="1">
        <v>15.0</v>
      </c>
      <c r="V446" s="5" t="s">
        <v>2002</v>
      </c>
      <c r="W446" s="1" t="s">
        <v>2003</v>
      </c>
      <c r="X446" s="1" t="s">
        <v>2005</v>
      </c>
      <c r="Y446" s="4"/>
      <c r="Z446" s="4"/>
      <c r="AA446" s="4" t="b">
        <f>IFERROR(__xludf.DUMMYFUNCTION("IF(X446="""",,REGEXMATCH(X446,""[א-ת]""))"),FALSE)</f>
        <v>0</v>
      </c>
      <c r="AB446" s="1">
        <v>30.73</v>
      </c>
      <c r="AC446" s="1">
        <v>54.35</v>
      </c>
      <c r="AD446" s="1">
        <v>0.435612443764914</v>
      </c>
      <c r="AE446" s="1">
        <v>-0.5106</v>
      </c>
      <c r="AF446" s="1">
        <v>-0.25</v>
      </c>
      <c r="AG446" s="1">
        <v>6.337</v>
      </c>
      <c r="AH446" s="1">
        <v>6.781</v>
      </c>
      <c r="AI446" s="1" t="b">
        <v>0</v>
      </c>
      <c r="AJ446" s="1" t="b">
        <v>0</v>
      </c>
      <c r="AK446" s="1">
        <v>94.182</v>
      </c>
      <c r="AL446" s="1">
        <v>96.508</v>
      </c>
      <c r="AM446" s="1" t="b">
        <v>0</v>
      </c>
      <c r="AN446" s="1" t="b">
        <v>0</v>
      </c>
      <c r="AO446" s="1">
        <v>8.05</v>
      </c>
      <c r="AP446" s="1">
        <v>8.53399999999999</v>
      </c>
      <c r="AQ446" s="1" t="b">
        <v>0</v>
      </c>
      <c r="AR446" s="1" t="b">
        <v>0</v>
      </c>
      <c r="AS446" s="1">
        <v>86.9179999999999</v>
      </c>
      <c r="AT446" s="1">
        <v>87.152</v>
      </c>
      <c r="AU446" s="1" t="b">
        <v>0</v>
      </c>
      <c r="AV446" s="1" t="b">
        <v>0</v>
      </c>
      <c r="AW446" s="1">
        <v>9.61399999999999</v>
      </c>
      <c r="AX446" s="1">
        <v>11.026</v>
      </c>
      <c r="AY446" s="1" t="b">
        <v>0</v>
      </c>
      <c r="AZ446" s="1" t="b">
        <v>0</v>
      </c>
      <c r="BA446" s="1">
        <v>81.25</v>
      </c>
      <c r="BB446" s="1">
        <v>77.78</v>
      </c>
      <c r="BC446" s="1" t="b">
        <v>0</v>
      </c>
      <c r="BD446" s="1" t="b">
        <v>0</v>
      </c>
      <c r="BE446" s="1">
        <v>11.34</v>
      </c>
      <c r="BF446" s="1">
        <v>13.285</v>
      </c>
      <c r="BG446" s="1" t="b">
        <v>0</v>
      </c>
      <c r="BH446" s="1" t="b">
        <v>0</v>
      </c>
      <c r="BI446" s="1">
        <v>77.78</v>
      </c>
      <c r="BJ446" s="1">
        <v>75.0</v>
      </c>
      <c r="BK446" s="1" t="b">
        <v>0</v>
      </c>
      <c r="BL446" s="1" t="b">
        <v>0</v>
      </c>
      <c r="BM446" s="1">
        <v>13.121</v>
      </c>
      <c r="BN446" s="1">
        <v>14.568</v>
      </c>
      <c r="BO446" s="1" t="b">
        <v>0</v>
      </c>
      <c r="BP446" s="1" t="b">
        <v>0</v>
      </c>
      <c r="BQ446" s="1">
        <v>75.0</v>
      </c>
      <c r="BR446" s="1">
        <v>72.027</v>
      </c>
      <c r="BS446" s="1" t="b">
        <v>0</v>
      </c>
      <c r="BT446" s="1" t="b">
        <v>0</v>
      </c>
      <c r="BU446" s="1" t="s">
        <v>105</v>
      </c>
      <c r="BV446" s="1" t="s">
        <v>105</v>
      </c>
      <c r="BW446" s="1" t="s">
        <v>105</v>
      </c>
      <c r="BX446" s="1" t="s">
        <v>105</v>
      </c>
      <c r="BY446" s="1" t="s">
        <v>105</v>
      </c>
      <c r="BZ446" s="1" t="s">
        <v>105</v>
      </c>
      <c r="CA446" s="1" t="s">
        <v>105</v>
      </c>
      <c r="CB446" s="1" t="s">
        <v>105</v>
      </c>
      <c r="CC446" s="1" t="s">
        <v>105</v>
      </c>
      <c r="CD446" s="1" t="s">
        <v>105</v>
      </c>
      <c r="CE446" s="4"/>
      <c r="CF446" s="4"/>
    </row>
    <row r="447" hidden="1">
      <c r="A447" s="1" t="s">
        <v>82</v>
      </c>
      <c r="B447" s="1" t="s">
        <v>333</v>
      </c>
      <c r="C447" s="1">
        <v>27.0</v>
      </c>
      <c r="D447" s="5" t="s">
        <v>2006</v>
      </c>
      <c r="E447" s="1" t="s">
        <v>2007</v>
      </c>
      <c r="F447" s="1">
        <v>65.0</v>
      </c>
      <c r="G447" s="1">
        <v>-0.6808</v>
      </c>
      <c r="H447" s="1" t="s">
        <v>2008</v>
      </c>
      <c r="I447" s="4" t="b">
        <f>IFERROR(__xludf.DUMMYFUNCTION("IF(H447="""",,REGEXMATCH(H447,""[א-ת]""))"),FALSE)</f>
        <v>0</v>
      </c>
      <c r="J447" s="1" t="s">
        <v>2009</v>
      </c>
      <c r="K447" s="1" t="s">
        <v>2010</v>
      </c>
      <c r="L447" s="1">
        <v>-0.6808</v>
      </c>
      <c r="M447" s="1">
        <v>26.65</v>
      </c>
      <c r="N447" s="1">
        <v>50.77</v>
      </c>
      <c r="O447" s="1">
        <v>0.7810769231</v>
      </c>
      <c r="P447" s="4"/>
      <c r="Q447" s="4"/>
      <c r="R447" s="1" t="s">
        <v>89</v>
      </c>
      <c r="S447" s="1" t="s">
        <v>2007</v>
      </c>
      <c r="T447" s="1" t="s">
        <v>333</v>
      </c>
      <c r="U447" s="1">
        <v>28.0</v>
      </c>
      <c r="V447" s="5" t="s">
        <v>2006</v>
      </c>
      <c r="W447" s="1" t="s">
        <v>2007</v>
      </c>
      <c r="X447" s="1" t="s">
        <v>2011</v>
      </c>
      <c r="Y447" s="4"/>
      <c r="Z447" s="4"/>
      <c r="AA447" s="4" t="b">
        <f>IFERROR(__xludf.DUMMYFUNCTION("IF(X447="""",,REGEXMATCH(X447,""[א-ת]""))"),FALSE)</f>
        <v>0</v>
      </c>
      <c r="AB447" s="1">
        <v>10.42</v>
      </c>
      <c r="AC447" s="1">
        <v>64.62</v>
      </c>
      <c r="AD447" s="1">
        <v>0.751473980478723</v>
      </c>
      <c r="AE447" s="1">
        <v>-0.6808</v>
      </c>
      <c r="AF447" s="1">
        <v>-0.6808</v>
      </c>
      <c r="AG447" s="1">
        <v>6.337</v>
      </c>
      <c r="AH447" s="1">
        <v>6.781</v>
      </c>
      <c r="AI447" s="1" t="b">
        <v>0</v>
      </c>
      <c r="AJ447" s="1" t="b">
        <v>0</v>
      </c>
      <c r="AK447" s="1">
        <v>94.182</v>
      </c>
      <c r="AL447" s="1">
        <v>96.508</v>
      </c>
      <c r="AM447" s="1" t="b">
        <v>0</v>
      </c>
      <c r="AN447" s="1" t="b">
        <v>0</v>
      </c>
      <c r="AO447" s="1">
        <v>8.05</v>
      </c>
      <c r="AP447" s="1">
        <v>8.53399999999999</v>
      </c>
      <c r="AQ447" s="1" t="b">
        <v>0</v>
      </c>
      <c r="AR447" s="1" t="b">
        <v>0</v>
      </c>
      <c r="AS447" s="1">
        <v>86.9179999999999</v>
      </c>
      <c r="AT447" s="1">
        <v>87.152</v>
      </c>
      <c r="AU447" s="1" t="b">
        <v>0</v>
      </c>
      <c r="AV447" s="1" t="b">
        <v>0</v>
      </c>
      <c r="AW447" s="1">
        <v>9.61399999999999</v>
      </c>
      <c r="AX447" s="1">
        <v>11.026</v>
      </c>
      <c r="AY447" s="1" t="b">
        <v>0</v>
      </c>
      <c r="AZ447" s="1" t="b">
        <v>1</v>
      </c>
      <c r="BA447" s="1">
        <v>81.25</v>
      </c>
      <c r="BB447" s="1">
        <v>77.78</v>
      </c>
      <c r="BC447" s="1" t="b">
        <v>0</v>
      </c>
      <c r="BD447" s="1" t="b">
        <v>0</v>
      </c>
      <c r="BE447" s="1">
        <v>11.34</v>
      </c>
      <c r="BF447" s="1">
        <v>13.285</v>
      </c>
      <c r="BG447" s="1" t="b">
        <v>0</v>
      </c>
      <c r="BH447" s="1" t="b">
        <v>1</v>
      </c>
      <c r="BI447" s="1">
        <v>77.78</v>
      </c>
      <c r="BJ447" s="1">
        <v>75.0</v>
      </c>
      <c r="BK447" s="1" t="b">
        <v>0</v>
      </c>
      <c r="BL447" s="1" t="b">
        <v>0</v>
      </c>
      <c r="BM447" s="1">
        <v>13.121</v>
      </c>
      <c r="BN447" s="1">
        <v>14.568</v>
      </c>
      <c r="BO447" s="1" t="b">
        <v>0</v>
      </c>
      <c r="BP447" s="1" t="b">
        <v>1</v>
      </c>
      <c r="BQ447" s="1">
        <v>75.0</v>
      </c>
      <c r="BR447" s="1">
        <v>72.027</v>
      </c>
      <c r="BS447" s="1" t="b">
        <v>0</v>
      </c>
      <c r="BT447" s="1" t="b">
        <v>0</v>
      </c>
      <c r="BU447" s="1" t="s">
        <v>105</v>
      </c>
      <c r="BV447" s="1" t="s">
        <v>105</v>
      </c>
      <c r="BW447" s="1" t="s">
        <v>105</v>
      </c>
      <c r="BX447" s="1" t="s">
        <v>105</v>
      </c>
      <c r="BY447" s="1" t="s">
        <v>157</v>
      </c>
      <c r="BZ447" s="1" t="s">
        <v>105</v>
      </c>
      <c r="CA447" s="1" t="s">
        <v>157</v>
      </c>
      <c r="CB447" s="1" t="s">
        <v>105</v>
      </c>
      <c r="CC447" s="1" t="s">
        <v>157</v>
      </c>
      <c r="CD447" s="1" t="s">
        <v>105</v>
      </c>
      <c r="CE447" s="4"/>
      <c r="CF447" s="4"/>
    </row>
    <row r="448" hidden="1">
      <c r="A448" s="1" t="s">
        <v>82</v>
      </c>
      <c r="B448" s="1" t="s">
        <v>304</v>
      </c>
      <c r="C448" s="1">
        <v>13.0</v>
      </c>
      <c r="D448" s="5" t="s">
        <v>2012</v>
      </c>
      <c r="E448" s="1" t="s">
        <v>2013</v>
      </c>
      <c r="F448" s="1">
        <v>16.0</v>
      </c>
      <c r="G448" s="1">
        <v>0.0</v>
      </c>
      <c r="H448" s="1" t="s">
        <v>2014</v>
      </c>
      <c r="I448" s="4" t="b">
        <f>IFERROR(__xludf.DUMMYFUNCTION("IF(H448="""",,REGEXMATCH(H448,""[א-ת]""))"),FALSE)</f>
        <v>0</v>
      </c>
      <c r="J448" s="4"/>
      <c r="K448" s="4"/>
      <c r="L448" s="1">
        <v>0.0</v>
      </c>
      <c r="M448" s="1">
        <v>26.73</v>
      </c>
      <c r="N448" s="1">
        <v>56.25</v>
      </c>
      <c r="O448" s="1">
        <v>3.515625</v>
      </c>
      <c r="P448" s="4"/>
      <c r="Q448" s="4"/>
      <c r="R448" s="1" t="s">
        <v>89</v>
      </c>
      <c r="S448" s="1" t="s">
        <v>2013</v>
      </c>
      <c r="T448" s="1" t="s">
        <v>304</v>
      </c>
      <c r="U448" s="1">
        <v>14.0</v>
      </c>
      <c r="V448" s="5" t="s">
        <v>2012</v>
      </c>
      <c r="W448" s="1" t="s">
        <v>2013</v>
      </c>
      <c r="X448" s="1" t="s">
        <v>2015</v>
      </c>
      <c r="Y448" s="4"/>
      <c r="Z448" s="4"/>
      <c r="AA448" s="4" t="b">
        <f>IFERROR(__xludf.DUMMYFUNCTION("IF(X448="""",,REGEXMATCH(X448,""[א-ת]""))"),FALSE)</f>
        <v>0</v>
      </c>
      <c r="AB448" s="1">
        <v>17.54</v>
      </c>
      <c r="AC448" s="1">
        <v>68.75</v>
      </c>
      <c r="AD448" s="1">
        <v>0.58812016720638</v>
      </c>
      <c r="AE448" s="1">
        <v>0.0</v>
      </c>
      <c r="AF448" s="1">
        <v>0.0</v>
      </c>
      <c r="AG448" s="1">
        <v>6.337</v>
      </c>
      <c r="AH448" s="1">
        <v>6.781</v>
      </c>
      <c r="AI448" s="1" t="b">
        <v>0</v>
      </c>
      <c r="AJ448" s="1" t="b">
        <v>0</v>
      </c>
      <c r="AK448" s="1">
        <v>94.182</v>
      </c>
      <c r="AL448" s="1">
        <v>96.508</v>
      </c>
      <c r="AM448" s="1" t="b">
        <v>0</v>
      </c>
      <c r="AN448" s="1" t="b">
        <v>0</v>
      </c>
      <c r="AO448" s="1">
        <v>8.05</v>
      </c>
      <c r="AP448" s="1">
        <v>8.53399999999999</v>
      </c>
      <c r="AQ448" s="1" t="b">
        <v>0</v>
      </c>
      <c r="AR448" s="1" t="b">
        <v>0</v>
      </c>
      <c r="AS448" s="1">
        <v>86.9179999999999</v>
      </c>
      <c r="AT448" s="1">
        <v>87.152</v>
      </c>
      <c r="AU448" s="1" t="b">
        <v>0</v>
      </c>
      <c r="AV448" s="1" t="b">
        <v>0</v>
      </c>
      <c r="AW448" s="1">
        <v>9.61399999999999</v>
      </c>
      <c r="AX448" s="1">
        <v>11.026</v>
      </c>
      <c r="AY448" s="1" t="b">
        <v>0</v>
      </c>
      <c r="AZ448" s="1" t="b">
        <v>0</v>
      </c>
      <c r="BA448" s="1">
        <v>81.25</v>
      </c>
      <c r="BB448" s="1">
        <v>77.78</v>
      </c>
      <c r="BC448" s="1" t="b">
        <v>0</v>
      </c>
      <c r="BD448" s="1" t="b">
        <v>0</v>
      </c>
      <c r="BE448" s="1">
        <v>11.34</v>
      </c>
      <c r="BF448" s="1">
        <v>13.285</v>
      </c>
      <c r="BG448" s="1" t="b">
        <v>0</v>
      </c>
      <c r="BH448" s="1" t="b">
        <v>0</v>
      </c>
      <c r="BI448" s="1">
        <v>77.78</v>
      </c>
      <c r="BJ448" s="1">
        <v>75.0</v>
      </c>
      <c r="BK448" s="1" t="b">
        <v>0</v>
      </c>
      <c r="BL448" s="1" t="b">
        <v>0</v>
      </c>
      <c r="BM448" s="1">
        <v>13.121</v>
      </c>
      <c r="BN448" s="1">
        <v>14.568</v>
      </c>
      <c r="BO448" s="1" t="b">
        <v>0</v>
      </c>
      <c r="BP448" s="1" t="b">
        <v>0</v>
      </c>
      <c r="BQ448" s="1">
        <v>75.0</v>
      </c>
      <c r="BR448" s="1">
        <v>72.027</v>
      </c>
      <c r="BS448" s="1" t="b">
        <v>0</v>
      </c>
      <c r="BT448" s="1" t="b">
        <v>0</v>
      </c>
      <c r="BU448" s="1" t="s">
        <v>105</v>
      </c>
      <c r="BV448" s="1" t="s">
        <v>105</v>
      </c>
      <c r="BW448" s="1" t="s">
        <v>105</v>
      </c>
      <c r="BX448" s="1" t="s">
        <v>105</v>
      </c>
      <c r="BY448" s="1" t="s">
        <v>105</v>
      </c>
      <c r="BZ448" s="1" t="s">
        <v>105</v>
      </c>
      <c r="CA448" s="1" t="s">
        <v>105</v>
      </c>
      <c r="CB448" s="1" t="s">
        <v>105</v>
      </c>
      <c r="CC448" s="1" t="s">
        <v>105</v>
      </c>
      <c r="CD448" s="1" t="s">
        <v>105</v>
      </c>
      <c r="CE448" s="4"/>
      <c r="CF448" s="4"/>
    </row>
    <row r="449" hidden="1">
      <c r="A449" s="1" t="s">
        <v>82</v>
      </c>
      <c r="B449" s="1" t="s">
        <v>83</v>
      </c>
      <c r="C449" s="1">
        <v>22.0</v>
      </c>
      <c r="D449" s="5" t="s">
        <v>2016</v>
      </c>
      <c r="E449" s="1" t="s">
        <v>2017</v>
      </c>
      <c r="F449" s="1">
        <v>48.0</v>
      </c>
      <c r="G449" s="1">
        <v>0.25</v>
      </c>
      <c r="H449" s="1" t="s">
        <v>2018</v>
      </c>
      <c r="I449" s="4" t="b">
        <f>IFERROR(__xludf.DUMMYFUNCTION("IF(H449="""",,REGEXMATCH(H449,""[א-ת]""))"),FALSE)</f>
        <v>0</v>
      </c>
      <c r="J449" s="4"/>
      <c r="K449" s="4"/>
      <c r="L449" s="1">
        <v>0.3321</v>
      </c>
      <c r="M449" s="1">
        <v>26.73</v>
      </c>
      <c r="N449" s="1">
        <v>50.0</v>
      </c>
      <c r="O449" s="1">
        <v>1.041666667</v>
      </c>
      <c r="P449" s="4"/>
      <c r="Q449" s="4"/>
      <c r="R449" s="1" t="s">
        <v>89</v>
      </c>
      <c r="S449" s="1" t="s">
        <v>2017</v>
      </c>
      <c r="T449" s="1" t="s">
        <v>83</v>
      </c>
      <c r="U449" s="1">
        <v>23.0</v>
      </c>
      <c r="V449" s="5" t="s">
        <v>2016</v>
      </c>
      <c r="W449" s="1" t="s">
        <v>2017</v>
      </c>
      <c r="X449" s="1" t="s">
        <v>2019</v>
      </c>
      <c r="Y449" s="4"/>
      <c r="Z449" s="4"/>
      <c r="AA449" s="4" t="b">
        <f>IFERROR(__xludf.DUMMYFUNCTION("IF(X449="""",,REGEXMATCH(X449,""[א-ת]""))"),FALSE)</f>
        <v>0</v>
      </c>
      <c r="AB449" s="1">
        <v>31.34</v>
      </c>
      <c r="AC449" s="1">
        <v>43.75</v>
      </c>
      <c r="AD449" s="1">
        <v>0.604073067781528</v>
      </c>
      <c r="AE449" s="1">
        <v>0.25</v>
      </c>
      <c r="AF449" s="1">
        <v>0.25</v>
      </c>
      <c r="AG449" s="1">
        <v>6.337</v>
      </c>
      <c r="AH449" s="1">
        <v>6.781</v>
      </c>
      <c r="AI449" s="1" t="b">
        <v>0</v>
      </c>
      <c r="AJ449" s="1" t="b">
        <v>0</v>
      </c>
      <c r="AK449" s="1">
        <v>94.182</v>
      </c>
      <c r="AL449" s="1">
        <v>96.508</v>
      </c>
      <c r="AM449" s="1" t="b">
        <v>0</v>
      </c>
      <c r="AN449" s="1" t="b">
        <v>0</v>
      </c>
      <c r="AO449" s="1">
        <v>8.05</v>
      </c>
      <c r="AP449" s="1">
        <v>8.53399999999999</v>
      </c>
      <c r="AQ449" s="1" t="b">
        <v>0</v>
      </c>
      <c r="AR449" s="1" t="b">
        <v>0</v>
      </c>
      <c r="AS449" s="1">
        <v>86.9179999999999</v>
      </c>
      <c r="AT449" s="1">
        <v>87.152</v>
      </c>
      <c r="AU449" s="1" t="b">
        <v>0</v>
      </c>
      <c r="AV449" s="1" t="b">
        <v>0</v>
      </c>
      <c r="AW449" s="1">
        <v>9.61399999999999</v>
      </c>
      <c r="AX449" s="1">
        <v>11.026</v>
      </c>
      <c r="AY449" s="1" t="b">
        <v>0</v>
      </c>
      <c r="AZ449" s="1" t="b">
        <v>0</v>
      </c>
      <c r="BA449" s="1">
        <v>81.25</v>
      </c>
      <c r="BB449" s="1">
        <v>77.78</v>
      </c>
      <c r="BC449" s="1" t="b">
        <v>0</v>
      </c>
      <c r="BD449" s="1" t="b">
        <v>0</v>
      </c>
      <c r="BE449" s="1">
        <v>11.34</v>
      </c>
      <c r="BF449" s="1">
        <v>13.285</v>
      </c>
      <c r="BG449" s="1" t="b">
        <v>0</v>
      </c>
      <c r="BH449" s="1" t="b">
        <v>0</v>
      </c>
      <c r="BI449" s="1">
        <v>77.78</v>
      </c>
      <c r="BJ449" s="1">
        <v>75.0</v>
      </c>
      <c r="BK449" s="1" t="b">
        <v>0</v>
      </c>
      <c r="BL449" s="1" t="b">
        <v>0</v>
      </c>
      <c r="BM449" s="1">
        <v>13.121</v>
      </c>
      <c r="BN449" s="1">
        <v>14.568</v>
      </c>
      <c r="BO449" s="1" t="b">
        <v>0</v>
      </c>
      <c r="BP449" s="1" t="b">
        <v>0</v>
      </c>
      <c r="BQ449" s="1">
        <v>75.0</v>
      </c>
      <c r="BR449" s="1">
        <v>72.027</v>
      </c>
      <c r="BS449" s="1" t="b">
        <v>0</v>
      </c>
      <c r="BT449" s="1" t="b">
        <v>0</v>
      </c>
      <c r="BU449" s="1" t="s">
        <v>105</v>
      </c>
      <c r="BV449" s="1" t="s">
        <v>105</v>
      </c>
      <c r="BW449" s="1" t="s">
        <v>105</v>
      </c>
      <c r="BX449" s="1" t="s">
        <v>105</v>
      </c>
      <c r="BY449" s="1" t="s">
        <v>105</v>
      </c>
      <c r="BZ449" s="1" t="s">
        <v>105</v>
      </c>
      <c r="CA449" s="1" t="s">
        <v>105</v>
      </c>
      <c r="CB449" s="1" t="s">
        <v>105</v>
      </c>
      <c r="CC449" s="1" t="s">
        <v>105</v>
      </c>
      <c r="CD449" s="1" t="s">
        <v>105</v>
      </c>
      <c r="CE449" s="4"/>
      <c r="CF449" s="4"/>
    </row>
    <row r="450" hidden="1">
      <c r="A450" s="1" t="s">
        <v>82</v>
      </c>
      <c r="B450" s="1" t="s">
        <v>197</v>
      </c>
      <c r="C450" s="1">
        <v>7.0</v>
      </c>
      <c r="D450" s="5" t="s">
        <v>2020</v>
      </c>
      <c r="E450" s="1" t="s">
        <v>2021</v>
      </c>
      <c r="F450" s="1">
        <v>32.0</v>
      </c>
      <c r="G450" s="1">
        <v>-0.7096</v>
      </c>
      <c r="H450" s="1" t="s">
        <v>2022</v>
      </c>
      <c r="I450" s="4" t="b">
        <f>IFERROR(__xludf.DUMMYFUNCTION("IF(H450="""",,REGEXMATCH(H450,""[א-ת]""))"),FALSE)</f>
        <v>0</v>
      </c>
      <c r="J450" s="4"/>
      <c r="K450" s="4"/>
      <c r="L450" s="1">
        <v>0.0</v>
      </c>
      <c r="M450" s="1">
        <v>26.82</v>
      </c>
      <c r="N450" s="1">
        <v>56.25</v>
      </c>
      <c r="O450" s="1">
        <v>1.7578125</v>
      </c>
      <c r="P450" s="4"/>
      <c r="Q450" s="4"/>
      <c r="R450" s="1" t="s">
        <v>89</v>
      </c>
      <c r="S450" s="1" t="s">
        <v>2021</v>
      </c>
      <c r="T450" s="1" t="s">
        <v>197</v>
      </c>
      <c r="U450" s="1">
        <v>8.0</v>
      </c>
      <c r="V450" s="5" t="s">
        <v>2020</v>
      </c>
      <c r="W450" s="1" t="s">
        <v>2021</v>
      </c>
      <c r="X450" s="1" t="s">
        <v>2023</v>
      </c>
      <c r="Y450" s="4"/>
      <c r="Z450" s="4"/>
      <c r="AA450" s="4" t="b">
        <f>IFERROR(__xludf.DUMMYFUNCTION("IF(X450="""",,REGEXMATCH(X450,""[א-ת]""))"),FALSE)</f>
        <v>0</v>
      </c>
      <c r="AB450" s="1">
        <v>28.11</v>
      </c>
      <c r="AC450" s="1">
        <v>50.0</v>
      </c>
      <c r="AD450" s="1">
        <v>0.697154810511323</v>
      </c>
      <c r="AE450" s="1">
        <v>-0.5574</v>
      </c>
      <c r="AF450" s="1">
        <v>-0.7096</v>
      </c>
      <c r="AG450" s="1">
        <v>6.337</v>
      </c>
      <c r="AH450" s="1">
        <v>6.781</v>
      </c>
      <c r="AI450" s="1" t="b">
        <v>0</v>
      </c>
      <c r="AJ450" s="1" t="b">
        <v>0</v>
      </c>
      <c r="AK450" s="1">
        <v>94.182</v>
      </c>
      <c r="AL450" s="1">
        <v>96.508</v>
      </c>
      <c r="AM450" s="1" t="b">
        <v>0</v>
      </c>
      <c r="AN450" s="1" t="b">
        <v>0</v>
      </c>
      <c r="AO450" s="1">
        <v>8.05</v>
      </c>
      <c r="AP450" s="1">
        <v>8.53399999999999</v>
      </c>
      <c r="AQ450" s="1" t="b">
        <v>0</v>
      </c>
      <c r="AR450" s="1" t="b">
        <v>0</v>
      </c>
      <c r="AS450" s="1">
        <v>86.9179999999999</v>
      </c>
      <c r="AT450" s="1">
        <v>87.152</v>
      </c>
      <c r="AU450" s="1" t="b">
        <v>0</v>
      </c>
      <c r="AV450" s="1" t="b">
        <v>0</v>
      </c>
      <c r="AW450" s="1">
        <v>9.61399999999999</v>
      </c>
      <c r="AX450" s="1">
        <v>11.026</v>
      </c>
      <c r="AY450" s="1" t="b">
        <v>0</v>
      </c>
      <c r="AZ450" s="1" t="b">
        <v>0</v>
      </c>
      <c r="BA450" s="1">
        <v>81.25</v>
      </c>
      <c r="BB450" s="1">
        <v>77.78</v>
      </c>
      <c r="BC450" s="1" t="b">
        <v>0</v>
      </c>
      <c r="BD450" s="1" t="b">
        <v>0</v>
      </c>
      <c r="BE450" s="1">
        <v>11.34</v>
      </c>
      <c r="BF450" s="1">
        <v>13.285</v>
      </c>
      <c r="BG450" s="1" t="b">
        <v>0</v>
      </c>
      <c r="BH450" s="1" t="b">
        <v>0</v>
      </c>
      <c r="BI450" s="1">
        <v>77.78</v>
      </c>
      <c r="BJ450" s="1">
        <v>75.0</v>
      </c>
      <c r="BK450" s="1" t="b">
        <v>0</v>
      </c>
      <c r="BL450" s="1" t="b">
        <v>0</v>
      </c>
      <c r="BM450" s="1">
        <v>13.121</v>
      </c>
      <c r="BN450" s="1">
        <v>14.568</v>
      </c>
      <c r="BO450" s="1" t="b">
        <v>0</v>
      </c>
      <c r="BP450" s="1" t="b">
        <v>0</v>
      </c>
      <c r="BQ450" s="1">
        <v>75.0</v>
      </c>
      <c r="BR450" s="1">
        <v>72.027</v>
      </c>
      <c r="BS450" s="1" t="b">
        <v>0</v>
      </c>
      <c r="BT450" s="1" t="b">
        <v>0</v>
      </c>
      <c r="BU450" s="1" t="s">
        <v>105</v>
      </c>
      <c r="BV450" s="1" t="s">
        <v>105</v>
      </c>
      <c r="BW450" s="1" t="s">
        <v>105</v>
      </c>
      <c r="BX450" s="1" t="s">
        <v>105</v>
      </c>
      <c r="BY450" s="1" t="s">
        <v>105</v>
      </c>
      <c r="BZ450" s="1" t="s">
        <v>105</v>
      </c>
      <c r="CA450" s="1" t="s">
        <v>105</v>
      </c>
      <c r="CB450" s="1" t="s">
        <v>105</v>
      </c>
      <c r="CC450" s="1" t="s">
        <v>105</v>
      </c>
      <c r="CD450" s="1" t="s">
        <v>105</v>
      </c>
      <c r="CE450" s="4"/>
      <c r="CF450" s="4"/>
    </row>
    <row r="451" hidden="1">
      <c r="A451" s="1" t="s">
        <v>82</v>
      </c>
      <c r="B451" s="1" t="s">
        <v>631</v>
      </c>
      <c r="C451" s="1">
        <v>16.0</v>
      </c>
      <c r="D451" s="5" t="s">
        <v>2024</v>
      </c>
      <c r="E451" s="1" t="s">
        <v>2025</v>
      </c>
      <c r="F451" s="1">
        <v>49.0</v>
      </c>
      <c r="G451" s="1">
        <v>-0.2732</v>
      </c>
      <c r="H451" s="1" t="s">
        <v>2026</v>
      </c>
      <c r="I451" s="4" t="b">
        <f>IFERROR(__xludf.DUMMYFUNCTION("IF(H451="""",,REGEXMATCH(H451,""[א-ת]""))"),TRUE)</f>
        <v>1</v>
      </c>
      <c r="J451" s="4"/>
      <c r="K451" s="4"/>
      <c r="L451" s="1">
        <v>-0.6249</v>
      </c>
      <c r="M451" s="1">
        <v>26.91</v>
      </c>
      <c r="N451" s="1">
        <v>59.18</v>
      </c>
      <c r="O451" s="1">
        <v>1.207755102</v>
      </c>
      <c r="P451" s="4"/>
      <c r="Q451" s="4"/>
      <c r="R451" s="1" t="s">
        <v>89</v>
      </c>
      <c r="S451" s="1" t="s">
        <v>2025</v>
      </c>
      <c r="T451" s="1" t="s">
        <v>631</v>
      </c>
      <c r="U451" s="1">
        <v>17.0</v>
      </c>
      <c r="V451" s="5" t="s">
        <v>2024</v>
      </c>
      <c r="W451" s="1" t="s">
        <v>2025</v>
      </c>
      <c r="X451" s="1" t="s">
        <v>2027</v>
      </c>
      <c r="Y451" s="4"/>
      <c r="Z451" s="4"/>
      <c r="AA451" s="4" t="b">
        <f>IFERROR(__xludf.DUMMYFUNCTION("IF(X451="""",,REGEXMATCH(X451,""[א-ת]""))"),FALSE)</f>
        <v>0</v>
      </c>
      <c r="AB451" s="1">
        <v>22.22</v>
      </c>
      <c r="AC451" s="1">
        <v>73.47</v>
      </c>
      <c r="AD451" s="1">
        <v>0.531617150972146</v>
      </c>
      <c r="AE451" s="1">
        <v>-0.743</v>
      </c>
      <c r="AF451" s="1">
        <v>-0.2732</v>
      </c>
      <c r="AG451" s="1">
        <v>6.337</v>
      </c>
      <c r="AH451" s="1">
        <v>6.781</v>
      </c>
      <c r="AI451" s="1" t="b">
        <v>0</v>
      </c>
      <c r="AJ451" s="1" t="b">
        <v>0</v>
      </c>
      <c r="AK451" s="1">
        <v>94.182</v>
      </c>
      <c r="AL451" s="1">
        <v>96.508</v>
      </c>
      <c r="AM451" s="1" t="b">
        <v>0</v>
      </c>
      <c r="AN451" s="1" t="b">
        <v>0</v>
      </c>
      <c r="AO451" s="1">
        <v>8.05</v>
      </c>
      <c r="AP451" s="1">
        <v>8.53399999999999</v>
      </c>
      <c r="AQ451" s="1" t="b">
        <v>0</v>
      </c>
      <c r="AR451" s="1" t="b">
        <v>0</v>
      </c>
      <c r="AS451" s="1">
        <v>86.9179999999999</v>
      </c>
      <c r="AT451" s="1">
        <v>87.152</v>
      </c>
      <c r="AU451" s="1" t="b">
        <v>0</v>
      </c>
      <c r="AV451" s="1" t="b">
        <v>0</v>
      </c>
      <c r="AW451" s="1">
        <v>9.61399999999999</v>
      </c>
      <c r="AX451" s="1">
        <v>11.026</v>
      </c>
      <c r="AY451" s="1" t="b">
        <v>0</v>
      </c>
      <c r="AZ451" s="1" t="b">
        <v>0</v>
      </c>
      <c r="BA451" s="1">
        <v>81.25</v>
      </c>
      <c r="BB451" s="1">
        <v>77.78</v>
      </c>
      <c r="BC451" s="1" t="b">
        <v>0</v>
      </c>
      <c r="BD451" s="1" t="b">
        <v>0</v>
      </c>
      <c r="BE451" s="1">
        <v>11.34</v>
      </c>
      <c r="BF451" s="1">
        <v>13.285</v>
      </c>
      <c r="BG451" s="1" t="b">
        <v>0</v>
      </c>
      <c r="BH451" s="1" t="b">
        <v>0</v>
      </c>
      <c r="BI451" s="1">
        <v>77.78</v>
      </c>
      <c r="BJ451" s="1">
        <v>75.0</v>
      </c>
      <c r="BK451" s="1" t="b">
        <v>0</v>
      </c>
      <c r="BL451" s="1" t="b">
        <v>0</v>
      </c>
      <c r="BM451" s="1">
        <v>13.121</v>
      </c>
      <c r="BN451" s="1">
        <v>14.568</v>
      </c>
      <c r="BO451" s="1" t="b">
        <v>0</v>
      </c>
      <c r="BP451" s="1" t="b">
        <v>0</v>
      </c>
      <c r="BQ451" s="1">
        <v>75.0</v>
      </c>
      <c r="BR451" s="1">
        <v>72.027</v>
      </c>
      <c r="BS451" s="1" t="b">
        <v>0</v>
      </c>
      <c r="BT451" s="1" t="b">
        <v>1</v>
      </c>
      <c r="BU451" s="1" t="s">
        <v>105</v>
      </c>
      <c r="BV451" s="1" t="s">
        <v>105</v>
      </c>
      <c r="BW451" s="1" t="s">
        <v>105</v>
      </c>
      <c r="BX451" s="1" t="s">
        <v>105</v>
      </c>
      <c r="BY451" s="1" t="s">
        <v>105</v>
      </c>
      <c r="BZ451" s="1" t="s">
        <v>105</v>
      </c>
      <c r="CA451" s="1" t="s">
        <v>105</v>
      </c>
      <c r="CB451" s="1" t="s">
        <v>105</v>
      </c>
      <c r="CC451" s="1" t="s">
        <v>105</v>
      </c>
      <c r="CD451" s="1" t="s">
        <v>157</v>
      </c>
      <c r="CE451" s="4"/>
      <c r="CF451" s="4"/>
    </row>
    <row r="452" hidden="1">
      <c r="A452" s="1" t="s">
        <v>82</v>
      </c>
      <c r="B452" s="1" t="s">
        <v>83</v>
      </c>
      <c r="C452" s="1">
        <v>15.0</v>
      </c>
      <c r="D452" s="5" t="s">
        <v>2028</v>
      </c>
      <c r="E452" s="1" t="s">
        <v>2029</v>
      </c>
      <c r="F452" s="1">
        <v>81.0</v>
      </c>
      <c r="G452" s="1">
        <v>0.4588</v>
      </c>
      <c r="H452" s="1" t="s">
        <v>2030</v>
      </c>
      <c r="I452" s="4" t="b">
        <f>IFERROR(__xludf.DUMMYFUNCTION("IF(H452="""",,REGEXMATCH(H452,""[א-ת]""))"),FALSE)</f>
        <v>0</v>
      </c>
      <c r="J452" s="4"/>
      <c r="K452" s="4"/>
      <c r="L452" s="1">
        <v>0.8481</v>
      </c>
      <c r="M452" s="1">
        <v>26.96</v>
      </c>
      <c r="N452" s="1">
        <v>54.32</v>
      </c>
      <c r="O452" s="1">
        <v>0.670617284</v>
      </c>
      <c r="P452" s="4"/>
      <c r="Q452" s="4"/>
      <c r="R452" s="1" t="s">
        <v>89</v>
      </c>
      <c r="S452" s="1" t="s">
        <v>2029</v>
      </c>
      <c r="T452" s="1" t="s">
        <v>83</v>
      </c>
      <c r="U452" s="1">
        <v>16.0</v>
      </c>
      <c r="V452" s="5" t="s">
        <v>2028</v>
      </c>
      <c r="W452" s="1" t="s">
        <v>2029</v>
      </c>
      <c r="X452" s="1" t="s">
        <v>2031</v>
      </c>
      <c r="Y452" s="4"/>
      <c r="Z452" s="4"/>
      <c r="AA452" s="4" t="b">
        <f>IFERROR(__xludf.DUMMYFUNCTION("IF(X452="""",,REGEXMATCH(X452,""[א-ת]""))"),FALSE)</f>
        <v>0</v>
      </c>
      <c r="AB452" s="1">
        <v>14.07</v>
      </c>
      <c r="AC452" s="1">
        <v>66.67</v>
      </c>
      <c r="AD452" s="1">
        <v>0.311655916675078</v>
      </c>
      <c r="AE452" s="1">
        <v>0.2709</v>
      </c>
      <c r="AF452" s="1">
        <v>0.4588</v>
      </c>
      <c r="AG452" s="1">
        <v>6.337</v>
      </c>
      <c r="AH452" s="1">
        <v>6.781</v>
      </c>
      <c r="AI452" s="1" t="b">
        <v>0</v>
      </c>
      <c r="AJ452" s="1" t="b">
        <v>0</v>
      </c>
      <c r="AK452" s="1">
        <v>94.182</v>
      </c>
      <c r="AL452" s="1">
        <v>96.508</v>
      </c>
      <c r="AM452" s="1" t="b">
        <v>0</v>
      </c>
      <c r="AN452" s="1" t="b">
        <v>0</v>
      </c>
      <c r="AO452" s="1">
        <v>8.05</v>
      </c>
      <c r="AP452" s="1">
        <v>8.53399999999999</v>
      </c>
      <c r="AQ452" s="1" t="b">
        <v>0</v>
      </c>
      <c r="AR452" s="1" t="b">
        <v>0</v>
      </c>
      <c r="AS452" s="1">
        <v>86.9179999999999</v>
      </c>
      <c r="AT452" s="1">
        <v>87.152</v>
      </c>
      <c r="AU452" s="1" t="b">
        <v>0</v>
      </c>
      <c r="AV452" s="1" t="b">
        <v>0</v>
      </c>
      <c r="AW452" s="1">
        <v>9.61399999999999</v>
      </c>
      <c r="AX452" s="1">
        <v>11.026</v>
      </c>
      <c r="AY452" s="1" t="b">
        <v>0</v>
      </c>
      <c r="AZ452" s="1" t="b">
        <v>0</v>
      </c>
      <c r="BA452" s="1">
        <v>81.25</v>
      </c>
      <c r="BB452" s="1">
        <v>77.78</v>
      </c>
      <c r="BC452" s="1" t="b">
        <v>0</v>
      </c>
      <c r="BD452" s="1" t="b">
        <v>0</v>
      </c>
      <c r="BE452" s="1">
        <v>11.34</v>
      </c>
      <c r="BF452" s="1">
        <v>13.285</v>
      </c>
      <c r="BG452" s="1" t="b">
        <v>0</v>
      </c>
      <c r="BH452" s="1" t="b">
        <v>0</v>
      </c>
      <c r="BI452" s="1">
        <v>77.78</v>
      </c>
      <c r="BJ452" s="1">
        <v>75.0</v>
      </c>
      <c r="BK452" s="1" t="b">
        <v>0</v>
      </c>
      <c r="BL452" s="1" t="b">
        <v>0</v>
      </c>
      <c r="BM452" s="1">
        <v>13.121</v>
      </c>
      <c r="BN452" s="1">
        <v>14.568</v>
      </c>
      <c r="BO452" s="1" t="b">
        <v>0</v>
      </c>
      <c r="BP452" s="1" t="b">
        <v>1</v>
      </c>
      <c r="BQ452" s="1">
        <v>75.0</v>
      </c>
      <c r="BR452" s="1">
        <v>72.027</v>
      </c>
      <c r="BS452" s="1" t="b">
        <v>0</v>
      </c>
      <c r="BT452" s="1" t="b">
        <v>0</v>
      </c>
      <c r="BU452" s="1" t="s">
        <v>105</v>
      </c>
      <c r="BV452" s="1" t="s">
        <v>105</v>
      </c>
      <c r="BW452" s="1" t="s">
        <v>105</v>
      </c>
      <c r="BX452" s="1" t="s">
        <v>105</v>
      </c>
      <c r="BY452" s="1" t="s">
        <v>105</v>
      </c>
      <c r="BZ452" s="1" t="s">
        <v>105</v>
      </c>
      <c r="CA452" s="1" t="s">
        <v>105</v>
      </c>
      <c r="CB452" s="1" t="s">
        <v>105</v>
      </c>
      <c r="CC452" s="1" t="s">
        <v>157</v>
      </c>
      <c r="CD452" s="1" t="s">
        <v>105</v>
      </c>
      <c r="CE452" s="4"/>
      <c r="CF452" s="4"/>
    </row>
    <row r="453" hidden="1">
      <c r="A453" s="1" t="s">
        <v>82</v>
      </c>
      <c r="B453" s="1" t="s">
        <v>139</v>
      </c>
      <c r="C453" s="1">
        <v>15.0</v>
      </c>
      <c r="D453" s="5" t="s">
        <v>2032</v>
      </c>
      <c r="E453" s="1" t="s">
        <v>2033</v>
      </c>
      <c r="F453" s="1">
        <v>90.0</v>
      </c>
      <c r="G453" s="1">
        <v>0.7717</v>
      </c>
      <c r="H453" s="1" t="s">
        <v>2034</v>
      </c>
      <c r="I453" s="4" t="b">
        <f>IFERROR(__xludf.DUMMYFUNCTION("IF(H453="""",,REGEXMATCH(H453,""[א-ת]""))"),FALSE)</f>
        <v>0</v>
      </c>
      <c r="J453" s="4"/>
      <c r="K453" s="4"/>
      <c r="L453" s="1">
        <v>0.7184</v>
      </c>
      <c r="M453" s="1">
        <v>27.04</v>
      </c>
      <c r="N453" s="1">
        <v>48.89</v>
      </c>
      <c r="O453" s="1">
        <v>0.5432222222</v>
      </c>
      <c r="P453" s="4"/>
      <c r="Q453" s="4"/>
      <c r="R453" s="1" t="s">
        <v>96</v>
      </c>
      <c r="S453" s="1" t="s">
        <v>2033</v>
      </c>
      <c r="T453" s="1" t="s">
        <v>139</v>
      </c>
      <c r="U453" s="1">
        <v>16.0</v>
      </c>
      <c r="V453" s="5" t="s">
        <v>2032</v>
      </c>
      <c r="W453" s="1" t="s">
        <v>2033</v>
      </c>
      <c r="X453" s="1" t="s">
        <v>2035</v>
      </c>
      <c r="Y453" s="4"/>
      <c r="Z453" s="4"/>
      <c r="AA453" s="4" t="b">
        <f>IFERROR(__xludf.DUMMYFUNCTION("IF(X453="""",,REGEXMATCH(X453,""[א-ת]""))"),FALSE)</f>
        <v>0</v>
      </c>
      <c r="AB453" s="1">
        <v>23.02</v>
      </c>
      <c r="AC453" s="1">
        <v>52.22</v>
      </c>
      <c r="AD453" s="1">
        <v>0.546187716766051</v>
      </c>
      <c r="AE453" s="1">
        <v>0.34</v>
      </c>
      <c r="AF453" s="1">
        <v>0.7717</v>
      </c>
      <c r="AG453" s="1">
        <v>6.337</v>
      </c>
      <c r="AH453" s="1">
        <v>6.781</v>
      </c>
      <c r="AI453" s="1" t="b">
        <v>0</v>
      </c>
      <c r="AJ453" s="1" t="b">
        <v>0</v>
      </c>
      <c r="AK453" s="1">
        <v>94.182</v>
      </c>
      <c r="AL453" s="1">
        <v>96.508</v>
      </c>
      <c r="AM453" s="1" t="b">
        <v>0</v>
      </c>
      <c r="AN453" s="1" t="b">
        <v>0</v>
      </c>
      <c r="AO453" s="1">
        <v>8.05</v>
      </c>
      <c r="AP453" s="1">
        <v>8.53399999999999</v>
      </c>
      <c r="AQ453" s="1" t="b">
        <v>0</v>
      </c>
      <c r="AR453" s="1" t="b">
        <v>0</v>
      </c>
      <c r="AS453" s="1">
        <v>86.9179999999999</v>
      </c>
      <c r="AT453" s="1">
        <v>87.152</v>
      </c>
      <c r="AU453" s="1" t="b">
        <v>0</v>
      </c>
      <c r="AV453" s="1" t="b">
        <v>0</v>
      </c>
      <c r="AW453" s="1">
        <v>9.61399999999999</v>
      </c>
      <c r="AX453" s="1">
        <v>11.026</v>
      </c>
      <c r="AY453" s="1" t="b">
        <v>0</v>
      </c>
      <c r="AZ453" s="1" t="b">
        <v>0</v>
      </c>
      <c r="BA453" s="1">
        <v>81.25</v>
      </c>
      <c r="BB453" s="1">
        <v>77.78</v>
      </c>
      <c r="BC453" s="1" t="b">
        <v>0</v>
      </c>
      <c r="BD453" s="1" t="b">
        <v>0</v>
      </c>
      <c r="BE453" s="1">
        <v>11.34</v>
      </c>
      <c r="BF453" s="1">
        <v>13.285</v>
      </c>
      <c r="BG453" s="1" t="b">
        <v>0</v>
      </c>
      <c r="BH453" s="1" t="b">
        <v>0</v>
      </c>
      <c r="BI453" s="1">
        <v>77.78</v>
      </c>
      <c r="BJ453" s="1">
        <v>75.0</v>
      </c>
      <c r="BK453" s="1" t="b">
        <v>0</v>
      </c>
      <c r="BL453" s="1" t="b">
        <v>0</v>
      </c>
      <c r="BM453" s="1">
        <v>13.121</v>
      </c>
      <c r="BN453" s="1">
        <v>14.568</v>
      </c>
      <c r="BO453" s="1" t="b">
        <v>0</v>
      </c>
      <c r="BP453" s="1" t="b">
        <v>0</v>
      </c>
      <c r="BQ453" s="1">
        <v>75.0</v>
      </c>
      <c r="BR453" s="1">
        <v>72.027</v>
      </c>
      <c r="BS453" s="1" t="b">
        <v>0</v>
      </c>
      <c r="BT453" s="1" t="b">
        <v>0</v>
      </c>
      <c r="BU453" s="1" t="s">
        <v>105</v>
      </c>
      <c r="BV453" s="1" t="s">
        <v>105</v>
      </c>
      <c r="BW453" s="1" t="s">
        <v>105</v>
      </c>
      <c r="BX453" s="1" t="s">
        <v>105</v>
      </c>
      <c r="BY453" s="1" t="s">
        <v>105</v>
      </c>
      <c r="BZ453" s="1" t="s">
        <v>105</v>
      </c>
      <c r="CA453" s="1" t="s">
        <v>105</v>
      </c>
      <c r="CB453" s="1" t="s">
        <v>105</v>
      </c>
      <c r="CC453" s="1" t="s">
        <v>105</v>
      </c>
      <c r="CD453" s="1" t="s">
        <v>105</v>
      </c>
      <c r="CE453" s="4"/>
      <c r="CF453" s="4"/>
    </row>
    <row r="454" hidden="1">
      <c r="A454" s="1" t="s">
        <v>82</v>
      </c>
      <c r="B454" s="1" t="s">
        <v>145</v>
      </c>
      <c r="C454" s="1">
        <v>19.0</v>
      </c>
      <c r="D454" s="5" t="s">
        <v>2036</v>
      </c>
      <c r="E454" s="1" t="s">
        <v>2037</v>
      </c>
      <c r="F454" s="1">
        <v>22.0</v>
      </c>
      <c r="G454" s="1">
        <v>0.0</v>
      </c>
      <c r="H454" s="1" t="s">
        <v>2038</v>
      </c>
      <c r="I454" s="4" t="b">
        <f>IFERROR(__xludf.DUMMYFUNCTION("IF(H454="""",,REGEXMATCH(H454,""[א-ת]""))"),FALSE)</f>
        <v>0</v>
      </c>
      <c r="J454" s="4"/>
      <c r="K454" s="4"/>
      <c r="L454" s="1">
        <v>0.0</v>
      </c>
      <c r="M454" s="1">
        <v>27.05</v>
      </c>
      <c r="N454" s="1">
        <v>59.09</v>
      </c>
      <c r="O454" s="1">
        <v>2.685909091</v>
      </c>
      <c r="P454" s="4"/>
      <c r="Q454" s="4"/>
      <c r="R454" s="1" t="s">
        <v>89</v>
      </c>
      <c r="S454" s="1" t="s">
        <v>2037</v>
      </c>
      <c r="T454" s="1" t="s">
        <v>145</v>
      </c>
      <c r="U454" s="1">
        <v>20.0</v>
      </c>
      <c r="V454" s="5" t="s">
        <v>2036</v>
      </c>
      <c r="W454" s="1" t="s">
        <v>2037</v>
      </c>
      <c r="X454" s="1" t="s">
        <v>2039</v>
      </c>
      <c r="Y454" s="4"/>
      <c r="Z454" s="4"/>
      <c r="AA454" s="4" t="b">
        <f>IFERROR(__xludf.DUMMYFUNCTION("IF(X454="""",,REGEXMATCH(X454,""[א-ת]""))"),FALSE)</f>
        <v>0</v>
      </c>
      <c r="AB454" s="1">
        <v>25.17</v>
      </c>
      <c r="AC454" s="1">
        <v>40.91</v>
      </c>
      <c r="AD454" s="1">
        <v>0.73071563599767</v>
      </c>
      <c r="AE454" s="1">
        <v>0.0</v>
      </c>
      <c r="AF454" s="1">
        <v>0.0</v>
      </c>
      <c r="AG454" s="1">
        <v>6.337</v>
      </c>
      <c r="AH454" s="1">
        <v>6.781</v>
      </c>
      <c r="AI454" s="1" t="b">
        <v>0</v>
      </c>
      <c r="AJ454" s="1" t="b">
        <v>0</v>
      </c>
      <c r="AK454" s="1">
        <v>94.182</v>
      </c>
      <c r="AL454" s="1">
        <v>96.508</v>
      </c>
      <c r="AM454" s="1" t="b">
        <v>0</v>
      </c>
      <c r="AN454" s="1" t="b">
        <v>0</v>
      </c>
      <c r="AO454" s="1">
        <v>8.05</v>
      </c>
      <c r="AP454" s="1">
        <v>8.53399999999999</v>
      </c>
      <c r="AQ454" s="1" t="b">
        <v>0</v>
      </c>
      <c r="AR454" s="1" t="b">
        <v>0</v>
      </c>
      <c r="AS454" s="1">
        <v>86.9179999999999</v>
      </c>
      <c r="AT454" s="1">
        <v>87.152</v>
      </c>
      <c r="AU454" s="1" t="b">
        <v>0</v>
      </c>
      <c r="AV454" s="1" t="b">
        <v>0</v>
      </c>
      <c r="AW454" s="1">
        <v>9.61399999999999</v>
      </c>
      <c r="AX454" s="1">
        <v>11.026</v>
      </c>
      <c r="AY454" s="1" t="b">
        <v>0</v>
      </c>
      <c r="AZ454" s="1" t="b">
        <v>0</v>
      </c>
      <c r="BA454" s="1">
        <v>81.25</v>
      </c>
      <c r="BB454" s="1">
        <v>77.78</v>
      </c>
      <c r="BC454" s="1" t="b">
        <v>0</v>
      </c>
      <c r="BD454" s="1" t="b">
        <v>0</v>
      </c>
      <c r="BE454" s="1">
        <v>11.34</v>
      </c>
      <c r="BF454" s="1">
        <v>13.285</v>
      </c>
      <c r="BG454" s="1" t="b">
        <v>0</v>
      </c>
      <c r="BH454" s="1" t="b">
        <v>0</v>
      </c>
      <c r="BI454" s="1">
        <v>77.78</v>
      </c>
      <c r="BJ454" s="1">
        <v>75.0</v>
      </c>
      <c r="BK454" s="1" t="b">
        <v>0</v>
      </c>
      <c r="BL454" s="1" t="b">
        <v>0</v>
      </c>
      <c r="BM454" s="1">
        <v>13.121</v>
      </c>
      <c r="BN454" s="1">
        <v>14.568</v>
      </c>
      <c r="BO454" s="1" t="b">
        <v>0</v>
      </c>
      <c r="BP454" s="1" t="b">
        <v>0</v>
      </c>
      <c r="BQ454" s="1">
        <v>75.0</v>
      </c>
      <c r="BR454" s="1">
        <v>72.027</v>
      </c>
      <c r="BS454" s="1" t="b">
        <v>0</v>
      </c>
      <c r="BT454" s="1" t="b">
        <v>0</v>
      </c>
      <c r="BU454" s="1" t="s">
        <v>105</v>
      </c>
      <c r="BV454" s="1" t="s">
        <v>105</v>
      </c>
      <c r="BW454" s="1" t="s">
        <v>105</v>
      </c>
      <c r="BX454" s="1" t="s">
        <v>105</v>
      </c>
      <c r="BY454" s="1" t="s">
        <v>105</v>
      </c>
      <c r="BZ454" s="1" t="s">
        <v>105</v>
      </c>
      <c r="CA454" s="1" t="s">
        <v>105</v>
      </c>
      <c r="CB454" s="1" t="s">
        <v>105</v>
      </c>
      <c r="CC454" s="1" t="s">
        <v>105</v>
      </c>
      <c r="CD454" s="1" t="s">
        <v>105</v>
      </c>
      <c r="CE454" s="4"/>
      <c r="CF454" s="4"/>
    </row>
    <row r="455" hidden="1">
      <c r="A455" s="1" t="s">
        <v>82</v>
      </c>
      <c r="B455" s="1" t="s">
        <v>262</v>
      </c>
      <c r="C455" s="1">
        <v>13.0</v>
      </c>
      <c r="D455" s="5" t="s">
        <v>2040</v>
      </c>
      <c r="E455" s="1" t="s">
        <v>2041</v>
      </c>
      <c r="F455" s="1">
        <v>68.0</v>
      </c>
      <c r="G455" s="1">
        <v>0.4215</v>
      </c>
      <c r="H455" s="1" t="s">
        <v>2042</v>
      </c>
      <c r="I455" s="4" t="b">
        <f>IFERROR(__xludf.DUMMYFUNCTION("IF(H455="""",,REGEXMATCH(H455,""[א-ת]""))"),FALSE)</f>
        <v>0</v>
      </c>
      <c r="J455" s="4"/>
      <c r="K455" s="4"/>
      <c r="L455" s="1">
        <v>0.0</v>
      </c>
      <c r="M455" s="1">
        <v>27.08</v>
      </c>
      <c r="N455" s="1">
        <v>63.24</v>
      </c>
      <c r="O455" s="1">
        <v>0.93</v>
      </c>
      <c r="P455" s="4"/>
      <c r="Q455" s="4"/>
      <c r="R455" s="1" t="s">
        <v>96</v>
      </c>
      <c r="S455" s="1" t="s">
        <v>2041</v>
      </c>
      <c r="T455" s="1" t="s">
        <v>262</v>
      </c>
      <c r="U455" s="1">
        <v>14.0</v>
      </c>
      <c r="V455" s="5" t="s">
        <v>2040</v>
      </c>
      <c r="W455" s="1" t="s">
        <v>2041</v>
      </c>
      <c r="X455" s="1" t="s">
        <v>2043</v>
      </c>
      <c r="Y455" s="4"/>
      <c r="Z455" s="4"/>
      <c r="AA455" s="4" t="b">
        <f>IFERROR(__xludf.DUMMYFUNCTION("IF(X455="""",,REGEXMATCH(X455,""[א-ת]""))"),FALSE)</f>
        <v>0</v>
      </c>
      <c r="AB455" s="1">
        <v>27.44</v>
      </c>
      <c r="AC455" s="1">
        <v>55.88</v>
      </c>
      <c r="AD455" s="1">
        <v>0.620084460149997</v>
      </c>
      <c r="AE455" s="1">
        <v>0.4215</v>
      </c>
      <c r="AF455" s="1">
        <v>0.4215</v>
      </c>
      <c r="AG455" s="1">
        <v>6.337</v>
      </c>
      <c r="AH455" s="1">
        <v>6.781</v>
      </c>
      <c r="AI455" s="1" t="b">
        <v>0</v>
      </c>
      <c r="AJ455" s="1" t="b">
        <v>0</v>
      </c>
      <c r="AK455" s="1">
        <v>94.182</v>
      </c>
      <c r="AL455" s="1">
        <v>96.508</v>
      </c>
      <c r="AM455" s="1" t="b">
        <v>0</v>
      </c>
      <c r="AN455" s="1" t="b">
        <v>0</v>
      </c>
      <c r="AO455" s="1">
        <v>8.05</v>
      </c>
      <c r="AP455" s="1">
        <v>8.53399999999999</v>
      </c>
      <c r="AQ455" s="1" t="b">
        <v>0</v>
      </c>
      <c r="AR455" s="1" t="b">
        <v>0</v>
      </c>
      <c r="AS455" s="1">
        <v>86.9179999999999</v>
      </c>
      <c r="AT455" s="1">
        <v>87.152</v>
      </c>
      <c r="AU455" s="1" t="b">
        <v>0</v>
      </c>
      <c r="AV455" s="1" t="b">
        <v>0</v>
      </c>
      <c r="AW455" s="1">
        <v>9.61399999999999</v>
      </c>
      <c r="AX455" s="1">
        <v>11.026</v>
      </c>
      <c r="AY455" s="1" t="b">
        <v>0</v>
      </c>
      <c r="AZ455" s="1" t="b">
        <v>0</v>
      </c>
      <c r="BA455" s="1">
        <v>81.25</v>
      </c>
      <c r="BB455" s="1">
        <v>77.78</v>
      </c>
      <c r="BC455" s="1" t="b">
        <v>0</v>
      </c>
      <c r="BD455" s="1" t="b">
        <v>0</v>
      </c>
      <c r="BE455" s="1">
        <v>11.34</v>
      </c>
      <c r="BF455" s="1">
        <v>13.285</v>
      </c>
      <c r="BG455" s="1" t="b">
        <v>0</v>
      </c>
      <c r="BH455" s="1" t="b">
        <v>0</v>
      </c>
      <c r="BI455" s="1">
        <v>77.78</v>
      </c>
      <c r="BJ455" s="1">
        <v>75.0</v>
      </c>
      <c r="BK455" s="1" t="b">
        <v>0</v>
      </c>
      <c r="BL455" s="1" t="b">
        <v>0</v>
      </c>
      <c r="BM455" s="1">
        <v>13.121</v>
      </c>
      <c r="BN455" s="1">
        <v>14.568</v>
      </c>
      <c r="BO455" s="1" t="b">
        <v>0</v>
      </c>
      <c r="BP455" s="1" t="b">
        <v>0</v>
      </c>
      <c r="BQ455" s="1">
        <v>75.0</v>
      </c>
      <c r="BR455" s="1">
        <v>72.027</v>
      </c>
      <c r="BS455" s="1" t="b">
        <v>0</v>
      </c>
      <c r="BT455" s="1" t="b">
        <v>0</v>
      </c>
      <c r="BU455" s="1" t="s">
        <v>105</v>
      </c>
      <c r="BV455" s="1" t="s">
        <v>105</v>
      </c>
      <c r="BW455" s="1" t="s">
        <v>105</v>
      </c>
      <c r="BX455" s="1" t="s">
        <v>105</v>
      </c>
      <c r="BY455" s="1" t="s">
        <v>105</v>
      </c>
      <c r="BZ455" s="1" t="s">
        <v>105</v>
      </c>
      <c r="CA455" s="1" t="s">
        <v>105</v>
      </c>
      <c r="CB455" s="1" t="s">
        <v>105</v>
      </c>
      <c r="CC455" s="1" t="s">
        <v>105</v>
      </c>
      <c r="CD455" s="1" t="s">
        <v>105</v>
      </c>
      <c r="CE455" s="4"/>
      <c r="CF455" s="4"/>
    </row>
    <row r="456" hidden="1">
      <c r="A456" s="1" t="s">
        <v>82</v>
      </c>
      <c r="B456" s="1" t="s">
        <v>304</v>
      </c>
      <c r="C456" s="1">
        <v>23.0</v>
      </c>
      <c r="D456" s="5" t="s">
        <v>2044</v>
      </c>
      <c r="E456" s="1" t="s">
        <v>2045</v>
      </c>
      <c r="F456" s="1">
        <v>50.0</v>
      </c>
      <c r="G456" s="1">
        <v>0.0</v>
      </c>
      <c r="H456" s="1" t="s">
        <v>2046</v>
      </c>
      <c r="I456" s="4" t="b">
        <f>IFERROR(__xludf.DUMMYFUNCTION("IF(H456="""",,REGEXMATCH(H456,""[א-ת]""))"),FALSE)</f>
        <v>0</v>
      </c>
      <c r="J456" s="4"/>
      <c r="K456" s="4"/>
      <c r="L456" s="1">
        <v>0.5267</v>
      </c>
      <c r="M456" s="1">
        <v>27.12</v>
      </c>
      <c r="N456" s="1">
        <v>46.0</v>
      </c>
      <c r="O456" s="1">
        <v>0.92</v>
      </c>
      <c r="P456" s="4"/>
      <c r="Q456" s="4"/>
      <c r="R456" s="1" t="s">
        <v>89</v>
      </c>
      <c r="S456" s="1" t="s">
        <v>2045</v>
      </c>
      <c r="T456" s="1" t="s">
        <v>304</v>
      </c>
      <c r="U456" s="1">
        <v>24.0</v>
      </c>
      <c r="V456" s="5" t="s">
        <v>2044</v>
      </c>
      <c r="W456" s="1" t="s">
        <v>2045</v>
      </c>
      <c r="X456" s="1" t="s">
        <v>2047</v>
      </c>
      <c r="Y456" s="4"/>
      <c r="Z456" s="4"/>
      <c r="AA456" s="4" t="b">
        <f>IFERROR(__xludf.DUMMYFUNCTION("IF(X456="""",,REGEXMATCH(X456,""[א-ת]""))"),FALSE)</f>
        <v>0</v>
      </c>
      <c r="AB456" s="1">
        <v>27.84</v>
      </c>
      <c r="AC456" s="1">
        <v>48.0</v>
      </c>
      <c r="AD456" s="1">
        <v>0.464058556919579</v>
      </c>
      <c r="AE456" s="1">
        <v>0.0</v>
      </c>
      <c r="AF456" s="1">
        <v>0.0</v>
      </c>
      <c r="AG456" s="1">
        <v>6.337</v>
      </c>
      <c r="AH456" s="1">
        <v>6.781</v>
      </c>
      <c r="AI456" s="1" t="b">
        <v>0</v>
      </c>
      <c r="AJ456" s="1" t="b">
        <v>0</v>
      </c>
      <c r="AK456" s="1">
        <v>94.182</v>
      </c>
      <c r="AL456" s="1">
        <v>96.508</v>
      </c>
      <c r="AM456" s="1" t="b">
        <v>0</v>
      </c>
      <c r="AN456" s="1" t="b">
        <v>0</v>
      </c>
      <c r="AO456" s="1">
        <v>8.05</v>
      </c>
      <c r="AP456" s="1">
        <v>8.53399999999999</v>
      </c>
      <c r="AQ456" s="1" t="b">
        <v>0</v>
      </c>
      <c r="AR456" s="1" t="b">
        <v>0</v>
      </c>
      <c r="AS456" s="1">
        <v>86.9179999999999</v>
      </c>
      <c r="AT456" s="1">
        <v>87.152</v>
      </c>
      <c r="AU456" s="1" t="b">
        <v>0</v>
      </c>
      <c r="AV456" s="1" t="b">
        <v>0</v>
      </c>
      <c r="AW456" s="1">
        <v>9.61399999999999</v>
      </c>
      <c r="AX456" s="1">
        <v>11.026</v>
      </c>
      <c r="AY456" s="1" t="b">
        <v>0</v>
      </c>
      <c r="AZ456" s="1" t="b">
        <v>0</v>
      </c>
      <c r="BA456" s="1">
        <v>81.25</v>
      </c>
      <c r="BB456" s="1">
        <v>77.78</v>
      </c>
      <c r="BC456" s="1" t="b">
        <v>0</v>
      </c>
      <c r="BD456" s="1" t="b">
        <v>0</v>
      </c>
      <c r="BE456" s="1">
        <v>11.34</v>
      </c>
      <c r="BF456" s="1">
        <v>13.285</v>
      </c>
      <c r="BG456" s="1" t="b">
        <v>0</v>
      </c>
      <c r="BH456" s="1" t="b">
        <v>0</v>
      </c>
      <c r="BI456" s="1">
        <v>77.78</v>
      </c>
      <c r="BJ456" s="1">
        <v>75.0</v>
      </c>
      <c r="BK456" s="1" t="b">
        <v>0</v>
      </c>
      <c r="BL456" s="1" t="b">
        <v>0</v>
      </c>
      <c r="BM456" s="1">
        <v>13.121</v>
      </c>
      <c r="BN456" s="1">
        <v>14.568</v>
      </c>
      <c r="BO456" s="1" t="b">
        <v>0</v>
      </c>
      <c r="BP456" s="1" t="b">
        <v>0</v>
      </c>
      <c r="BQ456" s="1">
        <v>75.0</v>
      </c>
      <c r="BR456" s="1">
        <v>72.027</v>
      </c>
      <c r="BS456" s="1" t="b">
        <v>0</v>
      </c>
      <c r="BT456" s="1" t="b">
        <v>0</v>
      </c>
      <c r="BU456" s="1" t="s">
        <v>105</v>
      </c>
      <c r="BV456" s="1" t="s">
        <v>105</v>
      </c>
      <c r="BW456" s="1" t="s">
        <v>105</v>
      </c>
      <c r="BX456" s="1" t="s">
        <v>105</v>
      </c>
      <c r="BY456" s="1" t="s">
        <v>105</v>
      </c>
      <c r="BZ456" s="1" t="s">
        <v>105</v>
      </c>
      <c r="CA456" s="1" t="s">
        <v>105</v>
      </c>
      <c r="CB456" s="1" t="s">
        <v>105</v>
      </c>
      <c r="CC456" s="1" t="s">
        <v>105</v>
      </c>
      <c r="CD456" s="1" t="s">
        <v>105</v>
      </c>
      <c r="CE456" s="4"/>
      <c r="CF456" s="4"/>
    </row>
    <row r="457" hidden="1">
      <c r="A457" s="1" t="s">
        <v>82</v>
      </c>
      <c r="B457" s="1" t="s">
        <v>92</v>
      </c>
      <c r="C457" s="1">
        <v>34.0</v>
      </c>
      <c r="D457" s="5" t="s">
        <v>2048</v>
      </c>
      <c r="E457" s="1" t="s">
        <v>2049</v>
      </c>
      <c r="F457" s="1">
        <v>38.0</v>
      </c>
      <c r="G457" s="1">
        <v>0.6249</v>
      </c>
      <c r="H457" s="1" t="s">
        <v>2050</v>
      </c>
      <c r="I457" s="4" t="b">
        <f>IFERROR(__xludf.DUMMYFUNCTION("IF(H457="""",,REGEXMATCH(H457,""[א-ת]""))"),FALSE)</f>
        <v>0</v>
      </c>
      <c r="J457" s="4"/>
      <c r="K457" s="4"/>
      <c r="L457" s="1">
        <v>0.8519</v>
      </c>
      <c r="M457" s="1">
        <v>27.15</v>
      </c>
      <c r="N457" s="1">
        <v>68.42</v>
      </c>
      <c r="O457" s="1">
        <v>1.800526316</v>
      </c>
      <c r="P457" s="4"/>
      <c r="Q457" s="4"/>
      <c r="R457" s="1" t="s">
        <v>96</v>
      </c>
      <c r="S457" s="1" t="s">
        <v>2049</v>
      </c>
      <c r="T457" s="1" t="s">
        <v>92</v>
      </c>
      <c r="U457" s="1">
        <v>35.0</v>
      </c>
      <c r="V457" s="5" t="s">
        <v>2048</v>
      </c>
      <c r="W457" s="1" t="s">
        <v>2049</v>
      </c>
      <c r="X457" s="1" t="s">
        <v>2051</v>
      </c>
      <c r="Y457" s="4"/>
      <c r="Z457" s="4"/>
      <c r="AA457" s="4" t="b">
        <f>IFERROR(__xludf.DUMMYFUNCTION("IF(X457="""",,REGEXMATCH(X457,""[א-ת]""))"),FALSE)</f>
        <v>0</v>
      </c>
      <c r="AB457" s="1">
        <v>40.68</v>
      </c>
      <c r="AC457" s="1">
        <v>36.84</v>
      </c>
      <c r="AD457" s="1">
        <v>0.867195308760864</v>
      </c>
      <c r="AE457" s="1">
        <v>0.765</v>
      </c>
      <c r="AF457" s="1">
        <v>0.6249</v>
      </c>
      <c r="AG457" s="1">
        <v>6.337</v>
      </c>
      <c r="AH457" s="1">
        <v>6.781</v>
      </c>
      <c r="AI457" s="1" t="b">
        <v>0</v>
      </c>
      <c r="AJ457" s="1" t="b">
        <v>0</v>
      </c>
      <c r="AK457" s="1">
        <v>94.182</v>
      </c>
      <c r="AL457" s="1">
        <v>96.508</v>
      </c>
      <c r="AM457" s="1" t="b">
        <v>0</v>
      </c>
      <c r="AN457" s="1" t="b">
        <v>0</v>
      </c>
      <c r="AO457" s="1">
        <v>8.05</v>
      </c>
      <c r="AP457" s="1">
        <v>8.53399999999999</v>
      </c>
      <c r="AQ457" s="1" t="b">
        <v>0</v>
      </c>
      <c r="AR457" s="1" t="b">
        <v>0</v>
      </c>
      <c r="AS457" s="1">
        <v>86.9179999999999</v>
      </c>
      <c r="AT457" s="1">
        <v>87.152</v>
      </c>
      <c r="AU457" s="1" t="b">
        <v>0</v>
      </c>
      <c r="AV457" s="1" t="b">
        <v>0</v>
      </c>
      <c r="AW457" s="1">
        <v>9.61399999999999</v>
      </c>
      <c r="AX457" s="1">
        <v>11.026</v>
      </c>
      <c r="AY457" s="1" t="b">
        <v>0</v>
      </c>
      <c r="AZ457" s="1" t="b">
        <v>0</v>
      </c>
      <c r="BA457" s="1">
        <v>81.25</v>
      </c>
      <c r="BB457" s="1">
        <v>77.78</v>
      </c>
      <c r="BC457" s="1" t="b">
        <v>0</v>
      </c>
      <c r="BD457" s="1" t="b">
        <v>0</v>
      </c>
      <c r="BE457" s="1">
        <v>11.34</v>
      </c>
      <c r="BF457" s="1">
        <v>13.285</v>
      </c>
      <c r="BG457" s="1" t="b">
        <v>0</v>
      </c>
      <c r="BH457" s="1" t="b">
        <v>0</v>
      </c>
      <c r="BI457" s="1">
        <v>77.78</v>
      </c>
      <c r="BJ457" s="1">
        <v>75.0</v>
      </c>
      <c r="BK457" s="1" t="b">
        <v>0</v>
      </c>
      <c r="BL457" s="1" t="b">
        <v>0</v>
      </c>
      <c r="BM457" s="1">
        <v>13.121</v>
      </c>
      <c r="BN457" s="1">
        <v>14.568</v>
      </c>
      <c r="BO457" s="1" t="b">
        <v>0</v>
      </c>
      <c r="BP457" s="1" t="b">
        <v>0</v>
      </c>
      <c r="BQ457" s="1">
        <v>75.0</v>
      </c>
      <c r="BR457" s="1">
        <v>72.027</v>
      </c>
      <c r="BS457" s="1" t="b">
        <v>0</v>
      </c>
      <c r="BT457" s="1" t="b">
        <v>0</v>
      </c>
      <c r="BU457" s="1" t="s">
        <v>105</v>
      </c>
      <c r="BV457" s="1" t="s">
        <v>105</v>
      </c>
      <c r="BW457" s="1" t="s">
        <v>105</v>
      </c>
      <c r="BX457" s="1" t="s">
        <v>105</v>
      </c>
      <c r="BY457" s="1" t="s">
        <v>105</v>
      </c>
      <c r="BZ457" s="1" t="s">
        <v>105</v>
      </c>
      <c r="CA457" s="1" t="s">
        <v>105</v>
      </c>
      <c r="CB457" s="1" t="s">
        <v>105</v>
      </c>
      <c r="CC457" s="1" t="s">
        <v>105</v>
      </c>
      <c r="CD457" s="1" t="s">
        <v>105</v>
      </c>
      <c r="CE457" s="4"/>
      <c r="CF457" s="4"/>
    </row>
    <row r="458" hidden="1">
      <c r="A458" s="1" t="s">
        <v>82</v>
      </c>
      <c r="B458" s="1" t="s">
        <v>83</v>
      </c>
      <c r="C458" s="1">
        <v>14.0</v>
      </c>
      <c r="D458" s="5" t="s">
        <v>2052</v>
      </c>
      <c r="E458" s="1" t="s">
        <v>2053</v>
      </c>
      <c r="F458" s="1">
        <v>60.0</v>
      </c>
      <c r="G458" s="1">
        <v>0.2732</v>
      </c>
      <c r="H458" s="1" t="s">
        <v>2054</v>
      </c>
      <c r="I458" s="4" t="b">
        <f>IFERROR(__xludf.DUMMYFUNCTION("IF(H458="""",,REGEXMATCH(H458,""[א-ת]""))"),FALSE)</f>
        <v>0</v>
      </c>
      <c r="J458" s="4"/>
      <c r="K458" s="4"/>
      <c r="L458" s="1">
        <v>0.0</v>
      </c>
      <c r="M458" s="1">
        <v>27.16</v>
      </c>
      <c r="N458" s="1">
        <v>56.67</v>
      </c>
      <c r="O458" s="1">
        <v>0.9445</v>
      </c>
      <c r="P458" s="4"/>
      <c r="Q458" s="4"/>
      <c r="R458" s="1" t="s">
        <v>89</v>
      </c>
      <c r="S458" s="1" t="s">
        <v>2053</v>
      </c>
      <c r="T458" s="1" t="s">
        <v>83</v>
      </c>
      <c r="U458" s="1">
        <v>15.0</v>
      </c>
      <c r="V458" s="5" t="s">
        <v>2052</v>
      </c>
      <c r="W458" s="1" t="s">
        <v>2053</v>
      </c>
      <c r="X458" s="1" t="s">
        <v>2055</v>
      </c>
      <c r="Y458" s="4"/>
      <c r="Z458" s="4"/>
      <c r="AA458" s="4" t="b">
        <f>IFERROR(__xludf.DUMMYFUNCTION("IF(X458="""",,REGEXMATCH(X458,""[א-ת]""))"),FALSE)</f>
        <v>0</v>
      </c>
      <c r="AB458" s="1">
        <v>15.11</v>
      </c>
      <c r="AC458" s="1">
        <v>66.67</v>
      </c>
      <c r="AD458" s="1">
        <v>0.496169381109744</v>
      </c>
      <c r="AE458" s="1">
        <v>-0.2755</v>
      </c>
      <c r="AF458" s="1">
        <v>0.2732</v>
      </c>
      <c r="AG458" s="1">
        <v>6.337</v>
      </c>
      <c r="AH458" s="1">
        <v>6.781</v>
      </c>
      <c r="AI458" s="1" t="b">
        <v>0</v>
      </c>
      <c r="AJ458" s="1" t="b">
        <v>0</v>
      </c>
      <c r="AK458" s="1">
        <v>94.182</v>
      </c>
      <c r="AL458" s="1">
        <v>96.508</v>
      </c>
      <c r="AM458" s="1" t="b">
        <v>0</v>
      </c>
      <c r="AN458" s="1" t="b">
        <v>0</v>
      </c>
      <c r="AO458" s="1">
        <v>8.05</v>
      </c>
      <c r="AP458" s="1">
        <v>8.53399999999999</v>
      </c>
      <c r="AQ458" s="1" t="b">
        <v>0</v>
      </c>
      <c r="AR458" s="1" t="b">
        <v>0</v>
      </c>
      <c r="AS458" s="1">
        <v>86.9179999999999</v>
      </c>
      <c r="AT458" s="1">
        <v>87.152</v>
      </c>
      <c r="AU458" s="1" t="b">
        <v>0</v>
      </c>
      <c r="AV458" s="1" t="b">
        <v>0</v>
      </c>
      <c r="AW458" s="1">
        <v>9.61399999999999</v>
      </c>
      <c r="AX458" s="1">
        <v>11.026</v>
      </c>
      <c r="AY458" s="1" t="b">
        <v>0</v>
      </c>
      <c r="AZ458" s="1" t="b">
        <v>0</v>
      </c>
      <c r="BA458" s="1">
        <v>81.25</v>
      </c>
      <c r="BB458" s="1">
        <v>77.78</v>
      </c>
      <c r="BC458" s="1" t="b">
        <v>0</v>
      </c>
      <c r="BD458" s="1" t="b">
        <v>0</v>
      </c>
      <c r="BE458" s="1">
        <v>11.34</v>
      </c>
      <c r="BF458" s="1">
        <v>13.285</v>
      </c>
      <c r="BG458" s="1" t="b">
        <v>0</v>
      </c>
      <c r="BH458" s="1" t="b">
        <v>0</v>
      </c>
      <c r="BI458" s="1">
        <v>77.78</v>
      </c>
      <c r="BJ458" s="1">
        <v>75.0</v>
      </c>
      <c r="BK458" s="1" t="b">
        <v>0</v>
      </c>
      <c r="BL458" s="1" t="b">
        <v>0</v>
      </c>
      <c r="BM458" s="1">
        <v>13.121</v>
      </c>
      <c r="BN458" s="1">
        <v>14.568</v>
      </c>
      <c r="BO458" s="1" t="b">
        <v>0</v>
      </c>
      <c r="BP458" s="1" t="b">
        <v>0</v>
      </c>
      <c r="BQ458" s="1">
        <v>75.0</v>
      </c>
      <c r="BR458" s="1">
        <v>72.027</v>
      </c>
      <c r="BS458" s="1" t="b">
        <v>0</v>
      </c>
      <c r="BT458" s="1" t="b">
        <v>0</v>
      </c>
      <c r="BU458" s="1" t="s">
        <v>105</v>
      </c>
      <c r="BV458" s="1" t="s">
        <v>105</v>
      </c>
      <c r="BW458" s="1" t="s">
        <v>105</v>
      </c>
      <c r="BX458" s="1" t="s">
        <v>105</v>
      </c>
      <c r="BY458" s="1" t="s">
        <v>105</v>
      </c>
      <c r="BZ458" s="1" t="s">
        <v>105</v>
      </c>
      <c r="CA458" s="1" t="s">
        <v>105</v>
      </c>
      <c r="CB458" s="1" t="s">
        <v>105</v>
      </c>
      <c r="CC458" s="1" t="s">
        <v>105</v>
      </c>
      <c r="CD458" s="1" t="s">
        <v>105</v>
      </c>
      <c r="CE458" s="4"/>
      <c r="CF458" s="4"/>
    </row>
    <row r="459" hidden="1">
      <c r="A459" s="1" t="s">
        <v>82</v>
      </c>
      <c r="B459" s="1" t="s">
        <v>524</v>
      </c>
      <c r="C459" s="1">
        <v>3.0</v>
      </c>
      <c r="D459" s="5" t="s">
        <v>2056</v>
      </c>
      <c r="E459" s="1" t="s">
        <v>2057</v>
      </c>
      <c r="F459" s="1">
        <v>32.0</v>
      </c>
      <c r="G459" s="1">
        <v>0.0</v>
      </c>
      <c r="H459" s="1" t="s">
        <v>2058</v>
      </c>
      <c r="I459" s="4" t="b">
        <f>IFERROR(__xludf.DUMMYFUNCTION("IF(H459="""",,REGEXMATCH(H459,""[א-ת]""))"),FALSE)</f>
        <v>0</v>
      </c>
      <c r="J459" s="4"/>
      <c r="K459" s="4"/>
      <c r="L459" s="1">
        <v>0.0</v>
      </c>
      <c r="M459" s="1">
        <v>27.19</v>
      </c>
      <c r="N459" s="1">
        <v>50.0</v>
      </c>
      <c r="O459" s="1">
        <v>1.5625</v>
      </c>
      <c r="P459" s="4"/>
      <c r="Q459" s="4"/>
      <c r="R459" s="1" t="s">
        <v>89</v>
      </c>
      <c r="S459" s="1" t="s">
        <v>2057</v>
      </c>
      <c r="T459" s="1" t="s">
        <v>524</v>
      </c>
      <c r="U459" s="1">
        <v>4.0</v>
      </c>
      <c r="V459" s="5" t="s">
        <v>2056</v>
      </c>
      <c r="W459" s="1" t="s">
        <v>2057</v>
      </c>
      <c r="X459" s="1" t="s">
        <v>2059</v>
      </c>
      <c r="Y459" s="4"/>
      <c r="Z459" s="4"/>
      <c r="AA459" s="4" t="b">
        <f>IFERROR(__xludf.DUMMYFUNCTION("IF(X459="""",,REGEXMATCH(X459,""[א-ת]""))"),FALSE)</f>
        <v>0</v>
      </c>
      <c r="AB459" s="1">
        <v>21.26</v>
      </c>
      <c r="AC459" s="1">
        <v>56.25</v>
      </c>
      <c r="AD459" s="1">
        <v>0.505221398496552</v>
      </c>
      <c r="AE459" s="1">
        <v>0.0</v>
      </c>
      <c r="AF459" s="1">
        <v>0.0</v>
      </c>
      <c r="AG459" s="1">
        <v>6.337</v>
      </c>
      <c r="AH459" s="1">
        <v>6.781</v>
      </c>
      <c r="AI459" s="1" t="b">
        <v>0</v>
      </c>
      <c r="AJ459" s="1" t="b">
        <v>0</v>
      </c>
      <c r="AK459" s="1">
        <v>94.182</v>
      </c>
      <c r="AL459" s="1">
        <v>96.508</v>
      </c>
      <c r="AM459" s="1" t="b">
        <v>0</v>
      </c>
      <c r="AN459" s="1" t="b">
        <v>0</v>
      </c>
      <c r="AO459" s="1">
        <v>8.05</v>
      </c>
      <c r="AP459" s="1">
        <v>8.53399999999999</v>
      </c>
      <c r="AQ459" s="1" t="b">
        <v>0</v>
      </c>
      <c r="AR459" s="1" t="b">
        <v>0</v>
      </c>
      <c r="AS459" s="1">
        <v>86.9179999999999</v>
      </c>
      <c r="AT459" s="1">
        <v>87.152</v>
      </c>
      <c r="AU459" s="1" t="b">
        <v>0</v>
      </c>
      <c r="AV459" s="1" t="b">
        <v>0</v>
      </c>
      <c r="AW459" s="1">
        <v>9.61399999999999</v>
      </c>
      <c r="AX459" s="1">
        <v>11.026</v>
      </c>
      <c r="AY459" s="1" t="b">
        <v>0</v>
      </c>
      <c r="AZ459" s="1" t="b">
        <v>0</v>
      </c>
      <c r="BA459" s="1">
        <v>81.25</v>
      </c>
      <c r="BB459" s="1">
        <v>77.78</v>
      </c>
      <c r="BC459" s="1" t="b">
        <v>0</v>
      </c>
      <c r="BD459" s="1" t="b">
        <v>0</v>
      </c>
      <c r="BE459" s="1">
        <v>11.34</v>
      </c>
      <c r="BF459" s="1">
        <v>13.285</v>
      </c>
      <c r="BG459" s="1" t="b">
        <v>0</v>
      </c>
      <c r="BH459" s="1" t="b">
        <v>0</v>
      </c>
      <c r="BI459" s="1">
        <v>77.78</v>
      </c>
      <c r="BJ459" s="1">
        <v>75.0</v>
      </c>
      <c r="BK459" s="1" t="b">
        <v>0</v>
      </c>
      <c r="BL459" s="1" t="b">
        <v>0</v>
      </c>
      <c r="BM459" s="1">
        <v>13.121</v>
      </c>
      <c r="BN459" s="1">
        <v>14.568</v>
      </c>
      <c r="BO459" s="1" t="b">
        <v>0</v>
      </c>
      <c r="BP459" s="1" t="b">
        <v>0</v>
      </c>
      <c r="BQ459" s="1">
        <v>75.0</v>
      </c>
      <c r="BR459" s="1">
        <v>72.027</v>
      </c>
      <c r="BS459" s="1" t="b">
        <v>0</v>
      </c>
      <c r="BT459" s="1" t="b">
        <v>0</v>
      </c>
      <c r="BU459" s="1" t="s">
        <v>105</v>
      </c>
      <c r="BV459" s="1" t="s">
        <v>105</v>
      </c>
      <c r="BW459" s="1" t="s">
        <v>105</v>
      </c>
      <c r="BX459" s="1" t="s">
        <v>105</v>
      </c>
      <c r="BY459" s="1" t="s">
        <v>105</v>
      </c>
      <c r="BZ459" s="1" t="s">
        <v>105</v>
      </c>
      <c r="CA459" s="1" t="s">
        <v>105</v>
      </c>
      <c r="CB459" s="1" t="s">
        <v>105</v>
      </c>
      <c r="CC459" s="1" t="s">
        <v>105</v>
      </c>
      <c r="CD459" s="1" t="s">
        <v>105</v>
      </c>
      <c r="CE459" s="4"/>
      <c r="CF459" s="4"/>
    </row>
    <row r="460" hidden="1">
      <c r="A460" s="1" t="s">
        <v>82</v>
      </c>
      <c r="B460" s="1" t="s">
        <v>427</v>
      </c>
      <c r="C460" s="1">
        <v>7.0</v>
      </c>
      <c r="D460" s="5" t="s">
        <v>2060</v>
      </c>
      <c r="E460" s="1" t="s">
        <v>2061</v>
      </c>
      <c r="F460" s="1">
        <v>33.0</v>
      </c>
      <c r="G460" s="1">
        <v>0.4249</v>
      </c>
      <c r="H460" s="1" t="s">
        <v>2062</v>
      </c>
      <c r="I460" s="4" t="b">
        <f>IFERROR(__xludf.DUMMYFUNCTION("IF(H460="""",,REGEXMATCH(H460,""[א-ת]""))"),FALSE)</f>
        <v>0</v>
      </c>
      <c r="J460" s="4"/>
      <c r="K460" s="4"/>
      <c r="L460" s="1">
        <v>-0.6686</v>
      </c>
      <c r="M460" s="1">
        <v>27.26</v>
      </c>
      <c r="N460" s="1">
        <v>51.52</v>
      </c>
      <c r="O460" s="1">
        <v>1.561212121</v>
      </c>
      <c r="P460" s="4"/>
      <c r="Q460" s="4"/>
      <c r="R460" s="1" t="s">
        <v>96</v>
      </c>
      <c r="S460" s="1" t="s">
        <v>2061</v>
      </c>
      <c r="T460" s="1" t="s">
        <v>427</v>
      </c>
      <c r="U460" s="1">
        <v>8.0</v>
      </c>
      <c r="V460" s="5" t="s">
        <v>2060</v>
      </c>
      <c r="W460" s="1" t="s">
        <v>2061</v>
      </c>
      <c r="X460" s="1" t="s">
        <v>2063</v>
      </c>
      <c r="Y460" s="4"/>
      <c r="Z460" s="4"/>
      <c r="AA460" s="4" t="b">
        <f>IFERROR(__xludf.DUMMYFUNCTION("IF(X460="""",,REGEXMATCH(X460,""[א-ת]""))"),FALSE)</f>
        <v>0</v>
      </c>
      <c r="AB460" s="1">
        <v>41.93</v>
      </c>
      <c r="AC460" s="1">
        <v>42.42</v>
      </c>
      <c r="AD460" s="1">
        <v>0.734771160676916</v>
      </c>
      <c r="AE460" s="1">
        <v>0.1326</v>
      </c>
      <c r="AF460" s="1">
        <v>0.4249</v>
      </c>
      <c r="AG460" s="1">
        <v>6.337</v>
      </c>
      <c r="AH460" s="1">
        <v>6.781</v>
      </c>
      <c r="AI460" s="1" t="b">
        <v>0</v>
      </c>
      <c r="AJ460" s="1" t="b">
        <v>0</v>
      </c>
      <c r="AK460" s="1">
        <v>94.182</v>
      </c>
      <c r="AL460" s="1">
        <v>96.508</v>
      </c>
      <c r="AM460" s="1" t="b">
        <v>0</v>
      </c>
      <c r="AN460" s="1" t="b">
        <v>0</v>
      </c>
      <c r="AO460" s="1">
        <v>8.05</v>
      </c>
      <c r="AP460" s="1">
        <v>8.53399999999999</v>
      </c>
      <c r="AQ460" s="1" t="b">
        <v>0</v>
      </c>
      <c r="AR460" s="1" t="b">
        <v>0</v>
      </c>
      <c r="AS460" s="1">
        <v>86.9179999999999</v>
      </c>
      <c r="AT460" s="1">
        <v>87.152</v>
      </c>
      <c r="AU460" s="1" t="b">
        <v>0</v>
      </c>
      <c r="AV460" s="1" t="b">
        <v>0</v>
      </c>
      <c r="AW460" s="1">
        <v>9.61399999999999</v>
      </c>
      <c r="AX460" s="1">
        <v>11.026</v>
      </c>
      <c r="AY460" s="1" t="b">
        <v>0</v>
      </c>
      <c r="AZ460" s="1" t="b">
        <v>0</v>
      </c>
      <c r="BA460" s="1">
        <v>81.25</v>
      </c>
      <c r="BB460" s="1">
        <v>77.78</v>
      </c>
      <c r="BC460" s="1" t="b">
        <v>0</v>
      </c>
      <c r="BD460" s="1" t="b">
        <v>0</v>
      </c>
      <c r="BE460" s="1">
        <v>11.34</v>
      </c>
      <c r="BF460" s="1">
        <v>13.285</v>
      </c>
      <c r="BG460" s="1" t="b">
        <v>0</v>
      </c>
      <c r="BH460" s="1" t="b">
        <v>0</v>
      </c>
      <c r="BI460" s="1">
        <v>77.78</v>
      </c>
      <c r="BJ460" s="1">
        <v>75.0</v>
      </c>
      <c r="BK460" s="1" t="b">
        <v>0</v>
      </c>
      <c r="BL460" s="1" t="b">
        <v>0</v>
      </c>
      <c r="BM460" s="1">
        <v>13.121</v>
      </c>
      <c r="BN460" s="1">
        <v>14.568</v>
      </c>
      <c r="BO460" s="1" t="b">
        <v>0</v>
      </c>
      <c r="BP460" s="1" t="b">
        <v>0</v>
      </c>
      <c r="BQ460" s="1">
        <v>75.0</v>
      </c>
      <c r="BR460" s="1">
        <v>72.027</v>
      </c>
      <c r="BS460" s="1" t="b">
        <v>0</v>
      </c>
      <c r="BT460" s="1" t="b">
        <v>0</v>
      </c>
      <c r="BU460" s="1" t="s">
        <v>105</v>
      </c>
      <c r="BV460" s="1" t="s">
        <v>105</v>
      </c>
      <c r="BW460" s="1" t="s">
        <v>105</v>
      </c>
      <c r="BX460" s="1" t="s">
        <v>105</v>
      </c>
      <c r="BY460" s="1" t="s">
        <v>105</v>
      </c>
      <c r="BZ460" s="1" t="s">
        <v>105</v>
      </c>
      <c r="CA460" s="1" t="s">
        <v>105</v>
      </c>
      <c r="CB460" s="1" t="s">
        <v>105</v>
      </c>
      <c r="CC460" s="1" t="s">
        <v>105</v>
      </c>
      <c r="CD460" s="1" t="s">
        <v>105</v>
      </c>
      <c r="CE460" s="4"/>
      <c r="CF460" s="4"/>
    </row>
    <row r="461" hidden="1">
      <c r="A461" s="1" t="s">
        <v>82</v>
      </c>
      <c r="B461" s="1" t="s">
        <v>262</v>
      </c>
      <c r="C461" s="1">
        <v>31.0</v>
      </c>
      <c r="D461" s="5" t="s">
        <v>2064</v>
      </c>
      <c r="E461" s="1" t="s">
        <v>2065</v>
      </c>
      <c r="F461" s="1">
        <v>65.0</v>
      </c>
      <c r="G461" s="1">
        <v>-0.3182</v>
      </c>
      <c r="H461" s="1" t="s">
        <v>2066</v>
      </c>
      <c r="I461" s="4" t="b">
        <f>IFERROR(__xludf.DUMMYFUNCTION("IF(H461="""",,REGEXMATCH(H461,""[א-ת]""))"),FALSE)</f>
        <v>0</v>
      </c>
      <c r="J461" s="4"/>
      <c r="K461" s="4"/>
      <c r="L461" s="1">
        <v>0.8832</v>
      </c>
      <c r="M461" s="1">
        <v>27.28</v>
      </c>
      <c r="N461" s="1">
        <v>53.85</v>
      </c>
      <c r="O461" s="1">
        <v>0.8284615385</v>
      </c>
      <c r="P461" s="4"/>
      <c r="Q461" s="4"/>
      <c r="R461" s="1" t="s">
        <v>96</v>
      </c>
      <c r="S461" s="1" t="s">
        <v>2065</v>
      </c>
      <c r="T461" s="1" t="s">
        <v>262</v>
      </c>
      <c r="U461" s="1">
        <v>32.0</v>
      </c>
      <c r="V461" s="5" t="s">
        <v>2064</v>
      </c>
      <c r="W461" s="1" t="s">
        <v>2065</v>
      </c>
      <c r="X461" s="1" t="s">
        <v>2067</v>
      </c>
      <c r="Y461" s="4"/>
      <c r="Z461" s="4"/>
      <c r="AA461" s="4" t="b">
        <f>IFERROR(__xludf.DUMMYFUNCTION("IF(X461="""",,REGEXMATCH(X461,""[א-ת]""))"),FALSE)</f>
        <v>0</v>
      </c>
      <c r="AB461" s="1">
        <v>32.64</v>
      </c>
      <c r="AC461" s="1">
        <v>50.77</v>
      </c>
      <c r="AD461" s="1">
        <v>0.348673542704261</v>
      </c>
      <c r="AE461" s="1">
        <v>0.1007</v>
      </c>
      <c r="AF461" s="1">
        <v>-0.3182</v>
      </c>
      <c r="AG461" s="1">
        <v>6.337</v>
      </c>
      <c r="AH461" s="1">
        <v>6.781</v>
      </c>
      <c r="AI461" s="1" t="b">
        <v>0</v>
      </c>
      <c r="AJ461" s="1" t="b">
        <v>0</v>
      </c>
      <c r="AK461" s="1">
        <v>94.182</v>
      </c>
      <c r="AL461" s="1">
        <v>96.508</v>
      </c>
      <c r="AM461" s="1" t="b">
        <v>0</v>
      </c>
      <c r="AN461" s="1" t="b">
        <v>0</v>
      </c>
      <c r="AO461" s="1">
        <v>8.05</v>
      </c>
      <c r="AP461" s="1">
        <v>8.53399999999999</v>
      </c>
      <c r="AQ461" s="1" t="b">
        <v>0</v>
      </c>
      <c r="AR461" s="1" t="b">
        <v>0</v>
      </c>
      <c r="AS461" s="1">
        <v>86.9179999999999</v>
      </c>
      <c r="AT461" s="1">
        <v>87.152</v>
      </c>
      <c r="AU461" s="1" t="b">
        <v>0</v>
      </c>
      <c r="AV461" s="1" t="b">
        <v>0</v>
      </c>
      <c r="AW461" s="1">
        <v>9.61399999999999</v>
      </c>
      <c r="AX461" s="1">
        <v>11.026</v>
      </c>
      <c r="AY461" s="1" t="b">
        <v>0</v>
      </c>
      <c r="AZ461" s="1" t="b">
        <v>0</v>
      </c>
      <c r="BA461" s="1">
        <v>81.25</v>
      </c>
      <c r="BB461" s="1">
        <v>77.78</v>
      </c>
      <c r="BC461" s="1" t="b">
        <v>0</v>
      </c>
      <c r="BD461" s="1" t="b">
        <v>0</v>
      </c>
      <c r="BE461" s="1">
        <v>11.34</v>
      </c>
      <c r="BF461" s="1">
        <v>13.285</v>
      </c>
      <c r="BG461" s="1" t="b">
        <v>0</v>
      </c>
      <c r="BH461" s="1" t="b">
        <v>0</v>
      </c>
      <c r="BI461" s="1">
        <v>77.78</v>
      </c>
      <c r="BJ461" s="1">
        <v>75.0</v>
      </c>
      <c r="BK461" s="1" t="b">
        <v>0</v>
      </c>
      <c r="BL461" s="1" t="b">
        <v>0</v>
      </c>
      <c r="BM461" s="1">
        <v>13.121</v>
      </c>
      <c r="BN461" s="1">
        <v>14.568</v>
      </c>
      <c r="BO461" s="1" t="b">
        <v>0</v>
      </c>
      <c r="BP461" s="1" t="b">
        <v>0</v>
      </c>
      <c r="BQ461" s="1">
        <v>75.0</v>
      </c>
      <c r="BR461" s="1">
        <v>72.027</v>
      </c>
      <c r="BS461" s="1" t="b">
        <v>0</v>
      </c>
      <c r="BT461" s="1" t="b">
        <v>0</v>
      </c>
      <c r="BU461" s="1" t="s">
        <v>105</v>
      </c>
      <c r="BV461" s="1" t="s">
        <v>105</v>
      </c>
      <c r="BW461" s="1" t="s">
        <v>105</v>
      </c>
      <c r="BX461" s="1" t="s">
        <v>105</v>
      </c>
      <c r="BY461" s="1" t="s">
        <v>105</v>
      </c>
      <c r="BZ461" s="1" t="s">
        <v>105</v>
      </c>
      <c r="CA461" s="1" t="s">
        <v>105</v>
      </c>
      <c r="CB461" s="1" t="s">
        <v>105</v>
      </c>
      <c r="CC461" s="1" t="s">
        <v>105</v>
      </c>
      <c r="CD461" s="1" t="s">
        <v>105</v>
      </c>
      <c r="CE461" s="4"/>
      <c r="CF461" s="4"/>
    </row>
    <row r="462" hidden="1">
      <c r="A462" s="1" t="s">
        <v>82</v>
      </c>
      <c r="B462" s="1" t="s">
        <v>176</v>
      </c>
      <c r="C462" s="1">
        <v>2.0</v>
      </c>
      <c r="D462" s="5" t="s">
        <v>2068</v>
      </c>
      <c r="E462" s="1" t="s">
        <v>2069</v>
      </c>
      <c r="F462" s="1">
        <v>35.0</v>
      </c>
      <c r="G462" s="1">
        <v>0.5994</v>
      </c>
      <c r="H462" s="1" t="s">
        <v>2070</v>
      </c>
      <c r="I462" s="4" t="b">
        <f>IFERROR(__xludf.DUMMYFUNCTION("IF(H462="""",,REGEXMATCH(H462,""[א-ת]""))"),FALSE)</f>
        <v>0</v>
      </c>
      <c r="J462" s="4"/>
      <c r="K462" s="4"/>
      <c r="L462" s="1">
        <v>-0.4939</v>
      </c>
      <c r="M462" s="1">
        <v>27.31</v>
      </c>
      <c r="N462" s="1">
        <v>45.71</v>
      </c>
      <c r="O462" s="1">
        <v>1.306</v>
      </c>
      <c r="P462" s="4"/>
      <c r="Q462" s="4"/>
      <c r="R462" s="1" t="s">
        <v>89</v>
      </c>
      <c r="S462" s="1" t="s">
        <v>2069</v>
      </c>
      <c r="T462" s="1" t="s">
        <v>176</v>
      </c>
      <c r="U462" s="1">
        <v>3.0</v>
      </c>
      <c r="V462" s="5" t="s">
        <v>2068</v>
      </c>
      <c r="W462" s="1" t="s">
        <v>2069</v>
      </c>
      <c r="X462" s="1" t="s">
        <v>2071</v>
      </c>
      <c r="Y462" s="4"/>
      <c r="Z462" s="4"/>
      <c r="AA462" s="4" t="b">
        <f>IFERROR(__xludf.DUMMYFUNCTION("IF(X462="""",,REGEXMATCH(X462,""[א-ת]""))"),FALSE)</f>
        <v>0</v>
      </c>
      <c r="AB462" s="1">
        <v>33.85</v>
      </c>
      <c r="AC462" s="1">
        <v>48.57</v>
      </c>
      <c r="AD462" s="1">
        <v>0.744133260271717</v>
      </c>
      <c r="AE462" s="1">
        <v>0.5994</v>
      </c>
      <c r="AF462" s="1">
        <v>0.5994</v>
      </c>
      <c r="AG462" s="1">
        <v>6.337</v>
      </c>
      <c r="AH462" s="1">
        <v>6.781</v>
      </c>
      <c r="AI462" s="1" t="b">
        <v>0</v>
      </c>
      <c r="AJ462" s="1" t="b">
        <v>0</v>
      </c>
      <c r="AK462" s="1">
        <v>94.182</v>
      </c>
      <c r="AL462" s="1">
        <v>96.508</v>
      </c>
      <c r="AM462" s="1" t="b">
        <v>0</v>
      </c>
      <c r="AN462" s="1" t="b">
        <v>0</v>
      </c>
      <c r="AO462" s="1">
        <v>8.05</v>
      </c>
      <c r="AP462" s="1">
        <v>8.53399999999999</v>
      </c>
      <c r="AQ462" s="1" t="b">
        <v>0</v>
      </c>
      <c r="AR462" s="1" t="b">
        <v>0</v>
      </c>
      <c r="AS462" s="1">
        <v>86.9179999999999</v>
      </c>
      <c r="AT462" s="1">
        <v>87.152</v>
      </c>
      <c r="AU462" s="1" t="b">
        <v>0</v>
      </c>
      <c r="AV462" s="1" t="b">
        <v>0</v>
      </c>
      <c r="AW462" s="1">
        <v>9.61399999999999</v>
      </c>
      <c r="AX462" s="1">
        <v>11.026</v>
      </c>
      <c r="AY462" s="1" t="b">
        <v>0</v>
      </c>
      <c r="AZ462" s="1" t="b">
        <v>0</v>
      </c>
      <c r="BA462" s="1">
        <v>81.25</v>
      </c>
      <c r="BB462" s="1">
        <v>77.78</v>
      </c>
      <c r="BC462" s="1" t="b">
        <v>0</v>
      </c>
      <c r="BD462" s="1" t="b">
        <v>0</v>
      </c>
      <c r="BE462" s="1">
        <v>11.34</v>
      </c>
      <c r="BF462" s="1">
        <v>13.285</v>
      </c>
      <c r="BG462" s="1" t="b">
        <v>0</v>
      </c>
      <c r="BH462" s="1" t="b">
        <v>0</v>
      </c>
      <c r="BI462" s="1">
        <v>77.78</v>
      </c>
      <c r="BJ462" s="1">
        <v>75.0</v>
      </c>
      <c r="BK462" s="1" t="b">
        <v>0</v>
      </c>
      <c r="BL462" s="1" t="b">
        <v>0</v>
      </c>
      <c r="BM462" s="1">
        <v>13.121</v>
      </c>
      <c r="BN462" s="1">
        <v>14.568</v>
      </c>
      <c r="BO462" s="1" t="b">
        <v>0</v>
      </c>
      <c r="BP462" s="1" t="b">
        <v>0</v>
      </c>
      <c r="BQ462" s="1">
        <v>75.0</v>
      </c>
      <c r="BR462" s="1">
        <v>72.027</v>
      </c>
      <c r="BS462" s="1" t="b">
        <v>0</v>
      </c>
      <c r="BT462" s="1" t="b">
        <v>0</v>
      </c>
      <c r="BU462" s="1" t="s">
        <v>105</v>
      </c>
      <c r="BV462" s="1" t="s">
        <v>105</v>
      </c>
      <c r="BW462" s="1" t="s">
        <v>105</v>
      </c>
      <c r="BX462" s="1" t="s">
        <v>105</v>
      </c>
      <c r="BY462" s="1" t="s">
        <v>105</v>
      </c>
      <c r="BZ462" s="1" t="s">
        <v>105</v>
      </c>
      <c r="CA462" s="1" t="s">
        <v>105</v>
      </c>
      <c r="CB462" s="1" t="s">
        <v>105</v>
      </c>
      <c r="CC462" s="1" t="s">
        <v>105</v>
      </c>
      <c r="CD462" s="1" t="s">
        <v>105</v>
      </c>
      <c r="CE462" s="4"/>
      <c r="CF462" s="4"/>
    </row>
    <row r="463" hidden="1">
      <c r="A463" s="1" t="s">
        <v>82</v>
      </c>
      <c r="B463" s="1" t="s">
        <v>83</v>
      </c>
      <c r="C463" s="1">
        <v>1.0</v>
      </c>
      <c r="D463" s="5" t="s">
        <v>2072</v>
      </c>
      <c r="E463" s="1" t="s">
        <v>2073</v>
      </c>
      <c r="F463" s="1">
        <v>45.0</v>
      </c>
      <c r="G463" s="1">
        <v>-0.0516</v>
      </c>
      <c r="H463" s="1" t="s">
        <v>2074</v>
      </c>
      <c r="I463" s="4" t="b">
        <f>IFERROR(__xludf.DUMMYFUNCTION("IF(H463="""",,REGEXMATCH(H463,""[א-ת]""))"),FALSE)</f>
        <v>0</v>
      </c>
      <c r="J463" s="1" t="s">
        <v>1735</v>
      </c>
      <c r="K463" s="1" t="s">
        <v>2075</v>
      </c>
      <c r="L463" s="1">
        <v>0.8126</v>
      </c>
      <c r="M463" s="1">
        <v>27.34</v>
      </c>
      <c r="N463" s="1">
        <v>48.89</v>
      </c>
      <c r="O463" s="1">
        <v>1.086444444</v>
      </c>
      <c r="P463" s="4"/>
      <c r="Q463" s="4"/>
      <c r="R463" s="1" t="s">
        <v>89</v>
      </c>
      <c r="S463" s="1" t="s">
        <v>2073</v>
      </c>
      <c r="T463" s="1" t="s">
        <v>83</v>
      </c>
      <c r="U463" s="1">
        <v>2.0</v>
      </c>
      <c r="V463" s="5" t="s">
        <v>2072</v>
      </c>
      <c r="W463" s="1" t="s">
        <v>2073</v>
      </c>
      <c r="X463" s="1" t="s">
        <v>2076</v>
      </c>
      <c r="Y463" s="4"/>
      <c r="Z463" s="4"/>
      <c r="AA463" s="4" t="b">
        <f>IFERROR(__xludf.DUMMYFUNCTION("IF(X463="""",,REGEXMATCH(X463,""[א-ת]""))"),FALSE)</f>
        <v>0</v>
      </c>
      <c r="AB463" s="1">
        <v>19.09</v>
      </c>
      <c r="AC463" s="1">
        <v>55.56</v>
      </c>
      <c r="AD463" s="1">
        <v>0.684627870802275</v>
      </c>
      <c r="AE463" s="1">
        <v>-0.4215</v>
      </c>
      <c r="AF463" s="1">
        <v>-0.0516</v>
      </c>
      <c r="AG463" s="1">
        <v>6.337</v>
      </c>
      <c r="AH463" s="1">
        <v>6.781</v>
      </c>
      <c r="AI463" s="1" t="b">
        <v>0</v>
      </c>
      <c r="AJ463" s="1" t="b">
        <v>0</v>
      </c>
      <c r="AK463" s="1">
        <v>94.182</v>
      </c>
      <c r="AL463" s="1">
        <v>96.508</v>
      </c>
      <c r="AM463" s="1" t="b">
        <v>0</v>
      </c>
      <c r="AN463" s="1" t="b">
        <v>0</v>
      </c>
      <c r="AO463" s="1">
        <v>8.05</v>
      </c>
      <c r="AP463" s="1">
        <v>8.53399999999999</v>
      </c>
      <c r="AQ463" s="1" t="b">
        <v>0</v>
      </c>
      <c r="AR463" s="1" t="b">
        <v>0</v>
      </c>
      <c r="AS463" s="1">
        <v>86.9179999999999</v>
      </c>
      <c r="AT463" s="1">
        <v>87.152</v>
      </c>
      <c r="AU463" s="1" t="b">
        <v>0</v>
      </c>
      <c r="AV463" s="1" t="b">
        <v>0</v>
      </c>
      <c r="AW463" s="1">
        <v>9.61399999999999</v>
      </c>
      <c r="AX463" s="1">
        <v>11.026</v>
      </c>
      <c r="AY463" s="1" t="b">
        <v>0</v>
      </c>
      <c r="AZ463" s="1" t="b">
        <v>0</v>
      </c>
      <c r="BA463" s="1">
        <v>81.25</v>
      </c>
      <c r="BB463" s="1">
        <v>77.78</v>
      </c>
      <c r="BC463" s="1" t="b">
        <v>0</v>
      </c>
      <c r="BD463" s="1" t="b">
        <v>0</v>
      </c>
      <c r="BE463" s="1">
        <v>11.34</v>
      </c>
      <c r="BF463" s="1">
        <v>13.285</v>
      </c>
      <c r="BG463" s="1" t="b">
        <v>0</v>
      </c>
      <c r="BH463" s="1" t="b">
        <v>0</v>
      </c>
      <c r="BI463" s="1">
        <v>77.78</v>
      </c>
      <c r="BJ463" s="1">
        <v>75.0</v>
      </c>
      <c r="BK463" s="1" t="b">
        <v>0</v>
      </c>
      <c r="BL463" s="1" t="b">
        <v>0</v>
      </c>
      <c r="BM463" s="1">
        <v>13.121</v>
      </c>
      <c r="BN463" s="1">
        <v>14.568</v>
      </c>
      <c r="BO463" s="1" t="b">
        <v>0</v>
      </c>
      <c r="BP463" s="1" t="b">
        <v>0</v>
      </c>
      <c r="BQ463" s="1">
        <v>75.0</v>
      </c>
      <c r="BR463" s="1">
        <v>72.027</v>
      </c>
      <c r="BS463" s="1" t="b">
        <v>0</v>
      </c>
      <c r="BT463" s="1" t="b">
        <v>0</v>
      </c>
      <c r="BU463" s="1" t="s">
        <v>105</v>
      </c>
      <c r="BV463" s="1" t="s">
        <v>105</v>
      </c>
      <c r="BW463" s="1" t="s">
        <v>105</v>
      </c>
      <c r="BX463" s="1" t="s">
        <v>105</v>
      </c>
      <c r="BY463" s="1" t="s">
        <v>105</v>
      </c>
      <c r="BZ463" s="1" t="s">
        <v>105</v>
      </c>
      <c r="CA463" s="1" t="s">
        <v>105</v>
      </c>
      <c r="CB463" s="1" t="s">
        <v>105</v>
      </c>
      <c r="CC463" s="1" t="s">
        <v>105</v>
      </c>
      <c r="CD463" s="1" t="s">
        <v>105</v>
      </c>
      <c r="CE463" s="4"/>
      <c r="CF463" s="4"/>
    </row>
    <row r="464" hidden="1">
      <c r="A464" s="1" t="s">
        <v>82</v>
      </c>
      <c r="B464" s="1" t="s">
        <v>139</v>
      </c>
      <c r="C464" s="1">
        <v>28.0</v>
      </c>
      <c r="D464" s="5" t="s">
        <v>2077</v>
      </c>
      <c r="E464" s="1" t="s">
        <v>2078</v>
      </c>
      <c r="F464" s="1">
        <v>91.0</v>
      </c>
      <c r="G464" s="1">
        <v>0.9403</v>
      </c>
      <c r="H464" s="1" t="s">
        <v>2079</v>
      </c>
      <c r="I464" s="4" t="b">
        <f>IFERROR(__xludf.DUMMYFUNCTION("IF(H464="""",,REGEXMATCH(H464,""[א-ת]""))"),FALSE)</f>
        <v>0</v>
      </c>
      <c r="J464" s="4"/>
      <c r="K464" s="4"/>
      <c r="L464" s="1">
        <v>0.9805</v>
      </c>
      <c r="M464" s="1">
        <v>27.45</v>
      </c>
      <c r="N464" s="1">
        <v>56.04</v>
      </c>
      <c r="O464" s="1">
        <v>0.6158241758</v>
      </c>
      <c r="P464" s="4"/>
      <c r="Q464" s="4"/>
      <c r="R464" s="1" t="s">
        <v>96</v>
      </c>
      <c r="S464" s="1" t="s">
        <v>2078</v>
      </c>
      <c r="T464" s="1" t="s">
        <v>139</v>
      </c>
      <c r="U464" s="1">
        <v>29.0</v>
      </c>
      <c r="V464" s="5" t="s">
        <v>2077</v>
      </c>
      <c r="W464" s="1" t="s">
        <v>2078</v>
      </c>
      <c r="X464" s="1" t="s">
        <v>2080</v>
      </c>
      <c r="Y464" s="4"/>
      <c r="Z464" s="4"/>
      <c r="AA464" s="4" t="b">
        <f>IFERROR(__xludf.DUMMYFUNCTION("IF(X464="""",,REGEXMATCH(X464,""[א-ת]""))"),FALSE)</f>
        <v>0</v>
      </c>
      <c r="AB464" s="1">
        <v>39.09</v>
      </c>
      <c r="AC464" s="1">
        <v>41.76</v>
      </c>
      <c r="AD464" s="1">
        <v>0.700278226148596</v>
      </c>
      <c r="AE464" s="1">
        <v>0.8979</v>
      </c>
      <c r="AF464" s="1">
        <v>0.9403</v>
      </c>
      <c r="AG464" s="1">
        <v>6.337</v>
      </c>
      <c r="AH464" s="1">
        <v>6.781</v>
      </c>
      <c r="AI464" s="1" t="b">
        <v>0</v>
      </c>
      <c r="AJ464" s="1" t="b">
        <v>0</v>
      </c>
      <c r="AK464" s="1">
        <v>94.182</v>
      </c>
      <c r="AL464" s="1">
        <v>96.508</v>
      </c>
      <c r="AM464" s="1" t="b">
        <v>0</v>
      </c>
      <c r="AN464" s="1" t="b">
        <v>0</v>
      </c>
      <c r="AO464" s="1">
        <v>8.05</v>
      </c>
      <c r="AP464" s="1">
        <v>8.53399999999999</v>
      </c>
      <c r="AQ464" s="1" t="b">
        <v>0</v>
      </c>
      <c r="AR464" s="1" t="b">
        <v>0</v>
      </c>
      <c r="AS464" s="1">
        <v>86.9179999999999</v>
      </c>
      <c r="AT464" s="1">
        <v>87.152</v>
      </c>
      <c r="AU464" s="1" t="b">
        <v>0</v>
      </c>
      <c r="AV464" s="1" t="b">
        <v>0</v>
      </c>
      <c r="AW464" s="1">
        <v>9.61399999999999</v>
      </c>
      <c r="AX464" s="1">
        <v>11.026</v>
      </c>
      <c r="AY464" s="1" t="b">
        <v>0</v>
      </c>
      <c r="AZ464" s="1" t="b">
        <v>0</v>
      </c>
      <c r="BA464" s="1">
        <v>81.25</v>
      </c>
      <c r="BB464" s="1">
        <v>77.78</v>
      </c>
      <c r="BC464" s="1" t="b">
        <v>0</v>
      </c>
      <c r="BD464" s="1" t="b">
        <v>0</v>
      </c>
      <c r="BE464" s="1">
        <v>11.34</v>
      </c>
      <c r="BF464" s="1">
        <v>13.285</v>
      </c>
      <c r="BG464" s="1" t="b">
        <v>0</v>
      </c>
      <c r="BH464" s="1" t="b">
        <v>0</v>
      </c>
      <c r="BI464" s="1">
        <v>77.78</v>
      </c>
      <c r="BJ464" s="1">
        <v>75.0</v>
      </c>
      <c r="BK464" s="1" t="b">
        <v>0</v>
      </c>
      <c r="BL464" s="1" t="b">
        <v>0</v>
      </c>
      <c r="BM464" s="1">
        <v>13.121</v>
      </c>
      <c r="BN464" s="1">
        <v>14.568</v>
      </c>
      <c r="BO464" s="1" t="b">
        <v>0</v>
      </c>
      <c r="BP464" s="1" t="b">
        <v>0</v>
      </c>
      <c r="BQ464" s="1">
        <v>75.0</v>
      </c>
      <c r="BR464" s="1">
        <v>72.027</v>
      </c>
      <c r="BS464" s="1" t="b">
        <v>0</v>
      </c>
      <c r="BT464" s="1" t="b">
        <v>0</v>
      </c>
      <c r="BU464" s="1" t="s">
        <v>105</v>
      </c>
      <c r="BV464" s="1" t="s">
        <v>105</v>
      </c>
      <c r="BW464" s="1" t="s">
        <v>105</v>
      </c>
      <c r="BX464" s="1" t="s">
        <v>105</v>
      </c>
      <c r="BY464" s="1" t="s">
        <v>105</v>
      </c>
      <c r="BZ464" s="1" t="s">
        <v>105</v>
      </c>
      <c r="CA464" s="1" t="s">
        <v>105</v>
      </c>
      <c r="CB464" s="1" t="s">
        <v>105</v>
      </c>
      <c r="CC464" s="1" t="s">
        <v>105</v>
      </c>
      <c r="CD464" s="1" t="s">
        <v>105</v>
      </c>
      <c r="CE464" s="4"/>
      <c r="CF464" s="4"/>
    </row>
    <row r="465">
      <c r="A465" s="1" t="s">
        <v>82</v>
      </c>
      <c r="B465" s="1" t="s">
        <v>333</v>
      </c>
      <c r="C465" s="1">
        <v>12.0</v>
      </c>
      <c r="D465" s="5" t="s">
        <v>2081</v>
      </c>
      <c r="E465" s="1" t="s">
        <v>2082</v>
      </c>
      <c r="F465" s="1">
        <v>52.0</v>
      </c>
      <c r="G465" s="1">
        <v>-0.7506</v>
      </c>
      <c r="H465" s="1" t="s">
        <v>2083</v>
      </c>
      <c r="I465" s="4" t="b">
        <f>IFERROR(__xludf.DUMMYFUNCTION("IF(H465="""",,REGEXMATCH(H465,""[א-ת]""))"),FALSE)</f>
        <v>0</v>
      </c>
      <c r="J465" s="4"/>
      <c r="K465" s="4"/>
      <c r="L465" s="1">
        <v>-0.2023</v>
      </c>
      <c r="M465" s="1">
        <v>27.46</v>
      </c>
      <c r="N465" s="1">
        <v>61.54</v>
      </c>
      <c r="O465" s="1">
        <v>1.183461538</v>
      </c>
      <c r="P465" s="4"/>
      <c r="Q465" s="4"/>
      <c r="R465" s="1" t="s">
        <v>89</v>
      </c>
      <c r="S465" s="1" t="s">
        <v>2082</v>
      </c>
      <c r="T465" s="1" t="s">
        <v>333</v>
      </c>
      <c r="U465" s="1">
        <v>13.0</v>
      </c>
      <c r="V465" s="5" t="s">
        <v>2081</v>
      </c>
      <c r="W465" s="1" t="s">
        <v>2082</v>
      </c>
      <c r="X465" s="1" t="s">
        <v>2084</v>
      </c>
      <c r="Y465" s="1" t="s">
        <v>2085</v>
      </c>
      <c r="Z465" s="1" t="s">
        <v>2086</v>
      </c>
      <c r="AA465" s="4" t="b">
        <f>IFERROR(__xludf.DUMMYFUNCTION("IF(X465="""",,REGEXMATCH(X465,""[א-ת]""))"),TRUE)</f>
        <v>1</v>
      </c>
      <c r="AB465" s="1">
        <v>5.16</v>
      </c>
      <c r="AC465" s="1">
        <v>140.38</v>
      </c>
      <c r="AD465" s="1">
        <v>0.292320567122018</v>
      </c>
      <c r="AE465" s="1">
        <v>-0.5267</v>
      </c>
      <c r="AF465" s="1">
        <v>-0.7506</v>
      </c>
      <c r="AG465" s="1">
        <v>6.337</v>
      </c>
      <c r="AH465" s="1">
        <v>6.781</v>
      </c>
      <c r="AI465" s="1" t="b">
        <v>0</v>
      </c>
      <c r="AJ465" s="1" t="b">
        <v>1</v>
      </c>
      <c r="AK465" s="1">
        <v>94.182</v>
      </c>
      <c r="AL465" s="1">
        <v>96.508</v>
      </c>
      <c r="AM465" s="1" t="b">
        <v>0</v>
      </c>
      <c r="AN465" s="1" t="b">
        <v>1</v>
      </c>
      <c r="AO465" s="1">
        <v>8.05</v>
      </c>
      <c r="AP465" s="1">
        <v>8.53399999999999</v>
      </c>
      <c r="AQ465" s="1" t="b">
        <v>0</v>
      </c>
      <c r="AR465" s="1" t="b">
        <v>1</v>
      </c>
      <c r="AS465" s="1">
        <v>86.9179999999999</v>
      </c>
      <c r="AT465" s="1">
        <v>87.152</v>
      </c>
      <c r="AU465" s="1" t="b">
        <v>0</v>
      </c>
      <c r="AV465" s="1" t="b">
        <v>1</v>
      </c>
      <c r="AW465" s="1">
        <v>9.61399999999999</v>
      </c>
      <c r="AX465" s="1">
        <v>11.026</v>
      </c>
      <c r="AY465" s="1" t="b">
        <v>0</v>
      </c>
      <c r="AZ465" s="1" t="b">
        <v>1</v>
      </c>
      <c r="BA465" s="1">
        <v>81.25</v>
      </c>
      <c r="BB465" s="1">
        <v>77.78</v>
      </c>
      <c r="BC465" s="1" t="b">
        <v>0</v>
      </c>
      <c r="BD465" s="1" t="b">
        <v>1</v>
      </c>
      <c r="BE465" s="1">
        <v>11.34</v>
      </c>
      <c r="BF465" s="1">
        <v>13.285</v>
      </c>
      <c r="BG465" s="1" t="b">
        <v>0</v>
      </c>
      <c r="BH465" s="1" t="b">
        <v>1</v>
      </c>
      <c r="BI465" s="1">
        <v>77.78</v>
      </c>
      <c r="BJ465" s="1">
        <v>75.0</v>
      </c>
      <c r="BK465" s="1" t="b">
        <v>0</v>
      </c>
      <c r="BL465" s="1" t="b">
        <v>1</v>
      </c>
      <c r="BM465" s="1">
        <v>13.121</v>
      </c>
      <c r="BN465" s="1">
        <v>14.568</v>
      </c>
      <c r="BO465" s="1" t="b">
        <v>0</v>
      </c>
      <c r="BP465" s="1" t="b">
        <v>1</v>
      </c>
      <c r="BQ465" s="1">
        <v>75.0</v>
      </c>
      <c r="BR465" s="1">
        <v>72.027</v>
      </c>
      <c r="BS465" s="1" t="b">
        <v>0</v>
      </c>
      <c r="BT465" s="1" t="b">
        <v>1</v>
      </c>
      <c r="BU465" s="1" t="s">
        <v>157</v>
      </c>
      <c r="BV465" s="1" t="s">
        <v>157</v>
      </c>
      <c r="BW465" s="1" t="s">
        <v>157</v>
      </c>
      <c r="BX465" s="1" t="s">
        <v>157</v>
      </c>
      <c r="BY465" s="1" t="s">
        <v>157</v>
      </c>
      <c r="BZ465" s="1" t="s">
        <v>157</v>
      </c>
      <c r="CA465" s="1" t="s">
        <v>157</v>
      </c>
      <c r="CB465" s="1" t="s">
        <v>157</v>
      </c>
      <c r="CC465" s="1" t="s">
        <v>157</v>
      </c>
      <c r="CD465" s="1" t="s">
        <v>157</v>
      </c>
      <c r="CE465" s="4"/>
      <c r="CF465" s="4"/>
    </row>
    <row r="466" hidden="1">
      <c r="A466" s="1" t="s">
        <v>82</v>
      </c>
      <c r="B466" s="1" t="s">
        <v>304</v>
      </c>
      <c r="C466" s="1">
        <v>1.0</v>
      </c>
      <c r="D466" s="5" t="s">
        <v>2087</v>
      </c>
      <c r="E466" s="1" t="s">
        <v>2088</v>
      </c>
      <c r="F466" s="1">
        <v>2.0</v>
      </c>
      <c r="G466" s="1">
        <v>0.0</v>
      </c>
      <c r="H466" s="1" t="s">
        <v>2089</v>
      </c>
      <c r="I466" s="4" t="b">
        <f>IFERROR(__xludf.DUMMYFUNCTION("IF(H466="""",,REGEXMATCH(H466,""[א-ת]""))"),FALSE)</f>
        <v>0</v>
      </c>
      <c r="J466" s="4"/>
      <c r="K466" s="4"/>
      <c r="L466" s="1">
        <v>0.0</v>
      </c>
      <c r="M466" s="1">
        <v>27.52</v>
      </c>
      <c r="N466" s="1">
        <v>50.0</v>
      </c>
      <c r="O466" s="1">
        <v>25.0</v>
      </c>
      <c r="P466" s="4"/>
      <c r="Q466" s="4"/>
      <c r="R466" s="1" t="s">
        <v>89</v>
      </c>
      <c r="S466" s="1" t="s">
        <v>2088</v>
      </c>
      <c r="T466" s="1" t="s">
        <v>304</v>
      </c>
      <c r="U466" s="1">
        <v>2.0</v>
      </c>
      <c r="V466" s="5" t="s">
        <v>2087</v>
      </c>
      <c r="W466" s="1" t="s">
        <v>2088</v>
      </c>
      <c r="X466" s="1" t="s">
        <v>2089</v>
      </c>
      <c r="Y466" s="4"/>
      <c r="Z466" s="4"/>
      <c r="AA466" s="4" t="b">
        <f>IFERROR(__xludf.DUMMYFUNCTION("IF(X466="""",,REGEXMATCH(X466,""[א-ת]""))"),FALSE)</f>
        <v>0</v>
      </c>
      <c r="AB466" s="1">
        <v>27.52</v>
      </c>
      <c r="AC466" s="1">
        <v>50.0</v>
      </c>
      <c r="AD466" s="1">
        <v>1.0</v>
      </c>
      <c r="AE466" s="1">
        <v>0.0</v>
      </c>
      <c r="AF466" s="1">
        <v>0.0</v>
      </c>
      <c r="AG466" s="1">
        <v>6.337</v>
      </c>
      <c r="AH466" s="1">
        <v>6.781</v>
      </c>
      <c r="AI466" s="1" t="b">
        <v>0</v>
      </c>
      <c r="AJ466" s="1" t="b">
        <v>0</v>
      </c>
      <c r="AK466" s="1">
        <v>94.182</v>
      </c>
      <c r="AL466" s="1">
        <v>96.508</v>
      </c>
      <c r="AM466" s="1" t="b">
        <v>0</v>
      </c>
      <c r="AN466" s="1" t="b">
        <v>0</v>
      </c>
      <c r="AO466" s="1">
        <v>8.05</v>
      </c>
      <c r="AP466" s="1">
        <v>8.53399999999999</v>
      </c>
      <c r="AQ466" s="1" t="b">
        <v>0</v>
      </c>
      <c r="AR466" s="1" t="b">
        <v>0</v>
      </c>
      <c r="AS466" s="1">
        <v>86.9179999999999</v>
      </c>
      <c r="AT466" s="1">
        <v>87.152</v>
      </c>
      <c r="AU466" s="1" t="b">
        <v>0</v>
      </c>
      <c r="AV466" s="1" t="b">
        <v>0</v>
      </c>
      <c r="AW466" s="1">
        <v>9.61399999999999</v>
      </c>
      <c r="AX466" s="1">
        <v>11.026</v>
      </c>
      <c r="AY466" s="1" t="b">
        <v>0</v>
      </c>
      <c r="AZ466" s="1" t="b">
        <v>0</v>
      </c>
      <c r="BA466" s="1">
        <v>81.25</v>
      </c>
      <c r="BB466" s="1">
        <v>77.78</v>
      </c>
      <c r="BC466" s="1" t="b">
        <v>0</v>
      </c>
      <c r="BD466" s="1" t="b">
        <v>0</v>
      </c>
      <c r="BE466" s="1">
        <v>11.34</v>
      </c>
      <c r="BF466" s="1">
        <v>13.285</v>
      </c>
      <c r="BG466" s="1" t="b">
        <v>0</v>
      </c>
      <c r="BH466" s="1" t="b">
        <v>0</v>
      </c>
      <c r="BI466" s="1">
        <v>77.78</v>
      </c>
      <c r="BJ466" s="1">
        <v>75.0</v>
      </c>
      <c r="BK466" s="1" t="b">
        <v>0</v>
      </c>
      <c r="BL466" s="1" t="b">
        <v>0</v>
      </c>
      <c r="BM466" s="1">
        <v>13.121</v>
      </c>
      <c r="BN466" s="1">
        <v>14.568</v>
      </c>
      <c r="BO466" s="1" t="b">
        <v>0</v>
      </c>
      <c r="BP466" s="1" t="b">
        <v>0</v>
      </c>
      <c r="BQ466" s="1">
        <v>75.0</v>
      </c>
      <c r="BR466" s="1">
        <v>72.027</v>
      </c>
      <c r="BS466" s="1" t="b">
        <v>0</v>
      </c>
      <c r="BT466" s="1" t="b">
        <v>0</v>
      </c>
      <c r="BU466" s="1" t="s">
        <v>105</v>
      </c>
      <c r="BV466" s="1" t="s">
        <v>105</v>
      </c>
      <c r="BW466" s="1" t="s">
        <v>105</v>
      </c>
      <c r="BX466" s="1" t="s">
        <v>105</v>
      </c>
      <c r="BY466" s="1" t="s">
        <v>105</v>
      </c>
      <c r="BZ466" s="1" t="s">
        <v>105</v>
      </c>
      <c r="CA466" s="1" t="s">
        <v>105</v>
      </c>
      <c r="CB466" s="1" t="s">
        <v>105</v>
      </c>
      <c r="CC466" s="1" t="s">
        <v>105</v>
      </c>
      <c r="CD466" s="1" t="s">
        <v>105</v>
      </c>
      <c r="CE466" s="4"/>
      <c r="CF466" s="4"/>
    </row>
    <row r="467" hidden="1">
      <c r="A467" s="1" t="s">
        <v>82</v>
      </c>
      <c r="B467" s="1" t="s">
        <v>304</v>
      </c>
      <c r="C467" s="1">
        <v>31.0</v>
      </c>
      <c r="D467" s="5" t="s">
        <v>2090</v>
      </c>
      <c r="E467" s="1" t="s">
        <v>2091</v>
      </c>
      <c r="F467" s="1">
        <v>49.0</v>
      </c>
      <c r="G467" s="1">
        <v>0.5859</v>
      </c>
      <c r="H467" s="1" t="s">
        <v>2092</v>
      </c>
      <c r="I467" s="4" t="b">
        <f>IFERROR(__xludf.DUMMYFUNCTION("IF(H467="""",,REGEXMATCH(H467,""[א-ת]""))"),FALSE)</f>
        <v>0</v>
      </c>
      <c r="J467" s="4"/>
      <c r="K467" s="4"/>
      <c r="L467" s="1">
        <v>0.4857</v>
      </c>
      <c r="M467" s="1">
        <v>27.65</v>
      </c>
      <c r="N467" s="1">
        <v>51.02</v>
      </c>
      <c r="O467" s="1">
        <v>1.04122449</v>
      </c>
      <c r="P467" s="4"/>
      <c r="Q467" s="4"/>
      <c r="R467" s="1" t="s">
        <v>89</v>
      </c>
      <c r="S467" s="1" t="s">
        <v>2091</v>
      </c>
      <c r="T467" s="1" t="s">
        <v>304</v>
      </c>
      <c r="U467" s="1">
        <v>32.0</v>
      </c>
      <c r="V467" s="5" t="s">
        <v>2090</v>
      </c>
      <c r="W467" s="1" t="s">
        <v>2091</v>
      </c>
      <c r="X467" s="1" t="s">
        <v>2093</v>
      </c>
      <c r="Y467" s="4"/>
      <c r="Z467" s="4"/>
      <c r="AA467" s="4" t="b">
        <f>IFERROR(__xludf.DUMMYFUNCTION("IF(X467="""",,REGEXMATCH(X467,""[א-ת]""))"),FALSE)</f>
        <v>0</v>
      </c>
      <c r="AB467" s="1">
        <v>16.37</v>
      </c>
      <c r="AC467" s="1">
        <v>51.02</v>
      </c>
      <c r="AD467" s="1">
        <v>0.357387529624861</v>
      </c>
      <c r="AE467" s="1">
        <v>0.4199</v>
      </c>
      <c r="AF467" s="1">
        <v>0.5859</v>
      </c>
      <c r="AG467" s="1">
        <v>6.337</v>
      </c>
      <c r="AH467" s="1">
        <v>6.781</v>
      </c>
      <c r="AI467" s="1" t="b">
        <v>0</v>
      </c>
      <c r="AJ467" s="1" t="b">
        <v>0</v>
      </c>
      <c r="AK467" s="1">
        <v>94.182</v>
      </c>
      <c r="AL467" s="1">
        <v>96.508</v>
      </c>
      <c r="AM467" s="1" t="b">
        <v>0</v>
      </c>
      <c r="AN467" s="1" t="b">
        <v>0</v>
      </c>
      <c r="AO467" s="1">
        <v>8.05</v>
      </c>
      <c r="AP467" s="1">
        <v>8.53399999999999</v>
      </c>
      <c r="AQ467" s="1" t="b">
        <v>0</v>
      </c>
      <c r="AR467" s="1" t="b">
        <v>0</v>
      </c>
      <c r="AS467" s="1">
        <v>86.9179999999999</v>
      </c>
      <c r="AT467" s="1">
        <v>87.152</v>
      </c>
      <c r="AU467" s="1" t="b">
        <v>0</v>
      </c>
      <c r="AV467" s="1" t="b">
        <v>0</v>
      </c>
      <c r="AW467" s="1">
        <v>9.61399999999999</v>
      </c>
      <c r="AX467" s="1">
        <v>11.026</v>
      </c>
      <c r="AY467" s="1" t="b">
        <v>0</v>
      </c>
      <c r="AZ467" s="1" t="b">
        <v>0</v>
      </c>
      <c r="BA467" s="1">
        <v>81.25</v>
      </c>
      <c r="BB467" s="1">
        <v>77.78</v>
      </c>
      <c r="BC467" s="1" t="b">
        <v>0</v>
      </c>
      <c r="BD467" s="1" t="b">
        <v>0</v>
      </c>
      <c r="BE467" s="1">
        <v>11.34</v>
      </c>
      <c r="BF467" s="1">
        <v>13.285</v>
      </c>
      <c r="BG467" s="1" t="b">
        <v>0</v>
      </c>
      <c r="BH467" s="1" t="b">
        <v>0</v>
      </c>
      <c r="BI467" s="1">
        <v>77.78</v>
      </c>
      <c r="BJ467" s="1">
        <v>75.0</v>
      </c>
      <c r="BK467" s="1" t="b">
        <v>0</v>
      </c>
      <c r="BL467" s="1" t="b">
        <v>0</v>
      </c>
      <c r="BM467" s="1">
        <v>13.121</v>
      </c>
      <c r="BN467" s="1">
        <v>14.568</v>
      </c>
      <c r="BO467" s="1" t="b">
        <v>0</v>
      </c>
      <c r="BP467" s="1" t="b">
        <v>0</v>
      </c>
      <c r="BQ467" s="1">
        <v>75.0</v>
      </c>
      <c r="BR467" s="1">
        <v>72.027</v>
      </c>
      <c r="BS467" s="1" t="b">
        <v>0</v>
      </c>
      <c r="BT467" s="1" t="b">
        <v>0</v>
      </c>
      <c r="BU467" s="1" t="s">
        <v>105</v>
      </c>
      <c r="BV467" s="1" t="s">
        <v>105</v>
      </c>
      <c r="BW467" s="1" t="s">
        <v>105</v>
      </c>
      <c r="BX467" s="1" t="s">
        <v>105</v>
      </c>
      <c r="BY467" s="1" t="s">
        <v>105</v>
      </c>
      <c r="BZ467" s="1" t="s">
        <v>105</v>
      </c>
      <c r="CA467" s="1" t="s">
        <v>105</v>
      </c>
      <c r="CB467" s="1" t="s">
        <v>105</v>
      </c>
      <c r="CC467" s="1" t="s">
        <v>105</v>
      </c>
      <c r="CD467" s="1" t="s">
        <v>105</v>
      </c>
      <c r="CE467" s="4"/>
      <c r="CF467" s="4"/>
    </row>
    <row r="468" hidden="1">
      <c r="A468" s="1" t="s">
        <v>82</v>
      </c>
      <c r="B468" s="1" t="s">
        <v>116</v>
      </c>
      <c r="C468" s="1">
        <v>0.0</v>
      </c>
      <c r="D468" s="5" t="s">
        <v>2094</v>
      </c>
      <c r="E468" s="1" t="s">
        <v>2095</v>
      </c>
      <c r="F468" s="1">
        <v>12.0</v>
      </c>
      <c r="G468" s="1">
        <v>0.0</v>
      </c>
      <c r="H468" s="1" t="s">
        <v>2096</v>
      </c>
      <c r="I468" s="4" t="b">
        <f>IFERROR(__xludf.DUMMYFUNCTION("IF(H468="""",,REGEXMATCH(H468,""[א-ת]""))"),FALSE)</f>
        <v>0</v>
      </c>
      <c r="J468" s="4"/>
      <c r="K468" s="4"/>
      <c r="L468" s="1">
        <v>0.0</v>
      </c>
      <c r="M468" s="1">
        <v>27.69</v>
      </c>
      <c r="N468" s="1">
        <v>66.67</v>
      </c>
      <c r="O468" s="1">
        <v>5.555833333</v>
      </c>
      <c r="P468" s="4"/>
      <c r="Q468" s="4"/>
      <c r="R468" s="1" t="s">
        <v>89</v>
      </c>
      <c r="S468" s="1" t="s">
        <v>2095</v>
      </c>
      <c r="T468" s="1" t="s">
        <v>116</v>
      </c>
      <c r="U468" s="1">
        <v>1.0</v>
      </c>
      <c r="V468" s="5" t="s">
        <v>2094</v>
      </c>
      <c r="W468" s="1" t="s">
        <v>2095</v>
      </c>
      <c r="X468" s="1" t="s">
        <v>2097</v>
      </c>
      <c r="Y468" s="4"/>
      <c r="Z468" s="4"/>
      <c r="AA468" s="4" t="b">
        <f>IFERROR(__xludf.DUMMYFUNCTION("IF(X468="""",,REGEXMATCH(X468,""[א-ת]""))"),FALSE)</f>
        <v>0</v>
      </c>
      <c r="AB468" s="1">
        <v>22.27</v>
      </c>
      <c r="AC468" s="1">
        <v>41.67</v>
      </c>
      <c r="AD468" s="1">
        <v>0.628888810763878</v>
      </c>
      <c r="AE468" s="1">
        <v>0.0</v>
      </c>
      <c r="AF468" s="1">
        <v>0.0</v>
      </c>
      <c r="AG468" s="1">
        <v>6.337</v>
      </c>
      <c r="AH468" s="1">
        <v>6.781</v>
      </c>
      <c r="AI468" s="1" t="b">
        <v>0</v>
      </c>
      <c r="AJ468" s="1" t="b">
        <v>0</v>
      </c>
      <c r="AK468" s="1">
        <v>94.182</v>
      </c>
      <c r="AL468" s="1">
        <v>96.508</v>
      </c>
      <c r="AM468" s="1" t="b">
        <v>0</v>
      </c>
      <c r="AN468" s="1" t="b">
        <v>0</v>
      </c>
      <c r="AO468" s="1">
        <v>8.05</v>
      </c>
      <c r="AP468" s="1">
        <v>8.53399999999999</v>
      </c>
      <c r="AQ468" s="1" t="b">
        <v>0</v>
      </c>
      <c r="AR468" s="1" t="b">
        <v>0</v>
      </c>
      <c r="AS468" s="1">
        <v>86.9179999999999</v>
      </c>
      <c r="AT468" s="1">
        <v>87.152</v>
      </c>
      <c r="AU468" s="1" t="b">
        <v>0</v>
      </c>
      <c r="AV468" s="1" t="b">
        <v>0</v>
      </c>
      <c r="AW468" s="1">
        <v>9.61399999999999</v>
      </c>
      <c r="AX468" s="1">
        <v>11.026</v>
      </c>
      <c r="AY468" s="1" t="b">
        <v>0</v>
      </c>
      <c r="AZ468" s="1" t="b">
        <v>0</v>
      </c>
      <c r="BA468" s="1">
        <v>81.25</v>
      </c>
      <c r="BB468" s="1">
        <v>77.78</v>
      </c>
      <c r="BC468" s="1" t="b">
        <v>0</v>
      </c>
      <c r="BD468" s="1" t="b">
        <v>0</v>
      </c>
      <c r="BE468" s="1">
        <v>11.34</v>
      </c>
      <c r="BF468" s="1">
        <v>13.285</v>
      </c>
      <c r="BG468" s="1" t="b">
        <v>0</v>
      </c>
      <c r="BH468" s="1" t="b">
        <v>0</v>
      </c>
      <c r="BI468" s="1">
        <v>77.78</v>
      </c>
      <c r="BJ468" s="1">
        <v>75.0</v>
      </c>
      <c r="BK468" s="1" t="b">
        <v>0</v>
      </c>
      <c r="BL468" s="1" t="b">
        <v>0</v>
      </c>
      <c r="BM468" s="1">
        <v>13.121</v>
      </c>
      <c r="BN468" s="1">
        <v>14.568</v>
      </c>
      <c r="BO468" s="1" t="b">
        <v>0</v>
      </c>
      <c r="BP468" s="1" t="b">
        <v>0</v>
      </c>
      <c r="BQ468" s="1">
        <v>75.0</v>
      </c>
      <c r="BR468" s="1">
        <v>72.027</v>
      </c>
      <c r="BS468" s="1" t="b">
        <v>0</v>
      </c>
      <c r="BT468" s="1" t="b">
        <v>0</v>
      </c>
      <c r="BU468" s="1" t="s">
        <v>105</v>
      </c>
      <c r="BV468" s="1" t="s">
        <v>105</v>
      </c>
      <c r="BW468" s="1" t="s">
        <v>105</v>
      </c>
      <c r="BX468" s="1" t="s">
        <v>105</v>
      </c>
      <c r="BY468" s="1" t="s">
        <v>105</v>
      </c>
      <c r="BZ468" s="1" t="s">
        <v>105</v>
      </c>
      <c r="CA468" s="1" t="s">
        <v>105</v>
      </c>
      <c r="CB468" s="1" t="s">
        <v>105</v>
      </c>
      <c r="CC468" s="1" t="s">
        <v>105</v>
      </c>
      <c r="CD468" s="1" t="s">
        <v>105</v>
      </c>
      <c r="CE468" s="4"/>
      <c r="CF468" s="4"/>
    </row>
    <row r="469" hidden="1">
      <c r="A469" s="1" t="s">
        <v>82</v>
      </c>
      <c r="B469" s="1" t="s">
        <v>111</v>
      </c>
      <c r="C469" s="1">
        <v>69.0</v>
      </c>
      <c r="D469" s="5" t="s">
        <v>2098</v>
      </c>
      <c r="E469" s="1" t="s">
        <v>2099</v>
      </c>
      <c r="F469" s="1">
        <v>56.0</v>
      </c>
      <c r="G469" s="1">
        <v>0.9197</v>
      </c>
      <c r="H469" s="1" t="s">
        <v>2100</v>
      </c>
      <c r="I469" s="4" t="b">
        <f>IFERROR(__xludf.DUMMYFUNCTION("IF(H469="""",,REGEXMATCH(H469,""[א-ת]""))"),FALSE)</f>
        <v>0</v>
      </c>
      <c r="J469" s="4"/>
      <c r="K469" s="4"/>
      <c r="L469" s="1">
        <v>0.926</v>
      </c>
      <c r="M469" s="1">
        <v>27.69</v>
      </c>
      <c r="N469" s="1">
        <v>62.5</v>
      </c>
      <c r="O469" s="1">
        <v>1.116071429</v>
      </c>
      <c r="P469" s="4"/>
      <c r="Q469" s="4"/>
      <c r="R469" s="1" t="s">
        <v>89</v>
      </c>
      <c r="S469" s="1" t="s">
        <v>2099</v>
      </c>
      <c r="T469" s="1" t="s">
        <v>111</v>
      </c>
      <c r="U469" s="1">
        <v>70.0</v>
      </c>
      <c r="V469" s="5" t="s">
        <v>2098</v>
      </c>
      <c r="W469" s="1" t="s">
        <v>2099</v>
      </c>
      <c r="X469" s="1" t="s">
        <v>2101</v>
      </c>
      <c r="Y469" s="4"/>
      <c r="Z469" s="4"/>
      <c r="AA469" s="4" t="b">
        <f>IFERROR(__xludf.DUMMYFUNCTION("IF(X469="""",,REGEXMATCH(X469,""[א-ת]""))"),TRUE)</f>
        <v>1</v>
      </c>
      <c r="AB469" s="1">
        <v>23.34</v>
      </c>
      <c r="AC469" s="1">
        <v>64.29</v>
      </c>
      <c r="AD469" s="1">
        <v>0.801363625514969</v>
      </c>
      <c r="AE469" s="1">
        <v>0.9368</v>
      </c>
      <c r="AF469" s="1">
        <v>0.9197</v>
      </c>
      <c r="AG469" s="1">
        <v>6.337</v>
      </c>
      <c r="AH469" s="1">
        <v>6.781</v>
      </c>
      <c r="AI469" s="1" t="b">
        <v>0</v>
      </c>
      <c r="AJ469" s="1" t="b">
        <v>0</v>
      </c>
      <c r="AK469" s="1">
        <v>94.182</v>
      </c>
      <c r="AL469" s="1">
        <v>96.508</v>
      </c>
      <c r="AM469" s="1" t="b">
        <v>0</v>
      </c>
      <c r="AN469" s="1" t="b">
        <v>0</v>
      </c>
      <c r="AO469" s="1">
        <v>8.05</v>
      </c>
      <c r="AP469" s="1">
        <v>8.53399999999999</v>
      </c>
      <c r="AQ469" s="1" t="b">
        <v>0</v>
      </c>
      <c r="AR469" s="1" t="b">
        <v>0</v>
      </c>
      <c r="AS469" s="1">
        <v>86.9179999999999</v>
      </c>
      <c r="AT469" s="1">
        <v>87.152</v>
      </c>
      <c r="AU469" s="1" t="b">
        <v>0</v>
      </c>
      <c r="AV469" s="1" t="b">
        <v>0</v>
      </c>
      <c r="AW469" s="1">
        <v>9.61399999999999</v>
      </c>
      <c r="AX469" s="1">
        <v>11.026</v>
      </c>
      <c r="AY469" s="1" t="b">
        <v>0</v>
      </c>
      <c r="AZ469" s="1" t="b">
        <v>0</v>
      </c>
      <c r="BA469" s="1">
        <v>81.25</v>
      </c>
      <c r="BB469" s="1">
        <v>77.78</v>
      </c>
      <c r="BC469" s="1" t="b">
        <v>0</v>
      </c>
      <c r="BD469" s="1" t="b">
        <v>0</v>
      </c>
      <c r="BE469" s="1">
        <v>11.34</v>
      </c>
      <c r="BF469" s="1">
        <v>13.285</v>
      </c>
      <c r="BG469" s="1" t="b">
        <v>0</v>
      </c>
      <c r="BH469" s="1" t="b">
        <v>0</v>
      </c>
      <c r="BI469" s="1">
        <v>77.78</v>
      </c>
      <c r="BJ469" s="1">
        <v>75.0</v>
      </c>
      <c r="BK469" s="1" t="b">
        <v>0</v>
      </c>
      <c r="BL469" s="1" t="b">
        <v>0</v>
      </c>
      <c r="BM469" s="1">
        <v>13.121</v>
      </c>
      <c r="BN469" s="1">
        <v>14.568</v>
      </c>
      <c r="BO469" s="1" t="b">
        <v>0</v>
      </c>
      <c r="BP469" s="1" t="b">
        <v>0</v>
      </c>
      <c r="BQ469" s="1">
        <v>75.0</v>
      </c>
      <c r="BR469" s="1">
        <v>72.027</v>
      </c>
      <c r="BS469" s="1" t="b">
        <v>0</v>
      </c>
      <c r="BT469" s="1" t="b">
        <v>0</v>
      </c>
      <c r="BU469" s="1" t="s">
        <v>105</v>
      </c>
      <c r="BV469" s="1" t="s">
        <v>105</v>
      </c>
      <c r="BW469" s="1" t="s">
        <v>105</v>
      </c>
      <c r="BX469" s="1" t="s">
        <v>105</v>
      </c>
      <c r="BY469" s="1" t="s">
        <v>105</v>
      </c>
      <c r="BZ469" s="1" t="s">
        <v>105</v>
      </c>
      <c r="CA469" s="1" t="s">
        <v>105</v>
      </c>
      <c r="CB469" s="1" t="s">
        <v>105</v>
      </c>
      <c r="CC469" s="1" t="s">
        <v>105</v>
      </c>
      <c r="CD469" s="1" t="s">
        <v>105</v>
      </c>
      <c r="CE469" s="4"/>
      <c r="CF469" s="4"/>
    </row>
    <row r="470" hidden="1">
      <c r="A470" s="1" t="s">
        <v>82</v>
      </c>
      <c r="B470" s="1" t="s">
        <v>251</v>
      </c>
      <c r="C470" s="1">
        <v>17.0</v>
      </c>
      <c r="D470" s="5" t="s">
        <v>2102</v>
      </c>
      <c r="E470" s="1" t="s">
        <v>2103</v>
      </c>
      <c r="F470" s="1">
        <v>84.0</v>
      </c>
      <c r="G470" s="1">
        <v>-0.25</v>
      </c>
      <c r="H470" s="1" t="s">
        <v>2104</v>
      </c>
      <c r="I470" s="4" t="b">
        <f>IFERROR(__xludf.DUMMYFUNCTION("IF(H470="""",,REGEXMATCH(H470,""[א-ת]""))"),FALSE)</f>
        <v>0</v>
      </c>
      <c r="J470" s="4"/>
      <c r="K470" s="4"/>
      <c r="L470" s="1">
        <v>-0.1779</v>
      </c>
      <c r="M470" s="1">
        <v>27.72</v>
      </c>
      <c r="N470" s="1">
        <v>58.33</v>
      </c>
      <c r="O470" s="1">
        <v>0.6944047619</v>
      </c>
      <c r="P470" s="4"/>
      <c r="Q470" s="4"/>
      <c r="R470" s="1" t="s">
        <v>89</v>
      </c>
      <c r="S470" s="1" t="s">
        <v>2103</v>
      </c>
      <c r="T470" s="1" t="s">
        <v>251</v>
      </c>
      <c r="U470" s="1">
        <v>18.0</v>
      </c>
      <c r="V470" s="5" t="s">
        <v>2102</v>
      </c>
      <c r="W470" s="1" t="s">
        <v>2103</v>
      </c>
      <c r="X470" s="1" t="s">
        <v>2105</v>
      </c>
      <c r="Y470" s="4"/>
      <c r="Z470" s="4"/>
      <c r="AA470" s="4" t="b">
        <f>IFERROR(__xludf.DUMMYFUNCTION("IF(X470="""",,REGEXMATCH(X470,""[א-ת]""))"),FALSE)</f>
        <v>0</v>
      </c>
      <c r="AB470" s="1">
        <v>14.07</v>
      </c>
      <c r="AC470" s="1">
        <v>64.29</v>
      </c>
      <c r="AD470" s="1">
        <v>0.44238215102127</v>
      </c>
      <c r="AE470" s="1">
        <v>-0.25</v>
      </c>
      <c r="AF470" s="1">
        <v>-0.25</v>
      </c>
      <c r="AG470" s="1">
        <v>6.337</v>
      </c>
      <c r="AH470" s="1">
        <v>6.781</v>
      </c>
      <c r="AI470" s="1" t="b">
        <v>0</v>
      </c>
      <c r="AJ470" s="1" t="b">
        <v>0</v>
      </c>
      <c r="AK470" s="1">
        <v>94.182</v>
      </c>
      <c r="AL470" s="1">
        <v>96.508</v>
      </c>
      <c r="AM470" s="1" t="b">
        <v>0</v>
      </c>
      <c r="AN470" s="1" t="b">
        <v>0</v>
      </c>
      <c r="AO470" s="1">
        <v>8.05</v>
      </c>
      <c r="AP470" s="1">
        <v>8.53399999999999</v>
      </c>
      <c r="AQ470" s="1" t="b">
        <v>0</v>
      </c>
      <c r="AR470" s="1" t="b">
        <v>0</v>
      </c>
      <c r="AS470" s="1">
        <v>86.9179999999999</v>
      </c>
      <c r="AT470" s="1">
        <v>87.152</v>
      </c>
      <c r="AU470" s="1" t="b">
        <v>0</v>
      </c>
      <c r="AV470" s="1" t="b">
        <v>0</v>
      </c>
      <c r="AW470" s="1">
        <v>9.61399999999999</v>
      </c>
      <c r="AX470" s="1">
        <v>11.026</v>
      </c>
      <c r="AY470" s="1" t="b">
        <v>0</v>
      </c>
      <c r="AZ470" s="1" t="b">
        <v>0</v>
      </c>
      <c r="BA470" s="1">
        <v>81.25</v>
      </c>
      <c r="BB470" s="1">
        <v>77.78</v>
      </c>
      <c r="BC470" s="1" t="b">
        <v>0</v>
      </c>
      <c r="BD470" s="1" t="b">
        <v>0</v>
      </c>
      <c r="BE470" s="1">
        <v>11.34</v>
      </c>
      <c r="BF470" s="1">
        <v>13.285</v>
      </c>
      <c r="BG470" s="1" t="b">
        <v>0</v>
      </c>
      <c r="BH470" s="1" t="b">
        <v>0</v>
      </c>
      <c r="BI470" s="1">
        <v>77.78</v>
      </c>
      <c r="BJ470" s="1">
        <v>75.0</v>
      </c>
      <c r="BK470" s="1" t="b">
        <v>0</v>
      </c>
      <c r="BL470" s="1" t="b">
        <v>0</v>
      </c>
      <c r="BM470" s="1">
        <v>13.121</v>
      </c>
      <c r="BN470" s="1">
        <v>14.568</v>
      </c>
      <c r="BO470" s="1" t="b">
        <v>0</v>
      </c>
      <c r="BP470" s="1" t="b">
        <v>1</v>
      </c>
      <c r="BQ470" s="1">
        <v>75.0</v>
      </c>
      <c r="BR470" s="1">
        <v>72.027</v>
      </c>
      <c r="BS470" s="1" t="b">
        <v>0</v>
      </c>
      <c r="BT470" s="1" t="b">
        <v>0</v>
      </c>
      <c r="BU470" s="1" t="s">
        <v>105</v>
      </c>
      <c r="BV470" s="1" t="s">
        <v>105</v>
      </c>
      <c r="BW470" s="1" t="s">
        <v>105</v>
      </c>
      <c r="BX470" s="1" t="s">
        <v>105</v>
      </c>
      <c r="BY470" s="1" t="s">
        <v>105</v>
      </c>
      <c r="BZ470" s="1" t="s">
        <v>105</v>
      </c>
      <c r="CA470" s="1" t="s">
        <v>105</v>
      </c>
      <c r="CB470" s="1" t="s">
        <v>105</v>
      </c>
      <c r="CC470" s="1" t="s">
        <v>157</v>
      </c>
      <c r="CD470" s="1" t="s">
        <v>105</v>
      </c>
      <c r="CE470" s="4"/>
      <c r="CF470" s="4"/>
    </row>
    <row r="471" hidden="1">
      <c r="A471" s="1" t="s">
        <v>82</v>
      </c>
      <c r="B471" s="1" t="s">
        <v>92</v>
      </c>
      <c r="C471" s="1">
        <v>33.0</v>
      </c>
      <c r="D471" s="5" t="s">
        <v>2106</v>
      </c>
      <c r="E471" s="1" t="s">
        <v>2107</v>
      </c>
      <c r="F471" s="1">
        <v>56.0</v>
      </c>
      <c r="G471" s="1">
        <v>0.9169</v>
      </c>
      <c r="H471" s="1" t="s">
        <v>2108</v>
      </c>
      <c r="I471" s="4" t="b">
        <f>IFERROR(__xludf.DUMMYFUNCTION("IF(H471="""",,REGEXMATCH(H471,""[א-ת]""))"),FALSE)</f>
        <v>0</v>
      </c>
      <c r="J471" s="1" t="s">
        <v>1675</v>
      </c>
      <c r="K471" s="4"/>
      <c r="L471" s="1">
        <v>0.5994</v>
      </c>
      <c r="M471" s="1">
        <v>27.78</v>
      </c>
      <c r="N471" s="1">
        <v>62.5</v>
      </c>
      <c r="O471" s="1">
        <v>1.116071429</v>
      </c>
      <c r="P471" s="4"/>
      <c r="Q471" s="4"/>
      <c r="R471" s="1" t="s">
        <v>96</v>
      </c>
      <c r="S471" s="1" t="s">
        <v>2107</v>
      </c>
      <c r="T471" s="1" t="s">
        <v>92</v>
      </c>
      <c r="U471" s="1">
        <v>34.0</v>
      </c>
      <c r="V471" s="5" t="s">
        <v>2106</v>
      </c>
      <c r="W471" s="1" t="s">
        <v>2107</v>
      </c>
      <c r="X471" s="1" t="s">
        <v>2109</v>
      </c>
      <c r="Y471" s="4"/>
      <c r="Z471" s="4"/>
      <c r="AA471" s="4" t="b">
        <f>IFERROR(__xludf.DUMMYFUNCTION("IF(X471="""",,REGEXMATCH(X471,""[א-ת]""))"),FALSE)</f>
        <v>0</v>
      </c>
      <c r="AB471" s="1">
        <v>20.27</v>
      </c>
      <c r="AC471" s="1">
        <v>69.64</v>
      </c>
      <c r="AD471" s="1">
        <v>0.339746126900696</v>
      </c>
      <c r="AE471" s="1">
        <v>0.5106</v>
      </c>
      <c r="AF471" s="1">
        <v>0.9169</v>
      </c>
      <c r="AG471" s="1">
        <v>6.337</v>
      </c>
      <c r="AH471" s="1">
        <v>6.781</v>
      </c>
      <c r="AI471" s="1" t="b">
        <v>0</v>
      </c>
      <c r="AJ471" s="1" t="b">
        <v>0</v>
      </c>
      <c r="AK471" s="1">
        <v>94.182</v>
      </c>
      <c r="AL471" s="1">
        <v>96.508</v>
      </c>
      <c r="AM471" s="1" t="b">
        <v>0</v>
      </c>
      <c r="AN471" s="1" t="b">
        <v>0</v>
      </c>
      <c r="AO471" s="1">
        <v>8.05</v>
      </c>
      <c r="AP471" s="1">
        <v>8.53399999999999</v>
      </c>
      <c r="AQ471" s="1" t="b">
        <v>0</v>
      </c>
      <c r="AR471" s="1" t="b">
        <v>0</v>
      </c>
      <c r="AS471" s="1">
        <v>86.9179999999999</v>
      </c>
      <c r="AT471" s="1">
        <v>87.152</v>
      </c>
      <c r="AU471" s="1" t="b">
        <v>0</v>
      </c>
      <c r="AV471" s="1" t="b">
        <v>0</v>
      </c>
      <c r="AW471" s="1">
        <v>9.61399999999999</v>
      </c>
      <c r="AX471" s="1">
        <v>11.026</v>
      </c>
      <c r="AY471" s="1" t="b">
        <v>0</v>
      </c>
      <c r="AZ471" s="1" t="b">
        <v>0</v>
      </c>
      <c r="BA471" s="1">
        <v>81.25</v>
      </c>
      <c r="BB471" s="1">
        <v>77.78</v>
      </c>
      <c r="BC471" s="1" t="b">
        <v>0</v>
      </c>
      <c r="BD471" s="1" t="b">
        <v>0</v>
      </c>
      <c r="BE471" s="1">
        <v>11.34</v>
      </c>
      <c r="BF471" s="1">
        <v>13.285</v>
      </c>
      <c r="BG471" s="1" t="b">
        <v>0</v>
      </c>
      <c r="BH471" s="1" t="b">
        <v>0</v>
      </c>
      <c r="BI471" s="1">
        <v>77.78</v>
      </c>
      <c r="BJ471" s="1">
        <v>75.0</v>
      </c>
      <c r="BK471" s="1" t="b">
        <v>0</v>
      </c>
      <c r="BL471" s="1" t="b">
        <v>0</v>
      </c>
      <c r="BM471" s="1">
        <v>13.121</v>
      </c>
      <c r="BN471" s="1">
        <v>14.568</v>
      </c>
      <c r="BO471" s="1" t="b">
        <v>0</v>
      </c>
      <c r="BP471" s="1" t="b">
        <v>0</v>
      </c>
      <c r="BQ471" s="1">
        <v>75.0</v>
      </c>
      <c r="BR471" s="1">
        <v>72.027</v>
      </c>
      <c r="BS471" s="1" t="b">
        <v>0</v>
      </c>
      <c r="BT471" s="1" t="b">
        <v>0</v>
      </c>
      <c r="BU471" s="1" t="s">
        <v>105</v>
      </c>
      <c r="BV471" s="1" t="s">
        <v>105</v>
      </c>
      <c r="BW471" s="1" t="s">
        <v>105</v>
      </c>
      <c r="BX471" s="1" t="s">
        <v>105</v>
      </c>
      <c r="BY471" s="1" t="s">
        <v>105</v>
      </c>
      <c r="BZ471" s="1" t="s">
        <v>105</v>
      </c>
      <c r="CA471" s="1" t="s">
        <v>105</v>
      </c>
      <c r="CB471" s="1" t="s">
        <v>105</v>
      </c>
      <c r="CC471" s="1" t="s">
        <v>105</v>
      </c>
      <c r="CD471" s="1" t="s">
        <v>105</v>
      </c>
      <c r="CE471" s="4"/>
      <c r="CF471" s="4"/>
    </row>
    <row r="472" hidden="1">
      <c r="A472" s="1" t="s">
        <v>82</v>
      </c>
      <c r="B472" s="1" t="s">
        <v>251</v>
      </c>
      <c r="C472" s="1">
        <v>21.0</v>
      </c>
      <c r="D472" s="5" t="s">
        <v>2110</v>
      </c>
      <c r="E472" s="1" t="s">
        <v>2111</v>
      </c>
      <c r="F472" s="1">
        <v>49.0</v>
      </c>
      <c r="G472" s="1">
        <v>0.3612</v>
      </c>
      <c r="H472" s="1" t="s">
        <v>2112</v>
      </c>
      <c r="I472" s="4" t="b">
        <f>IFERROR(__xludf.DUMMYFUNCTION("IF(H472="""",,REGEXMATCH(H472,""[א-ת]""))"),FALSE)</f>
        <v>0</v>
      </c>
      <c r="J472" s="4"/>
      <c r="K472" s="4"/>
      <c r="L472" s="1">
        <v>-0.4272</v>
      </c>
      <c r="M472" s="1">
        <v>27.8</v>
      </c>
      <c r="N472" s="1">
        <v>59.18</v>
      </c>
      <c r="O472" s="1">
        <v>1.207755102</v>
      </c>
      <c r="P472" s="4"/>
      <c r="Q472" s="4"/>
      <c r="R472" s="1" t="s">
        <v>89</v>
      </c>
      <c r="S472" s="1" t="s">
        <v>2111</v>
      </c>
      <c r="T472" s="1" t="s">
        <v>251</v>
      </c>
      <c r="U472" s="1">
        <v>22.0</v>
      </c>
      <c r="V472" s="5" t="s">
        <v>2110</v>
      </c>
      <c r="W472" s="1" t="s">
        <v>2111</v>
      </c>
      <c r="X472" s="1" t="s">
        <v>2113</v>
      </c>
      <c r="Y472" s="4"/>
      <c r="Z472" s="4"/>
      <c r="AA472" s="4" t="b">
        <f>IFERROR(__xludf.DUMMYFUNCTION("IF(X472="""",,REGEXMATCH(X472,""[א-ת]""))"),FALSE)</f>
        <v>0</v>
      </c>
      <c r="AB472" s="1">
        <v>22.64</v>
      </c>
      <c r="AC472" s="1">
        <v>61.22</v>
      </c>
      <c r="AD472" s="1">
        <v>0.498626168441768</v>
      </c>
      <c r="AE472" s="1">
        <v>-0.7536</v>
      </c>
      <c r="AF472" s="1">
        <v>0.3612</v>
      </c>
      <c r="AG472" s="1">
        <v>6.337</v>
      </c>
      <c r="AH472" s="1">
        <v>6.781</v>
      </c>
      <c r="AI472" s="1" t="b">
        <v>0</v>
      </c>
      <c r="AJ472" s="1" t="b">
        <v>0</v>
      </c>
      <c r="AK472" s="1">
        <v>94.182</v>
      </c>
      <c r="AL472" s="1">
        <v>96.508</v>
      </c>
      <c r="AM472" s="1" t="b">
        <v>0</v>
      </c>
      <c r="AN472" s="1" t="b">
        <v>0</v>
      </c>
      <c r="AO472" s="1">
        <v>8.05</v>
      </c>
      <c r="AP472" s="1">
        <v>8.53399999999999</v>
      </c>
      <c r="AQ472" s="1" t="b">
        <v>0</v>
      </c>
      <c r="AR472" s="1" t="b">
        <v>0</v>
      </c>
      <c r="AS472" s="1">
        <v>86.9179999999999</v>
      </c>
      <c r="AT472" s="1">
        <v>87.152</v>
      </c>
      <c r="AU472" s="1" t="b">
        <v>0</v>
      </c>
      <c r="AV472" s="1" t="b">
        <v>0</v>
      </c>
      <c r="AW472" s="1">
        <v>9.61399999999999</v>
      </c>
      <c r="AX472" s="1">
        <v>11.026</v>
      </c>
      <c r="AY472" s="1" t="b">
        <v>0</v>
      </c>
      <c r="AZ472" s="1" t="b">
        <v>0</v>
      </c>
      <c r="BA472" s="1">
        <v>81.25</v>
      </c>
      <c r="BB472" s="1">
        <v>77.78</v>
      </c>
      <c r="BC472" s="1" t="b">
        <v>0</v>
      </c>
      <c r="BD472" s="1" t="b">
        <v>0</v>
      </c>
      <c r="BE472" s="1">
        <v>11.34</v>
      </c>
      <c r="BF472" s="1">
        <v>13.285</v>
      </c>
      <c r="BG472" s="1" t="b">
        <v>0</v>
      </c>
      <c r="BH472" s="1" t="b">
        <v>0</v>
      </c>
      <c r="BI472" s="1">
        <v>77.78</v>
      </c>
      <c r="BJ472" s="1">
        <v>75.0</v>
      </c>
      <c r="BK472" s="1" t="b">
        <v>0</v>
      </c>
      <c r="BL472" s="1" t="b">
        <v>0</v>
      </c>
      <c r="BM472" s="1">
        <v>13.121</v>
      </c>
      <c r="BN472" s="1">
        <v>14.568</v>
      </c>
      <c r="BO472" s="1" t="b">
        <v>0</v>
      </c>
      <c r="BP472" s="1" t="b">
        <v>0</v>
      </c>
      <c r="BQ472" s="1">
        <v>75.0</v>
      </c>
      <c r="BR472" s="1">
        <v>72.027</v>
      </c>
      <c r="BS472" s="1" t="b">
        <v>0</v>
      </c>
      <c r="BT472" s="1" t="b">
        <v>0</v>
      </c>
      <c r="BU472" s="1" t="s">
        <v>105</v>
      </c>
      <c r="BV472" s="1" t="s">
        <v>105</v>
      </c>
      <c r="BW472" s="1" t="s">
        <v>105</v>
      </c>
      <c r="BX472" s="1" t="s">
        <v>105</v>
      </c>
      <c r="BY472" s="1" t="s">
        <v>105</v>
      </c>
      <c r="BZ472" s="1" t="s">
        <v>105</v>
      </c>
      <c r="CA472" s="1" t="s">
        <v>105</v>
      </c>
      <c r="CB472" s="1" t="s">
        <v>105</v>
      </c>
      <c r="CC472" s="1" t="s">
        <v>105</v>
      </c>
      <c r="CD472" s="1" t="s">
        <v>105</v>
      </c>
      <c r="CE472" s="4"/>
      <c r="CF472" s="4"/>
    </row>
    <row r="473" hidden="1">
      <c r="A473" s="1" t="s">
        <v>82</v>
      </c>
      <c r="B473" s="1" t="s">
        <v>197</v>
      </c>
      <c r="C473" s="1">
        <v>1.0</v>
      </c>
      <c r="D473" s="5" t="s">
        <v>2114</v>
      </c>
      <c r="E473" s="1" t="s">
        <v>2115</v>
      </c>
      <c r="F473" s="1">
        <v>71.0</v>
      </c>
      <c r="G473" s="1">
        <v>0.0</v>
      </c>
      <c r="H473" s="1" t="s">
        <v>2116</v>
      </c>
      <c r="I473" s="4" t="b">
        <f>IFERROR(__xludf.DUMMYFUNCTION("IF(H473="""",,REGEXMATCH(H473,""[א-ת]""))"),FALSE)</f>
        <v>0</v>
      </c>
      <c r="J473" s="4"/>
      <c r="K473" s="4"/>
      <c r="L473" s="1">
        <v>-0.8057</v>
      </c>
      <c r="M473" s="1">
        <v>27.96</v>
      </c>
      <c r="N473" s="1">
        <v>56.34</v>
      </c>
      <c r="O473" s="1">
        <v>0.7935211268</v>
      </c>
      <c r="P473" s="4"/>
      <c r="Q473" s="4"/>
      <c r="R473" s="1" t="s">
        <v>89</v>
      </c>
      <c r="S473" s="1" t="s">
        <v>2115</v>
      </c>
      <c r="T473" s="1" t="s">
        <v>197</v>
      </c>
      <c r="U473" s="1">
        <v>2.0</v>
      </c>
      <c r="V473" s="5" t="s">
        <v>2114</v>
      </c>
      <c r="W473" s="1" t="s">
        <v>2115</v>
      </c>
      <c r="X473" s="1" t="s">
        <v>2117</v>
      </c>
      <c r="Y473" s="4"/>
      <c r="Z473" s="4"/>
      <c r="AA473" s="4" t="b">
        <f>IFERROR(__xludf.DUMMYFUNCTION("IF(X473="""",,REGEXMATCH(X473,""[א-ת]""))"),FALSE)</f>
        <v>0</v>
      </c>
      <c r="AB473" s="1">
        <v>25.15</v>
      </c>
      <c r="AC473" s="1">
        <v>56.34</v>
      </c>
      <c r="AD473" s="1">
        <v>0.414396089434029</v>
      </c>
      <c r="AE473" s="1">
        <v>0.0</v>
      </c>
      <c r="AF473" s="1">
        <v>0.0</v>
      </c>
      <c r="AG473" s="1">
        <v>6.337</v>
      </c>
      <c r="AH473" s="1">
        <v>6.781</v>
      </c>
      <c r="AI473" s="1" t="b">
        <v>0</v>
      </c>
      <c r="AJ473" s="1" t="b">
        <v>0</v>
      </c>
      <c r="AK473" s="1">
        <v>94.182</v>
      </c>
      <c r="AL473" s="1">
        <v>96.508</v>
      </c>
      <c r="AM473" s="1" t="b">
        <v>0</v>
      </c>
      <c r="AN473" s="1" t="b">
        <v>0</v>
      </c>
      <c r="AO473" s="1">
        <v>8.05</v>
      </c>
      <c r="AP473" s="1">
        <v>8.53399999999999</v>
      </c>
      <c r="AQ473" s="1" t="b">
        <v>0</v>
      </c>
      <c r="AR473" s="1" t="b">
        <v>0</v>
      </c>
      <c r="AS473" s="1">
        <v>86.9179999999999</v>
      </c>
      <c r="AT473" s="1">
        <v>87.152</v>
      </c>
      <c r="AU473" s="1" t="b">
        <v>0</v>
      </c>
      <c r="AV473" s="1" t="b">
        <v>0</v>
      </c>
      <c r="AW473" s="1">
        <v>9.61399999999999</v>
      </c>
      <c r="AX473" s="1">
        <v>11.026</v>
      </c>
      <c r="AY473" s="1" t="b">
        <v>0</v>
      </c>
      <c r="AZ473" s="1" t="b">
        <v>0</v>
      </c>
      <c r="BA473" s="1">
        <v>81.25</v>
      </c>
      <c r="BB473" s="1">
        <v>77.78</v>
      </c>
      <c r="BC473" s="1" t="b">
        <v>0</v>
      </c>
      <c r="BD473" s="1" t="b">
        <v>0</v>
      </c>
      <c r="BE473" s="1">
        <v>11.34</v>
      </c>
      <c r="BF473" s="1">
        <v>13.285</v>
      </c>
      <c r="BG473" s="1" t="b">
        <v>0</v>
      </c>
      <c r="BH473" s="1" t="b">
        <v>0</v>
      </c>
      <c r="BI473" s="1">
        <v>77.78</v>
      </c>
      <c r="BJ473" s="1">
        <v>75.0</v>
      </c>
      <c r="BK473" s="1" t="b">
        <v>0</v>
      </c>
      <c r="BL473" s="1" t="b">
        <v>0</v>
      </c>
      <c r="BM473" s="1">
        <v>13.121</v>
      </c>
      <c r="BN473" s="1">
        <v>14.568</v>
      </c>
      <c r="BO473" s="1" t="b">
        <v>0</v>
      </c>
      <c r="BP473" s="1" t="b">
        <v>0</v>
      </c>
      <c r="BQ473" s="1">
        <v>75.0</v>
      </c>
      <c r="BR473" s="1">
        <v>72.027</v>
      </c>
      <c r="BS473" s="1" t="b">
        <v>0</v>
      </c>
      <c r="BT473" s="1" t="b">
        <v>0</v>
      </c>
      <c r="BU473" s="1" t="s">
        <v>105</v>
      </c>
      <c r="BV473" s="1" t="s">
        <v>105</v>
      </c>
      <c r="BW473" s="1" t="s">
        <v>105</v>
      </c>
      <c r="BX473" s="1" t="s">
        <v>105</v>
      </c>
      <c r="BY473" s="1" t="s">
        <v>105</v>
      </c>
      <c r="BZ473" s="1" t="s">
        <v>105</v>
      </c>
      <c r="CA473" s="1" t="s">
        <v>105</v>
      </c>
      <c r="CB473" s="1" t="s">
        <v>105</v>
      </c>
      <c r="CC473" s="1" t="s">
        <v>105</v>
      </c>
      <c r="CD473" s="1" t="s">
        <v>105</v>
      </c>
      <c r="CE473" s="4"/>
      <c r="CF473" s="4"/>
    </row>
    <row r="474" hidden="1">
      <c r="A474" s="1" t="s">
        <v>82</v>
      </c>
      <c r="B474" s="1" t="s">
        <v>262</v>
      </c>
      <c r="C474" s="1">
        <v>0.0</v>
      </c>
      <c r="D474" s="5" t="s">
        <v>2118</v>
      </c>
      <c r="E474" s="1" t="s">
        <v>2119</v>
      </c>
      <c r="F474" s="1">
        <v>15.0</v>
      </c>
      <c r="G474" s="1">
        <v>0.0</v>
      </c>
      <c r="H474" s="1" t="s">
        <v>2120</v>
      </c>
      <c r="I474" s="4" t="b">
        <f>IFERROR(__xludf.DUMMYFUNCTION("IF(H474="""",,REGEXMATCH(H474,""[א-ת]""))"),FALSE)</f>
        <v>0</v>
      </c>
      <c r="J474" s="4"/>
      <c r="K474" s="4"/>
      <c r="L474" s="1">
        <v>0.0</v>
      </c>
      <c r="M474" s="1">
        <v>27.98</v>
      </c>
      <c r="N474" s="1">
        <v>73.33</v>
      </c>
      <c r="O474" s="1">
        <v>4.888666667</v>
      </c>
      <c r="P474" s="4"/>
      <c r="Q474" s="4"/>
      <c r="R474" s="1" t="s">
        <v>96</v>
      </c>
      <c r="S474" s="1" t="s">
        <v>2119</v>
      </c>
      <c r="T474" s="1" t="s">
        <v>262</v>
      </c>
      <c r="U474" s="1">
        <v>1.0</v>
      </c>
      <c r="V474" s="5" t="s">
        <v>2118</v>
      </c>
      <c r="W474" s="1" t="s">
        <v>2119</v>
      </c>
      <c r="X474" s="1" t="s">
        <v>2121</v>
      </c>
      <c r="Y474" s="4"/>
      <c r="Z474" s="4"/>
      <c r="AA474" s="4" t="b">
        <f>IFERROR(__xludf.DUMMYFUNCTION("IF(X474="""",,REGEXMATCH(X474,""[א-ת]""))"),FALSE)</f>
        <v>0</v>
      </c>
      <c r="AB474" s="1">
        <v>30.06</v>
      </c>
      <c r="AC474" s="1">
        <v>60.0</v>
      </c>
      <c r="AD474" s="1">
        <v>0.260933594001559</v>
      </c>
      <c r="AE474" s="1">
        <v>0.0</v>
      </c>
      <c r="AF474" s="1">
        <v>0.0</v>
      </c>
      <c r="AG474" s="1">
        <v>6.337</v>
      </c>
      <c r="AH474" s="1">
        <v>6.781</v>
      </c>
      <c r="AI474" s="1" t="b">
        <v>0</v>
      </c>
      <c r="AJ474" s="1" t="b">
        <v>0</v>
      </c>
      <c r="AK474" s="1">
        <v>94.182</v>
      </c>
      <c r="AL474" s="1">
        <v>96.508</v>
      </c>
      <c r="AM474" s="1" t="b">
        <v>0</v>
      </c>
      <c r="AN474" s="1" t="b">
        <v>0</v>
      </c>
      <c r="AO474" s="1">
        <v>8.05</v>
      </c>
      <c r="AP474" s="1">
        <v>8.53399999999999</v>
      </c>
      <c r="AQ474" s="1" t="b">
        <v>0</v>
      </c>
      <c r="AR474" s="1" t="b">
        <v>0</v>
      </c>
      <c r="AS474" s="1">
        <v>86.9179999999999</v>
      </c>
      <c r="AT474" s="1">
        <v>87.152</v>
      </c>
      <c r="AU474" s="1" t="b">
        <v>0</v>
      </c>
      <c r="AV474" s="1" t="b">
        <v>0</v>
      </c>
      <c r="AW474" s="1">
        <v>9.61399999999999</v>
      </c>
      <c r="AX474" s="1">
        <v>11.026</v>
      </c>
      <c r="AY474" s="1" t="b">
        <v>0</v>
      </c>
      <c r="AZ474" s="1" t="b">
        <v>0</v>
      </c>
      <c r="BA474" s="1">
        <v>81.25</v>
      </c>
      <c r="BB474" s="1">
        <v>77.78</v>
      </c>
      <c r="BC474" s="1" t="b">
        <v>0</v>
      </c>
      <c r="BD474" s="1" t="b">
        <v>0</v>
      </c>
      <c r="BE474" s="1">
        <v>11.34</v>
      </c>
      <c r="BF474" s="1">
        <v>13.285</v>
      </c>
      <c r="BG474" s="1" t="b">
        <v>0</v>
      </c>
      <c r="BH474" s="1" t="b">
        <v>0</v>
      </c>
      <c r="BI474" s="1">
        <v>77.78</v>
      </c>
      <c r="BJ474" s="1">
        <v>75.0</v>
      </c>
      <c r="BK474" s="1" t="b">
        <v>0</v>
      </c>
      <c r="BL474" s="1" t="b">
        <v>0</v>
      </c>
      <c r="BM474" s="1">
        <v>13.121</v>
      </c>
      <c r="BN474" s="1">
        <v>14.568</v>
      </c>
      <c r="BO474" s="1" t="b">
        <v>0</v>
      </c>
      <c r="BP474" s="1" t="b">
        <v>0</v>
      </c>
      <c r="BQ474" s="1">
        <v>75.0</v>
      </c>
      <c r="BR474" s="1">
        <v>72.027</v>
      </c>
      <c r="BS474" s="1" t="b">
        <v>0</v>
      </c>
      <c r="BT474" s="1" t="b">
        <v>0</v>
      </c>
      <c r="BU474" s="1" t="s">
        <v>105</v>
      </c>
      <c r="BV474" s="1" t="s">
        <v>105</v>
      </c>
      <c r="BW474" s="1" t="s">
        <v>105</v>
      </c>
      <c r="BX474" s="1" t="s">
        <v>105</v>
      </c>
      <c r="BY474" s="1" t="s">
        <v>105</v>
      </c>
      <c r="BZ474" s="1" t="s">
        <v>105</v>
      </c>
      <c r="CA474" s="1" t="s">
        <v>105</v>
      </c>
      <c r="CB474" s="1" t="s">
        <v>105</v>
      </c>
      <c r="CC474" s="1" t="s">
        <v>105</v>
      </c>
      <c r="CD474" s="1" t="s">
        <v>105</v>
      </c>
      <c r="CE474" s="4"/>
      <c r="CF474" s="4"/>
    </row>
    <row r="475" hidden="1">
      <c r="A475" s="1" t="s">
        <v>82</v>
      </c>
      <c r="B475" s="1" t="s">
        <v>116</v>
      </c>
      <c r="C475" s="1">
        <v>28.0</v>
      </c>
      <c r="D475" s="5" t="s">
        <v>2122</v>
      </c>
      <c r="E475" s="1" t="s">
        <v>2123</v>
      </c>
      <c r="F475" s="1">
        <v>22.0</v>
      </c>
      <c r="G475" s="1">
        <v>0.0</v>
      </c>
      <c r="H475" s="1" t="s">
        <v>2124</v>
      </c>
      <c r="I475" s="4" t="b">
        <f>IFERROR(__xludf.DUMMYFUNCTION("IF(H475="""",,REGEXMATCH(H475,""[א-ת]""))"),FALSE)</f>
        <v>0</v>
      </c>
      <c r="J475" s="4"/>
      <c r="K475" s="4"/>
      <c r="L475" s="1">
        <v>-0.128</v>
      </c>
      <c r="M475" s="1">
        <v>28.01</v>
      </c>
      <c r="N475" s="1">
        <v>68.18</v>
      </c>
      <c r="O475" s="1">
        <v>3.099090909</v>
      </c>
      <c r="P475" s="4"/>
      <c r="Q475" s="4"/>
      <c r="R475" s="1" t="s">
        <v>89</v>
      </c>
      <c r="S475" s="1" t="s">
        <v>2123</v>
      </c>
      <c r="T475" s="1" t="s">
        <v>116</v>
      </c>
      <c r="U475" s="1">
        <v>29.0</v>
      </c>
      <c r="V475" s="5" t="s">
        <v>2122</v>
      </c>
      <c r="W475" s="1" t="s">
        <v>2123</v>
      </c>
      <c r="X475" s="1" t="s">
        <v>2125</v>
      </c>
      <c r="Y475" s="4"/>
      <c r="Z475" s="4"/>
      <c r="AA475" s="4" t="b">
        <f>IFERROR(__xludf.DUMMYFUNCTION("IF(X475="""",,REGEXMATCH(X475,""[א-ת]""))"),FALSE)</f>
        <v>0</v>
      </c>
      <c r="AB475" s="1">
        <v>29.4</v>
      </c>
      <c r="AC475" s="1">
        <v>45.45</v>
      </c>
      <c r="AD475" s="1">
        <v>0.612594917533792</v>
      </c>
      <c r="AE475" s="1">
        <v>0.0</v>
      </c>
      <c r="AF475" s="1">
        <v>0.0</v>
      </c>
      <c r="AG475" s="1">
        <v>6.337</v>
      </c>
      <c r="AH475" s="1">
        <v>6.781</v>
      </c>
      <c r="AI475" s="1" t="b">
        <v>0</v>
      </c>
      <c r="AJ475" s="1" t="b">
        <v>0</v>
      </c>
      <c r="AK475" s="1">
        <v>94.182</v>
      </c>
      <c r="AL475" s="1">
        <v>96.508</v>
      </c>
      <c r="AM475" s="1" t="b">
        <v>0</v>
      </c>
      <c r="AN475" s="1" t="b">
        <v>0</v>
      </c>
      <c r="AO475" s="1">
        <v>8.05</v>
      </c>
      <c r="AP475" s="1">
        <v>8.53399999999999</v>
      </c>
      <c r="AQ475" s="1" t="b">
        <v>0</v>
      </c>
      <c r="AR475" s="1" t="b">
        <v>0</v>
      </c>
      <c r="AS475" s="1">
        <v>86.9179999999999</v>
      </c>
      <c r="AT475" s="1">
        <v>87.152</v>
      </c>
      <c r="AU475" s="1" t="b">
        <v>0</v>
      </c>
      <c r="AV475" s="1" t="b">
        <v>0</v>
      </c>
      <c r="AW475" s="1">
        <v>9.61399999999999</v>
      </c>
      <c r="AX475" s="1">
        <v>11.026</v>
      </c>
      <c r="AY475" s="1" t="b">
        <v>0</v>
      </c>
      <c r="AZ475" s="1" t="b">
        <v>0</v>
      </c>
      <c r="BA475" s="1">
        <v>81.25</v>
      </c>
      <c r="BB475" s="1">
        <v>77.78</v>
      </c>
      <c r="BC475" s="1" t="b">
        <v>0</v>
      </c>
      <c r="BD475" s="1" t="b">
        <v>0</v>
      </c>
      <c r="BE475" s="1">
        <v>11.34</v>
      </c>
      <c r="BF475" s="1">
        <v>13.285</v>
      </c>
      <c r="BG475" s="1" t="b">
        <v>0</v>
      </c>
      <c r="BH475" s="1" t="b">
        <v>0</v>
      </c>
      <c r="BI475" s="1">
        <v>77.78</v>
      </c>
      <c r="BJ475" s="1">
        <v>75.0</v>
      </c>
      <c r="BK475" s="1" t="b">
        <v>0</v>
      </c>
      <c r="BL475" s="1" t="b">
        <v>0</v>
      </c>
      <c r="BM475" s="1">
        <v>13.121</v>
      </c>
      <c r="BN475" s="1">
        <v>14.568</v>
      </c>
      <c r="BO475" s="1" t="b">
        <v>0</v>
      </c>
      <c r="BP475" s="1" t="b">
        <v>0</v>
      </c>
      <c r="BQ475" s="1">
        <v>75.0</v>
      </c>
      <c r="BR475" s="1">
        <v>72.027</v>
      </c>
      <c r="BS475" s="1" t="b">
        <v>0</v>
      </c>
      <c r="BT475" s="1" t="b">
        <v>0</v>
      </c>
      <c r="BU475" s="1" t="s">
        <v>105</v>
      </c>
      <c r="BV475" s="1" t="s">
        <v>105</v>
      </c>
      <c r="BW475" s="1" t="s">
        <v>105</v>
      </c>
      <c r="BX475" s="1" t="s">
        <v>105</v>
      </c>
      <c r="BY475" s="1" t="s">
        <v>105</v>
      </c>
      <c r="BZ475" s="1" t="s">
        <v>105</v>
      </c>
      <c r="CA475" s="1" t="s">
        <v>105</v>
      </c>
      <c r="CB475" s="1" t="s">
        <v>105</v>
      </c>
      <c r="CC475" s="1" t="s">
        <v>105</v>
      </c>
      <c r="CD475" s="1" t="s">
        <v>105</v>
      </c>
      <c r="CE475" s="4"/>
      <c r="CF475" s="4"/>
    </row>
    <row r="476">
      <c r="A476" s="1" t="s">
        <v>82</v>
      </c>
      <c r="B476" s="1" t="s">
        <v>158</v>
      </c>
      <c r="C476" s="1">
        <v>1.0</v>
      </c>
      <c r="D476" s="5" t="s">
        <v>2126</v>
      </c>
      <c r="E476" s="1" t="s">
        <v>2127</v>
      </c>
      <c r="F476" s="1">
        <v>23.0</v>
      </c>
      <c r="G476" s="1">
        <v>0.0</v>
      </c>
      <c r="H476" s="1" t="s">
        <v>2128</v>
      </c>
      <c r="I476" s="4" t="b">
        <f>IFERROR(__xludf.DUMMYFUNCTION("IF(H476="""",,REGEXMATCH(H476,""[א-ת]""))"),FALSE)</f>
        <v>0</v>
      </c>
      <c r="J476" s="4"/>
      <c r="K476" s="4"/>
      <c r="L476" s="1">
        <v>0.0</v>
      </c>
      <c r="M476" s="1">
        <v>28.04</v>
      </c>
      <c r="N476" s="1">
        <v>78.26</v>
      </c>
      <c r="O476" s="1">
        <v>3.402608696</v>
      </c>
      <c r="P476" s="4"/>
      <c r="Q476" s="4"/>
      <c r="R476" s="1" t="s">
        <v>89</v>
      </c>
      <c r="S476" s="1" t="s">
        <v>2127</v>
      </c>
      <c r="T476" s="1" t="s">
        <v>158</v>
      </c>
      <c r="U476" s="1">
        <v>2.0</v>
      </c>
      <c r="V476" s="5" t="s">
        <v>2126</v>
      </c>
      <c r="W476" s="1" t="s">
        <v>2127</v>
      </c>
      <c r="X476" s="1" t="s">
        <v>2129</v>
      </c>
      <c r="Y476" s="1" t="s">
        <v>2130</v>
      </c>
      <c r="Z476" s="1" t="s">
        <v>2131</v>
      </c>
      <c r="AA476" s="4" t="b">
        <f>IFERROR(__xludf.DUMMYFUNCTION("IF(X476="""",,REGEXMATCH(X476,""[א-ת]""))"),FALSE)</f>
        <v>0</v>
      </c>
      <c r="AB476" s="1">
        <v>4.67</v>
      </c>
      <c r="AC476" s="1">
        <v>95.65</v>
      </c>
      <c r="AD476" s="1">
        <v>0.22668758295521</v>
      </c>
      <c r="AE476" s="1">
        <v>0.0</v>
      </c>
      <c r="AF476" s="1">
        <v>0.0</v>
      </c>
      <c r="AG476" s="1">
        <v>6.337</v>
      </c>
      <c r="AH476" s="1">
        <v>6.781</v>
      </c>
      <c r="AI476" s="1" t="b">
        <v>0</v>
      </c>
      <c r="AJ476" s="1" t="b">
        <v>1</v>
      </c>
      <c r="AK476" s="1">
        <v>94.182</v>
      </c>
      <c r="AL476" s="1">
        <v>96.508</v>
      </c>
      <c r="AM476" s="1" t="b">
        <v>0</v>
      </c>
      <c r="AN476" s="1" t="b">
        <v>0</v>
      </c>
      <c r="AO476" s="1">
        <v>8.05</v>
      </c>
      <c r="AP476" s="1">
        <v>8.53399999999999</v>
      </c>
      <c r="AQ476" s="1" t="b">
        <v>0</v>
      </c>
      <c r="AR476" s="1" t="b">
        <v>1</v>
      </c>
      <c r="AS476" s="1">
        <v>86.9179999999999</v>
      </c>
      <c r="AT476" s="1">
        <v>87.152</v>
      </c>
      <c r="AU476" s="1" t="b">
        <v>0</v>
      </c>
      <c r="AV476" s="1" t="b">
        <v>1</v>
      </c>
      <c r="AW476" s="1">
        <v>9.61399999999999</v>
      </c>
      <c r="AX476" s="1">
        <v>11.026</v>
      </c>
      <c r="AY476" s="1" t="b">
        <v>0</v>
      </c>
      <c r="AZ476" s="1" t="b">
        <v>1</v>
      </c>
      <c r="BA476" s="1">
        <v>81.25</v>
      </c>
      <c r="BB476" s="1">
        <v>77.78</v>
      </c>
      <c r="BC476" s="1" t="b">
        <v>0</v>
      </c>
      <c r="BD476" s="1" t="b">
        <v>1</v>
      </c>
      <c r="BE476" s="1">
        <v>11.34</v>
      </c>
      <c r="BF476" s="1">
        <v>13.285</v>
      </c>
      <c r="BG476" s="1" t="b">
        <v>0</v>
      </c>
      <c r="BH476" s="1" t="b">
        <v>1</v>
      </c>
      <c r="BI476" s="1">
        <v>77.78</v>
      </c>
      <c r="BJ476" s="1">
        <v>75.0</v>
      </c>
      <c r="BK476" s="1" t="b">
        <v>1</v>
      </c>
      <c r="BL476" s="1" t="b">
        <v>1</v>
      </c>
      <c r="BM476" s="1">
        <v>13.121</v>
      </c>
      <c r="BN476" s="1">
        <v>14.568</v>
      </c>
      <c r="BO476" s="1" t="b">
        <v>0</v>
      </c>
      <c r="BP476" s="1" t="b">
        <v>1</v>
      </c>
      <c r="BQ476" s="1">
        <v>75.0</v>
      </c>
      <c r="BR476" s="1">
        <v>72.027</v>
      </c>
      <c r="BS476" s="1" t="b">
        <v>1</v>
      </c>
      <c r="BT476" s="1" t="b">
        <v>1</v>
      </c>
      <c r="BU476" s="1" t="s">
        <v>157</v>
      </c>
      <c r="BV476" s="1" t="s">
        <v>105</v>
      </c>
      <c r="BW476" s="1" t="s">
        <v>157</v>
      </c>
      <c r="BX476" s="1" t="s">
        <v>157</v>
      </c>
      <c r="BY476" s="1" t="s">
        <v>157</v>
      </c>
      <c r="BZ476" s="1" t="s">
        <v>157</v>
      </c>
      <c r="CA476" s="1" t="s">
        <v>157</v>
      </c>
      <c r="CB476" s="1" t="s">
        <v>104</v>
      </c>
      <c r="CC476" s="1" t="s">
        <v>157</v>
      </c>
      <c r="CD476" s="1" t="s">
        <v>104</v>
      </c>
      <c r="CE476" s="4"/>
      <c r="CF476" s="4"/>
    </row>
    <row r="477" hidden="1">
      <c r="A477" s="1" t="s">
        <v>82</v>
      </c>
      <c r="B477" s="1" t="s">
        <v>304</v>
      </c>
      <c r="C477" s="1">
        <v>10.0</v>
      </c>
      <c r="D477" s="5" t="s">
        <v>2132</v>
      </c>
      <c r="E477" s="1" t="s">
        <v>2133</v>
      </c>
      <c r="F477" s="1">
        <v>46.0</v>
      </c>
      <c r="G477" s="1">
        <v>0.7351</v>
      </c>
      <c r="H477" s="1" t="s">
        <v>2134</v>
      </c>
      <c r="I477" s="4" t="b">
        <f>IFERROR(__xludf.DUMMYFUNCTION("IF(H477="""",,REGEXMATCH(H477,""[א-ת]""))"),FALSE)</f>
        <v>0</v>
      </c>
      <c r="J477" s="4"/>
      <c r="K477" s="4"/>
      <c r="L477" s="1">
        <v>0.0</v>
      </c>
      <c r="M477" s="1">
        <v>28.07</v>
      </c>
      <c r="N477" s="1">
        <v>63.04</v>
      </c>
      <c r="O477" s="1">
        <v>1.370434783</v>
      </c>
      <c r="P477" s="4"/>
      <c r="Q477" s="4"/>
      <c r="R477" s="1" t="s">
        <v>89</v>
      </c>
      <c r="S477" s="1" t="s">
        <v>2133</v>
      </c>
      <c r="T477" s="1" t="s">
        <v>304</v>
      </c>
      <c r="U477" s="1">
        <v>11.0</v>
      </c>
      <c r="V477" s="5" t="s">
        <v>2132</v>
      </c>
      <c r="W477" s="1" t="s">
        <v>2133</v>
      </c>
      <c r="X477" s="1" t="s">
        <v>2135</v>
      </c>
      <c r="Y477" s="4"/>
      <c r="Z477" s="4"/>
      <c r="AA477" s="4" t="b">
        <f>IFERROR(__xludf.DUMMYFUNCTION("IF(X477="""",,REGEXMATCH(X477,""[א-ת]""))"),FALSE)</f>
        <v>0</v>
      </c>
      <c r="AB477" s="1">
        <v>16.21</v>
      </c>
      <c r="AC477" s="1">
        <v>63.04</v>
      </c>
      <c r="AD477" s="1">
        <v>0.406165245063139</v>
      </c>
      <c r="AE477" s="1">
        <v>0.0</v>
      </c>
      <c r="AF477" s="1">
        <v>0.7351</v>
      </c>
      <c r="AG477" s="1">
        <v>6.337</v>
      </c>
      <c r="AH477" s="1">
        <v>6.781</v>
      </c>
      <c r="AI477" s="1" t="b">
        <v>0</v>
      </c>
      <c r="AJ477" s="1" t="b">
        <v>0</v>
      </c>
      <c r="AK477" s="1">
        <v>94.182</v>
      </c>
      <c r="AL477" s="1">
        <v>96.508</v>
      </c>
      <c r="AM477" s="1" t="b">
        <v>0</v>
      </c>
      <c r="AN477" s="1" t="b">
        <v>0</v>
      </c>
      <c r="AO477" s="1">
        <v>8.05</v>
      </c>
      <c r="AP477" s="1">
        <v>8.53399999999999</v>
      </c>
      <c r="AQ477" s="1" t="b">
        <v>0</v>
      </c>
      <c r="AR477" s="1" t="b">
        <v>0</v>
      </c>
      <c r="AS477" s="1">
        <v>86.9179999999999</v>
      </c>
      <c r="AT477" s="1">
        <v>87.152</v>
      </c>
      <c r="AU477" s="1" t="b">
        <v>0</v>
      </c>
      <c r="AV477" s="1" t="b">
        <v>0</v>
      </c>
      <c r="AW477" s="1">
        <v>9.61399999999999</v>
      </c>
      <c r="AX477" s="1">
        <v>11.026</v>
      </c>
      <c r="AY477" s="1" t="b">
        <v>0</v>
      </c>
      <c r="AZ477" s="1" t="b">
        <v>0</v>
      </c>
      <c r="BA477" s="1">
        <v>81.25</v>
      </c>
      <c r="BB477" s="1">
        <v>77.78</v>
      </c>
      <c r="BC477" s="1" t="b">
        <v>0</v>
      </c>
      <c r="BD477" s="1" t="b">
        <v>0</v>
      </c>
      <c r="BE477" s="1">
        <v>11.34</v>
      </c>
      <c r="BF477" s="1">
        <v>13.285</v>
      </c>
      <c r="BG477" s="1" t="b">
        <v>0</v>
      </c>
      <c r="BH477" s="1" t="b">
        <v>0</v>
      </c>
      <c r="BI477" s="1">
        <v>77.78</v>
      </c>
      <c r="BJ477" s="1">
        <v>75.0</v>
      </c>
      <c r="BK477" s="1" t="b">
        <v>0</v>
      </c>
      <c r="BL477" s="1" t="b">
        <v>0</v>
      </c>
      <c r="BM477" s="1">
        <v>13.121</v>
      </c>
      <c r="BN477" s="1">
        <v>14.568</v>
      </c>
      <c r="BO477" s="1" t="b">
        <v>0</v>
      </c>
      <c r="BP477" s="1" t="b">
        <v>0</v>
      </c>
      <c r="BQ477" s="1">
        <v>75.0</v>
      </c>
      <c r="BR477" s="1">
        <v>72.027</v>
      </c>
      <c r="BS477" s="1" t="b">
        <v>0</v>
      </c>
      <c r="BT477" s="1" t="b">
        <v>0</v>
      </c>
      <c r="BU477" s="1" t="s">
        <v>105</v>
      </c>
      <c r="BV477" s="1" t="s">
        <v>105</v>
      </c>
      <c r="BW477" s="1" t="s">
        <v>105</v>
      </c>
      <c r="BX477" s="1" t="s">
        <v>105</v>
      </c>
      <c r="BY477" s="1" t="s">
        <v>105</v>
      </c>
      <c r="BZ477" s="1" t="s">
        <v>105</v>
      </c>
      <c r="CA477" s="1" t="s">
        <v>105</v>
      </c>
      <c r="CB477" s="1" t="s">
        <v>105</v>
      </c>
      <c r="CC477" s="1" t="s">
        <v>105</v>
      </c>
      <c r="CD477" s="1" t="s">
        <v>105</v>
      </c>
      <c r="CE477" s="4"/>
      <c r="CF477" s="4"/>
    </row>
    <row r="478" hidden="1">
      <c r="A478" s="1" t="s">
        <v>82</v>
      </c>
      <c r="B478" s="1" t="s">
        <v>427</v>
      </c>
      <c r="C478" s="1">
        <v>5.0</v>
      </c>
      <c r="D478" s="5" t="s">
        <v>2136</v>
      </c>
      <c r="E478" s="1" t="s">
        <v>2137</v>
      </c>
      <c r="F478" s="1">
        <v>81.0</v>
      </c>
      <c r="G478" s="1">
        <v>0.1154</v>
      </c>
      <c r="H478" s="1" t="s">
        <v>2138</v>
      </c>
      <c r="I478" s="4" t="b">
        <f>IFERROR(__xludf.DUMMYFUNCTION("IF(H478="""",,REGEXMATCH(H478,""[א-ת]""))"),FALSE)</f>
        <v>0</v>
      </c>
      <c r="J478" s="4"/>
      <c r="K478" s="4"/>
      <c r="L478" s="1">
        <v>-0.4515</v>
      </c>
      <c r="M478" s="1">
        <v>28.26</v>
      </c>
      <c r="N478" s="1">
        <v>65.43</v>
      </c>
      <c r="O478" s="1">
        <v>0.8077777778</v>
      </c>
      <c r="P478" s="4"/>
      <c r="Q478" s="4"/>
      <c r="R478" s="1" t="s">
        <v>96</v>
      </c>
      <c r="S478" s="1" t="s">
        <v>2137</v>
      </c>
      <c r="T478" s="1" t="s">
        <v>427</v>
      </c>
      <c r="U478" s="1">
        <v>6.0</v>
      </c>
      <c r="V478" s="5" t="s">
        <v>2136</v>
      </c>
      <c r="W478" s="1" t="s">
        <v>2137</v>
      </c>
      <c r="X478" s="1" t="s">
        <v>2139</v>
      </c>
      <c r="Y478" s="4"/>
      <c r="Z478" s="4"/>
      <c r="AA478" s="4" t="b">
        <f>IFERROR(__xludf.DUMMYFUNCTION("IF(X478="""",,REGEXMATCH(X478,""[א-ת]""))"),TRUE)</f>
        <v>1</v>
      </c>
      <c r="AB478" s="1">
        <v>35.71</v>
      </c>
      <c r="AC478" s="1">
        <v>50.62</v>
      </c>
      <c r="AD478" s="1">
        <v>0.611311686720363</v>
      </c>
      <c r="AE478" s="1">
        <v>-0.4003</v>
      </c>
      <c r="AF478" s="1">
        <v>0.1154</v>
      </c>
      <c r="AG478" s="1">
        <v>6.337</v>
      </c>
      <c r="AH478" s="1">
        <v>6.781</v>
      </c>
      <c r="AI478" s="1" t="b">
        <v>0</v>
      </c>
      <c r="AJ478" s="1" t="b">
        <v>0</v>
      </c>
      <c r="AK478" s="1">
        <v>94.182</v>
      </c>
      <c r="AL478" s="1">
        <v>96.508</v>
      </c>
      <c r="AM478" s="1" t="b">
        <v>0</v>
      </c>
      <c r="AN478" s="1" t="b">
        <v>0</v>
      </c>
      <c r="AO478" s="1">
        <v>8.05</v>
      </c>
      <c r="AP478" s="1">
        <v>8.53399999999999</v>
      </c>
      <c r="AQ478" s="1" t="b">
        <v>0</v>
      </c>
      <c r="AR478" s="1" t="b">
        <v>0</v>
      </c>
      <c r="AS478" s="1">
        <v>86.9179999999999</v>
      </c>
      <c r="AT478" s="1">
        <v>87.152</v>
      </c>
      <c r="AU478" s="1" t="b">
        <v>0</v>
      </c>
      <c r="AV478" s="1" t="b">
        <v>0</v>
      </c>
      <c r="AW478" s="1">
        <v>9.61399999999999</v>
      </c>
      <c r="AX478" s="1">
        <v>11.026</v>
      </c>
      <c r="AY478" s="1" t="b">
        <v>0</v>
      </c>
      <c r="AZ478" s="1" t="b">
        <v>0</v>
      </c>
      <c r="BA478" s="1">
        <v>81.25</v>
      </c>
      <c r="BB478" s="1">
        <v>77.78</v>
      </c>
      <c r="BC478" s="1" t="b">
        <v>0</v>
      </c>
      <c r="BD478" s="1" t="b">
        <v>0</v>
      </c>
      <c r="BE478" s="1">
        <v>11.34</v>
      </c>
      <c r="BF478" s="1">
        <v>13.285</v>
      </c>
      <c r="BG478" s="1" t="b">
        <v>0</v>
      </c>
      <c r="BH478" s="1" t="b">
        <v>0</v>
      </c>
      <c r="BI478" s="1">
        <v>77.78</v>
      </c>
      <c r="BJ478" s="1">
        <v>75.0</v>
      </c>
      <c r="BK478" s="1" t="b">
        <v>0</v>
      </c>
      <c r="BL478" s="1" t="b">
        <v>0</v>
      </c>
      <c r="BM478" s="1">
        <v>13.121</v>
      </c>
      <c r="BN478" s="1">
        <v>14.568</v>
      </c>
      <c r="BO478" s="1" t="b">
        <v>0</v>
      </c>
      <c r="BP478" s="1" t="b">
        <v>0</v>
      </c>
      <c r="BQ478" s="1">
        <v>75.0</v>
      </c>
      <c r="BR478" s="1">
        <v>72.027</v>
      </c>
      <c r="BS478" s="1" t="b">
        <v>0</v>
      </c>
      <c r="BT478" s="1" t="b">
        <v>0</v>
      </c>
      <c r="BU478" s="1" t="s">
        <v>105</v>
      </c>
      <c r="BV478" s="1" t="s">
        <v>105</v>
      </c>
      <c r="BW478" s="1" t="s">
        <v>105</v>
      </c>
      <c r="BX478" s="1" t="s">
        <v>105</v>
      </c>
      <c r="BY478" s="1" t="s">
        <v>105</v>
      </c>
      <c r="BZ478" s="1" t="s">
        <v>105</v>
      </c>
      <c r="CA478" s="1" t="s">
        <v>105</v>
      </c>
      <c r="CB478" s="1" t="s">
        <v>105</v>
      </c>
      <c r="CC478" s="1" t="s">
        <v>105</v>
      </c>
      <c r="CD478" s="1" t="s">
        <v>105</v>
      </c>
      <c r="CE478" s="4"/>
      <c r="CF478" s="4"/>
    </row>
    <row r="479">
      <c r="A479" s="1" t="s">
        <v>82</v>
      </c>
      <c r="B479" s="1" t="s">
        <v>167</v>
      </c>
      <c r="C479" s="1">
        <v>20.0</v>
      </c>
      <c r="D479" s="5" t="s">
        <v>2140</v>
      </c>
      <c r="E479" s="1" t="s">
        <v>2141</v>
      </c>
      <c r="F479" s="1">
        <v>16.0</v>
      </c>
      <c r="G479" s="1">
        <v>0.0772</v>
      </c>
      <c r="H479" s="1" t="s">
        <v>2142</v>
      </c>
      <c r="I479" s="4" t="b">
        <f>IFERROR(__xludf.DUMMYFUNCTION("IF(H479="""",,REGEXMATCH(H479,""[א-ת]""))"),FALSE)</f>
        <v>0</v>
      </c>
      <c r="J479" s="4"/>
      <c r="K479" s="4"/>
      <c r="L479" s="1">
        <v>0.0</v>
      </c>
      <c r="M479" s="1">
        <v>28.33</v>
      </c>
      <c r="N479" s="1">
        <v>68.75</v>
      </c>
      <c r="O479" s="1">
        <v>4.296875</v>
      </c>
      <c r="P479" s="4"/>
      <c r="Q479" s="4"/>
      <c r="R479" s="1" t="s">
        <v>127</v>
      </c>
      <c r="S479" s="1" t="s">
        <v>2141</v>
      </c>
      <c r="T479" s="1" t="s">
        <v>167</v>
      </c>
      <c r="U479" s="1">
        <v>21.0</v>
      </c>
      <c r="V479" s="5" t="s">
        <v>2140</v>
      </c>
      <c r="W479" s="1" t="s">
        <v>2141</v>
      </c>
      <c r="X479" s="1" t="s">
        <v>2143</v>
      </c>
      <c r="Y479" s="1" t="s">
        <v>229</v>
      </c>
      <c r="Z479" s="1" t="s">
        <v>2144</v>
      </c>
      <c r="AA479" s="4" t="b">
        <f>IFERROR(__xludf.DUMMYFUNCTION("IF(X479="""",,REGEXMATCH(X479,""[א-ת]""))"),FALSE)</f>
        <v>0</v>
      </c>
      <c r="AB479" s="1">
        <v>6.64</v>
      </c>
      <c r="AC479" s="1">
        <v>68.75</v>
      </c>
      <c r="AD479" s="1">
        <v>0.465482552169183</v>
      </c>
      <c r="AE479" s="1">
        <v>0.0</v>
      </c>
      <c r="AF479" s="1">
        <v>0.0772</v>
      </c>
      <c r="AG479" s="1">
        <v>6.337</v>
      </c>
      <c r="AH479" s="1">
        <v>6.781</v>
      </c>
      <c r="AI479" s="1" t="b">
        <v>0</v>
      </c>
      <c r="AJ479" s="1" t="b">
        <v>1</v>
      </c>
      <c r="AK479" s="1">
        <v>94.182</v>
      </c>
      <c r="AL479" s="1">
        <v>96.508</v>
      </c>
      <c r="AM479" s="1" t="b">
        <v>0</v>
      </c>
      <c r="AN479" s="1" t="b">
        <v>0</v>
      </c>
      <c r="AO479" s="1">
        <v>8.05</v>
      </c>
      <c r="AP479" s="1">
        <v>8.53399999999999</v>
      </c>
      <c r="AQ479" s="1" t="b">
        <v>0</v>
      </c>
      <c r="AR479" s="1" t="b">
        <v>1</v>
      </c>
      <c r="AS479" s="1">
        <v>86.9179999999999</v>
      </c>
      <c r="AT479" s="1">
        <v>87.152</v>
      </c>
      <c r="AU479" s="1" t="b">
        <v>0</v>
      </c>
      <c r="AV479" s="1" t="b">
        <v>0</v>
      </c>
      <c r="AW479" s="1">
        <v>9.61399999999999</v>
      </c>
      <c r="AX479" s="1">
        <v>11.026</v>
      </c>
      <c r="AY479" s="1" t="b">
        <v>0</v>
      </c>
      <c r="AZ479" s="1" t="b">
        <v>1</v>
      </c>
      <c r="BA479" s="1">
        <v>81.25</v>
      </c>
      <c r="BB479" s="1">
        <v>77.78</v>
      </c>
      <c r="BC479" s="1" t="b">
        <v>0</v>
      </c>
      <c r="BD479" s="1" t="b">
        <v>0</v>
      </c>
      <c r="BE479" s="1">
        <v>11.34</v>
      </c>
      <c r="BF479" s="1">
        <v>13.285</v>
      </c>
      <c r="BG479" s="1" t="b">
        <v>0</v>
      </c>
      <c r="BH479" s="1" t="b">
        <v>1</v>
      </c>
      <c r="BI479" s="1">
        <v>77.78</v>
      </c>
      <c r="BJ479" s="1">
        <v>75.0</v>
      </c>
      <c r="BK479" s="1" t="b">
        <v>0</v>
      </c>
      <c r="BL479" s="1" t="b">
        <v>0</v>
      </c>
      <c r="BM479" s="1">
        <v>13.121</v>
      </c>
      <c r="BN479" s="1">
        <v>14.568</v>
      </c>
      <c r="BO479" s="1" t="b">
        <v>0</v>
      </c>
      <c r="BP479" s="1" t="b">
        <v>1</v>
      </c>
      <c r="BQ479" s="1">
        <v>75.0</v>
      </c>
      <c r="BR479" s="1">
        <v>72.027</v>
      </c>
      <c r="BS479" s="1" t="b">
        <v>0</v>
      </c>
      <c r="BT479" s="1" t="b">
        <v>0</v>
      </c>
      <c r="BU479" s="1" t="s">
        <v>157</v>
      </c>
      <c r="BV479" s="1" t="s">
        <v>105</v>
      </c>
      <c r="BW479" s="1" t="s">
        <v>157</v>
      </c>
      <c r="BX479" s="1" t="s">
        <v>105</v>
      </c>
      <c r="BY479" s="1" t="s">
        <v>157</v>
      </c>
      <c r="BZ479" s="1" t="s">
        <v>105</v>
      </c>
      <c r="CA479" s="1" t="s">
        <v>157</v>
      </c>
      <c r="CB479" s="1" t="s">
        <v>105</v>
      </c>
      <c r="CC479" s="1" t="s">
        <v>157</v>
      </c>
      <c r="CD479" s="1" t="s">
        <v>105</v>
      </c>
      <c r="CE479" s="4"/>
      <c r="CF479" s="4"/>
    </row>
    <row r="480">
      <c r="A480" s="1" t="s">
        <v>82</v>
      </c>
      <c r="B480" s="1" t="s">
        <v>92</v>
      </c>
      <c r="C480" s="1">
        <v>43.0</v>
      </c>
      <c r="D480" s="5" t="s">
        <v>2145</v>
      </c>
      <c r="E480" s="1" t="s">
        <v>2146</v>
      </c>
      <c r="F480" s="1">
        <v>47.0</v>
      </c>
      <c r="G480" s="1">
        <v>0.0</v>
      </c>
      <c r="H480" s="1" t="s">
        <v>2147</v>
      </c>
      <c r="I480" s="4" t="b">
        <f>IFERROR(__xludf.DUMMYFUNCTION("IF(H480="""",,REGEXMATCH(H480,""[א-ת]""))"),FALSE)</f>
        <v>0</v>
      </c>
      <c r="J480" s="4"/>
      <c r="K480" s="4"/>
      <c r="L480" s="1">
        <v>0.0</v>
      </c>
      <c r="M480" s="1">
        <v>28.34</v>
      </c>
      <c r="N480" s="1">
        <v>51.06</v>
      </c>
      <c r="O480" s="1">
        <v>1.086382979</v>
      </c>
      <c r="P480" s="4"/>
      <c r="Q480" s="4"/>
      <c r="R480" s="1" t="s">
        <v>96</v>
      </c>
      <c r="S480" s="1" t="s">
        <v>2146</v>
      </c>
      <c r="T480" s="1" t="s">
        <v>92</v>
      </c>
      <c r="U480" s="1">
        <v>44.0</v>
      </c>
      <c r="V480" s="5" t="s">
        <v>2145</v>
      </c>
      <c r="W480" s="1" t="s">
        <v>2146</v>
      </c>
      <c r="X480" s="1" t="s">
        <v>2148</v>
      </c>
      <c r="Y480" s="1" t="s">
        <v>870</v>
      </c>
      <c r="Z480" s="4"/>
      <c r="AA480" s="4" t="b">
        <f>IFERROR(__xludf.DUMMYFUNCTION("IF(X480="""",,REGEXMATCH(X480,""[א-ת]""))"),FALSE)</f>
        <v>0</v>
      </c>
      <c r="AB480" s="1">
        <v>4.07</v>
      </c>
      <c r="AC480" s="1">
        <v>80.85</v>
      </c>
      <c r="AD480" s="1">
        <v>0.128587228247387</v>
      </c>
      <c r="AE480" s="1">
        <v>0.0</v>
      </c>
      <c r="AF480" s="1">
        <v>0.0</v>
      </c>
      <c r="AG480" s="1">
        <v>6.337</v>
      </c>
      <c r="AH480" s="1">
        <v>6.781</v>
      </c>
      <c r="AI480" s="1" t="b">
        <v>0</v>
      </c>
      <c r="AJ480" s="1" t="b">
        <v>1</v>
      </c>
      <c r="AK480" s="1">
        <v>94.182</v>
      </c>
      <c r="AL480" s="1">
        <v>96.508</v>
      </c>
      <c r="AM480" s="1" t="b">
        <v>0</v>
      </c>
      <c r="AN480" s="1" t="b">
        <v>0</v>
      </c>
      <c r="AO480" s="1">
        <v>8.05</v>
      </c>
      <c r="AP480" s="1">
        <v>8.53399999999999</v>
      </c>
      <c r="AQ480" s="1" t="b">
        <v>0</v>
      </c>
      <c r="AR480" s="1" t="b">
        <v>1</v>
      </c>
      <c r="AS480" s="1">
        <v>86.9179999999999</v>
      </c>
      <c r="AT480" s="1">
        <v>87.152</v>
      </c>
      <c r="AU480" s="1" t="b">
        <v>0</v>
      </c>
      <c r="AV480" s="1" t="b">
        <v>0</v>
      </c>
      <c r="AW480" s="1">
        <v>9.61399999999999</v>
      </c>
      <c r="AX480" s="1">
        <v>11.026</v>
      </c>
      <c r="AY480" s="1" t="b">
        <v>0</v>
      </c>
      <c r="AZ480" s="1" t="b">
        <v>1</v>
      </c>
      <c r="BA480" s="1">
        <v>81.25</v>
      </c>
      <c r="BB480" s="1">
        <v>77.78</v>
      </c>
      <c r="BC480" s="1" t="b">
        <v>0</v>
      </c>
      <c r="BD480" s="1" t="b">
        <v>1</v>
      </c>
      <c r="BE480" s="1">
        <v>11.34</v>
      </c>
      <c r="BF480" s="1">
        <v>13.285</v>
      </c>
      <c r="BG480" s="1" t="b">
        <v>0</v>
      </c>
      <c r="BH480" s="1" t="b">
        <v>1</v>
      </c>
      <c r="BI480" s="1">
        <v>77.78</v>
      </c>
      <c r="BJ480" s="1">
        <v>75.0</v>
      </c>
      <c r="BK480" s="1" t="b">
        <v>0</v>
      </c>
      <c r="BL480" s="1" t="b">
        <v>1</v>
      </c>
      <c r="BM480" s="1">
        <v>13.121</v>
      </c>
      <c r="BN480" s="1">
        <v>14.568</v>
      </c>
      <c r="BO480" s="1" t="b">
        <v>0</v>
      </c>
      <c r="BP480" s="1" t="b">
        <v>1</v>
      </c>
      <c r="BQ480" s="1">
        <v>75.0</v>
      </c>
      <c r="BR480" s="1">
        <v>72.027</v>
      </c>
      <c r="BS480" s="1" t="b">
        <v>0</v>
      </c>
      <c r="BT480" s="1" t="b">
        <v>1</v>
      </c>
      <c r="BU480" s="1" t="s">
        <v>157</v>
      </c>
      <c r="BV480" s="1" t="s">
        <v>105</v>
      </c>
      <c r="BW480" s="1" t="s">
        <v>157</v>
      </c>
      <c r="BX480" s="1" t="s">
        <v>105</v>
      </c>
      <c r="BY480" s="1" t="s">
        <v>157</v>
      </c>
      <c r="BZ480" s="1" t="s">
        <v>157</v>
      </c>
      <c r="CA480" s="1" t="s">
        <v>157</v>
      </c>
      <c r="CB480" s="1" t="s">
        <v>157</v>
      </c>
      <c r="CC480" s="1" t="s">
        <v>157</v>
      </c>
      <c r="CD480" s="1" t="s">
        <v>157</v>
      </c>
      <c r="CE480" s="4"/>
      <c r="CF480" s="4"/>
    </row>
    <row r="481" hidden="1">
      <c r="A481" s="1" t="s">
        <v>82</v>
      </c>
      <c r="B481" s="1" t="s">
        <v>92</v>
      </c>
      <c r="C481" s="1">
        <v>11.0</v>
      </c>
      <c r="D481" s="5" t="s">
        <v>2149</v>
      </c>
      <c r="E481" s="1" t="s">
        <v>2150</v>
      </c>
      <c r="F481" s="1">
        <v>18.0</v>
      </c>
      <c r="G481" s="1">
        <v>0.0</v>
      </c>
      <c r="H481" s="1" t="s">
        <v>2151</v>
      </c>
      <c r="I481" s="4" t="b">
        <f>IFERROR(__xludf.DUMMYFUNCTION("IF(H481="""",,REGEXMATCH(H481,""[א-ת]""))"),FALSE)</f>
        <v>0</v>
      </c>
      <c r="J481" s="4"/>
      <c r="K481" s="4"/>
      <c r="L481" s="1">
        <v>0.0</v>
      </c>
      <c r="M481" s="1">
        <v>28.46</v>
      </c>
      <c r="N481" s="1">
        <v>44.44</v>
      </c>
      <c r="O481" s="1">
        <v>2.468888889</v>
      </c>
      <c r="P481" s="4"/>
      <c r="Q481" s="4"/>
      <c r="R481" s="1" t="s">
        <v>96</v>
      </c>
      <c r="S481" s="1" t="s">
        <v>2150</v>
      </c>
      <c r="T481" s="1" t="s">
        <v>92</v>
      </c>
      <c r="U481" s="1">
        <v>12.0</v>
      </c>
      <c r="V481" s="5" t="s">
        <v>2149</v>
      </c>
      <c r="W481" s="1" t="s">
        <v>2150</v>
      </c>
      <c r="X481" s="5" t="s">
        <v>2152</v>
      </c>
      <c r="Y481" s="4"/>
      <c r="Z481" s="4"/>
      <c r="AA481" s="4" t="b">
        <f>IFERROR(__xludf.DUMMYFUNCTION("IF(X481="""",,REGEXMATCH(X481,""[א-ת]""))"),TRUE)</f>
        <v>1</v>
      </c>
      <c r="AB481" s="1">
        <v>17.93</v>
      </c>
      <c r="AC481" s="1">
        <v>111.11</v>
      </c>
      <c r="AD481" s="1">
        <v>0.553256936086533</v>
      </c>
      <c r="AE481" s="1">
        <v>0.0</v>
      </c>
      <c r="AF481" s="1">
        <v>0.0</v>
      </c>
      <c r="AG481" s="1">
        <v>6.337</v>
      </c>
      <c r="AH481" s="1">
        <v>6.781</v>
      </c>
      <c r="AI481" s="1" t="b">
        <v>0</v>
      </c>
      <c r="AJ481" s="1" t="b">
        <v>0</v>
      </c>
      <c r="AK481" s="1">
        <v>94.182</v>
      </c>
      <c r="AL481" s="1">
        <v>96.508</v>
      </c>
      <c r="AM481" s="1" t="b">
        <v>0</v>
      </c>
      <c r="AN481" s="1" t="b">
        <v>1</v>
      </c>
      <c r="AO481" s="1">
        <v>8.05</v>
      </c>
      <c r="AP481" s="1">
        <v>8.53399999999999</v>
      </c>
      <c r="AQ481" s="1" t="b">
        <v>0</v>
      </c>
      <c r="AR481" s="1" t="b">
        <v>0</v>
      </c>
      <c r="AS481" s="1">
        <v>86.9179999999999</v>
      </c>
      <c r="AT481" s="1">
        <v>87.152</v>
      </c>
      <c r="AU481" s="1" t="b">
        <v>0</v>
      </c>
      <c r="AV481" s="1" t="b">
        <v>1</v>
      </c>
      <c r="AW481" s="1">
        <v>9.61399999999999</v>
      </c>
      <c r="AX481" s="1">
        <v>11.026</v>
      </c>
      <c r="AY481" s="1" t="b">
        <v>0</v>
      </c>
      <c r="AZ481" s="1" t="b">
        <v>0</v>
      </c>
      <c r="BA481" s="1">
        <v>81.25</v>
      </c>
      <c r="BB481" s="1">
        <v>77.78</v>
      </c>
      <c r="BC481" s="1" t="b">
        <v>0</v>
      </c>
      <c r="BD481" s="1" t="b">
        <v>1</v>
      </c>
      <c r="BE481" s="1">
        <v>11.34</v>
      </c>
      <c r="BF481" s="1">
        <v>13.285</v>
      </c>
      <c r="BG481" s="1" t="b">
        <v>0</v>
      </c>
      <c r="BH481" s="1" t="b">
        <v>0</v>
      </c>
      <c r="BI481" s="1">
        <v>77.78</v>
      </c>
      <c r="BJ481" s="1">
        <v>75.0</v>
      </c>
      <c r="BK481" s="1" t="b">
        <v>0</v>
      </c>
      <c r="BL481" s="1" t="b">
        <v>1</v>
      </c>
      <c r="BM481" s="1">
        <v>13.121</v>
      </c>
      <c r="BN481" s="1">
        <v>14.568</v>
      </c>
      <c r="BO481" s="1" t="b">
        <v>0</v>
      </c>
      <c r="BP481" s="1" t="b">
        <v>0</v>
      </c>
      <c r="BQ481" s="1">
        <v>75.0</v>
      </c>
      <c r="BR481" s="1">
        <v>72.027</v>
      </c>
      <c r="BS481" s="1" t="b">
        <v>0</v>
      </c>
      <c r="BT481" s="1" t="b">
        <v>1</v>
      </c>
      <c r="BU481" s="1" t="s">
        <v>105</v>
      </c>
      <c r="BV481" s="1" t="s">
        <v>157</v>
      </c>
      <c r="BW481" s="1" t="s">
        <v>105</v>
      </c>
      <c r="BX481" s="1" t="s">
        <v>157</v>
      </c>
      <c r="BY481" s="1" t="s">
        <v>105</v>
      </c>
      <c r="BZ481" s="1" t="s">
        <v>157</v>
      </c>
      <c r="CA481" s="1" t="s">
        <v>105</v>
      </c>
      <c r="CB481" s="1" t="s">
        <v>157</v>
      </c>
      <c r="CC481" s="1" t="s">
        <v>105</v>
      </c>
      <c r="CD481" s="1" t="s">
        <v>157</v>
      </c>
      <c r="CE481" s="4"/>
      <c r="CF481" s="4"/>
    </row>
    <row r="482" hidden="1">
      <c r="A482" s="1" t="s">
        <v>82</v>
      </c>
      <c r="B482" s="1" t="s">
        <v>197</v>
      </c>
      <c r="C482" s="1">
        <v>17.0</v>
      </c>
      <c r="D482" s="5" t="s">
        <v>2153</v>
      </c>
      <c r="E482" s="1" t="s">
        <v>2154</v>
      </c>
      <c r="F482" s="1">
        <v>28.0</v>
      </c>
      <c r="G482" s="1">
        <v>0.5267</v>
      </c>
      <c r="H482" s="1" t="s">
        <v>2155</v>
      </c>
      <c r="I482" s="4" t="b">
        <f>IFERROR(__xludf.DUMMYFUNCTION("IF(H482="""",,REGEXMATCH(H482,""[א-ת]""))"),FALSE)</f>
        <v>0</v>
      </c>
      <c r="J482" s="4"/>
      <c r="K482" s="4"/>
      <c r="L482" s="1">
        <v>0.5423</v>
      </c>
      <c r="M482" s="1">
        <v>28.69</v>
      </c>
      <c r="N482" s="1">
        <v>60.71</v>
      </c>
      <c r="O482" s="1">
        <v>2.168214286</v>
      </c>
      <c r="P482" s="4"/>
      <c r="Q482" s="4"/>
      <c r="R482" s="1" t="s">
        <v>89</v>
      </c>
      <c r="S482" s="1" t="s">
        <v>2154</v>
      </c>
      <c r="T482" s="1" t="s">
        <v>197</v>
      </c>
      <c r="U482" s="1">
        <v>18.0</v>
      </c>
      <c r="V482" s="5" t="s">
        <v>2153</v>
      </c>
      <c r="W482" s="1" t="s">
        <v>2154</v>
      </c>
      <c r="X482" s="1" t="s">
        <v>2156</v>
      </c>
      <c r="Y482" s="4"/>
      <c r="Z482" s="4"/>
      <c r="AA482" s="4" t="b">
        <f>IFERROR(__xludf.DUMMYFUNCTION("IF(X482="""",,REGEXMATCH(X482,""[א-ת]""))"),TRUE)</f>
        <v>1</v>
      </c>
      <c r="AB482" s="1">
        <v>18.07</v>
      </c>
      <c r="AC482" s="1">
        <v>103.57</v>
      </c>
      <c r="AD482" s="1">
        <v>0.501325158630025</v>
      </c>
      <c r="AE482" s="1">
        <v>0.3818</v>
      </c>
      <c r="AF482" s="1">
        <v>0.5267</v>
      </c>
      <c r="AG482" s="1">
        <v>6.337</v>
      </c>
      <c r="AH482" s="1">
        <v>6.781</v>
      </c>
      <c r="AI482" s="1" t="b">
        <v>0</v>
      </c>
      <c r="AJ482" s="1" t="b">
        <v>0</v>
      </c>
      <c r="AK482" s="1">
        <v>94.182</v>
      </c>
      <c r="AL482" s="1">
        <v>96.508</v>
      </c>
      <c r="AM482" s="1" t="b">
        <v>0</v>
      </c>
      <c r="AN482" s="1" t="b">
        <v>1</v>
      </c>
      <c r="AO482" s="1">
        <v>8.05</v>
      </c>
      <c r="AP482" s="1">
        <v>8.53399999999999</v>
      </c>
      <c r="AQ482" s="1" t="b">
        <v>0</v>
      </c>
      <c r="AR482" s="1" t="b">
        <v>0</v>
      </c>
      <c r="AS482" s="1">
        <v>86.9179999999999</v>
      </c>
      <c r="AT482" s="1">
        <v>87.152</v>
      </c>
      <c r="AU482" s="1" t="b">
        <v>0</v>
      </c>
      <c r="AV482" s="1" t="b">
        <v>1</v>
      </c>
      <c r="AW482" s="1">
        <v>9.61399999999999</v>
      </c>
      <c r="AX482" s="1">
        <v>11.026</v>
      </c>
      <c r="AY482" s="1" t="b">
        <v>0</v>
      </c>
      <c r="AZ482" s="1" t="b">
        <v>0</v>
      </c>
      <c r="BA482" s="1">
        <v>81.25</v>
      </c>
      <c r="BB482" s="1">
        <v>77.78</v>
      </c>
      <c r="BC482" s="1" t="b">
        <v>0</v>
      </c>
      <c r="BD482" s="1" t="b">
        <v>1</v>
      </c>
      <c r="BE482" s="1">
        <v>11.34</v>
      </c>
      <c r="BF482" s="1">
        <v>13.285</v>
      </c>
      <c r="BG482" s="1" t="b">
        <v>0</v>
      </c>
      <c r="BH482" s="1" t="b">
        <v>0</v>
      </c>
      <c r="BI482" s="1">
        <v>77.78</v>
      </c>
      <c r="BJ482" s="1">
        <v>75.0</v>
      </c>
      <c r="BK482" s="1" t="b">
        <v>0</v>
      </c>
      <c r="BL482" s="1" t="b">
        <v>1</v>
      </c>
      <c r="BM482" s="1">
        <v>13.121</v>
      </c>
      <c r="BN482" s="1">
        <v>14.568</v>
      </c>
      <c r="BO482" s="1" t="b">
        <v>0</v>
      </c>
      <c r="BP482" s="1" t="b">
        <v>0</v>
      </c>
      <c r="BQ482" s="1">
        <v>75.0</v>
      </c>
      <c r="BR482" s="1">
        <v>72.027</v>
      </c>
      <c r="BS482" s="1" t="b">
        <v>0</v>
      </c>
      <c r="BT482" s="1" t="b">
        <v>1</v>
      </c>
      <c r="BU482" s="1" t="s">
        <v>105</v>
      </c>
      <c r="BV482" s="1" t="s">
        <v>157</v>
      </c>
      <c r="BW482" s="1" t="s">
        <v>105</v>
      </c>
      <c r="BX482" s="1" t="s">
        <v>157</v>
      </c>
      <c r="BY482" s="1" t="s">
        <v>105</v>
      </c>
      <c r="BZ482" s="1" t="s">
        <v>157</v>
      </c>
      <c r="CA482" s="1" t="s">
        <v>105</v>
      </c>
      <c r="CB482" s="1" t="s">
        <v>157</v>
      </c>
      <c r="CC482" s="1" t="s">
        <v>105</v>
      </c>
      <c r="CD482" s="1" t="s">
        <v>157</v>
      </c>
      <c r="CE482" s="4"/>
      <c r="CF482" s="4"/>
    </row>
    <row r="483" hidden="1">
      <c r="A483" s="1" t="s">
        <v>82</v>
      </c>
      <c r="B483" s="1" t="s">
        <v>251</v>
      </c>
      <c r="C483" s="1">
        <v>8.0</v>
      </c>
      <c r="D483" s="5" t="s">
        <v>2157</v>
      </c>
      <c r="E483" s="1" t="s">
        <v>2158</v>
      </c>
      <c r="F483" s="1">
        <v>70.0</v>
      </c>
      <c r="G483" s="1">
        <v>0.1625</v>
      </c>
      <c r="H483" s="1" t="s">
        <v>2159</v>
      </c>
      <c r="I483" s="4" t="b">
        <f>IFERROR(__xludf.DUMMYFUNCTION("IF(H483="""",,REGEXMATCH(H483,""[א-ת]""))"),FALSE)</f>
        <v>0</v>
      </c>
      <c r="J483" s="4"/>
      <c r="K483" s="4"/>
      <c r="L483" s="1">
        <v>0.4215</v>
      </c>
      <c r="M483" s="1">
        <v>28.7</v>
      </c>
      <c r="N483" s="1">
        <v>47.14</v>
      </c>
      <c r="O483" s="1">
        <v>0.6734285714</v>
      </c>
      <c r="P483" s="4"/>
      <c r="Q483" s="4"/>
      <c r="R483" s="1" t="s">
        <v>89</v>
      </c>
      <c r="S483" s="1" t="s">
        <v>2158</v>
      </c>
      <c r="T483" s="1" t="s">
        <v>251</v>
      </c>
      <c r="U483" s="1">
        <v>9.0</v>
      </c>
      <c r="V483" s="5" t="s">
        <v>2157</v>
      </c>
      <c r="W483" s="1" t="s">
        <v>2158</v>
      </c>
      <c r="X483" s="1" t="s">
        <v>2160</v>
      </c>
      <c r="Y483" s="4"/>
      <c r="Z483" s="4"/>
      <c r="AA483" s="4" t="b">
        <f>IFERROR(__xludf.DUMMYFUNCTION("IF(X483="""",,REGEXMATCH(X483,""[א-ת]""))"),FALSE)</f>
        <v>0</v>
      </c>
      <c r="AB483" s="1">
        <v>30.47</v>
      </c>
      <c r="AC483" s="1">
        <v>50.0</v>
      </c>
      <c r="AD483" s="1">
        <v>0.640745974587699</v>
      </c>
      <c r="AE483" s="1">
        <v>-0.5043</v>
      </c>
      <c r="AF483" s="1">
        <v>0.1625</v>
      </c>
      <c r="AG483" s="1">
        <v>6.337</v>
      </c>
      <c r="AH483" s="1">
        <v>6.781</v>
      </c>
      <c r="AI483" s="1" t="b">
        <v>0</v>
      </c>
      <c r="AJ483" s="1" t="b">
        <v>0</v>
      </c>
      <c r="AK483" s="1">
        <v>94.182</v>
      </c>
      <c r="AL483" s="1">
        <v>96.508</v>
      </c>
      <c r="AM483" s="1" t="b">
        <v>0</v>
      </c>
      <c r="AN483" s="1" t="b">
        <v>0</v>
      </c>
      <c r="AO483" s="1">
        <v>8.05</v>
      </c>
      <c r="AP483" s="1">
        <v>8.53399999999999</v>
      </c>
      <c r="AQ483" s="1" t="b">
        <v>0</v>
      </c>
      <c r="AR483" s="1" t="b">
        <v>0</v>
      </c>
      <c r="AS483" s="1">
        <v>86.9179999999999</v>
      </c>
      <c r="AT483" s="1">
        <v>87.152</v>
      </c>
      <c r="AU483" s="1" t="b">
        <v>0</v>
      </c>
      <c r="AV483" s="1" t="b">
        <v>0</v>
      </c>
      <c r="AW483" s="1">
        <v>9.61399999999999</v>
      </c>
      <c r="AX483" s="1">
        <v>11.026</v>
      </c>
      <c r="AY483" s="1" t="b">
        <v>0</v>
      </c>
      <c r="AZ483" s="1" t="b">
        <v>0</v>
      </c>
      <c r="BA483" s="1">
        <v>81.25</v>
      </c>
      <c r="BB483" s="1">
        <v>77.78</v>
      </c>
      <c r="BC483" s="1" t="b">
        <v>0</v>
      </c>
      <c r="BD483" s="1" t="b">
        <v>0</v>
      </c>
      <c r="BE483" s="1">
        <v>11.34</v>
      </c>
      <c r="BF483" s="1">
        <v>13.285</v>
      </c>
      <c r="BG483" s="1" t="b">
        <v>0</v>
      </c>
      <c r="BH483" s="1" t="b">
        <v>0</v>
      </c>
      <c r="BI483" s="1">
        <v>77.78</v>
      </c>
      <c r="BJ483" s="1">
        <v>75.0</v>
      </c>
      <c r="BK483" s="1" t="b">
        <v>0</v>
      </c>
      <c r="BL483" s="1" t="b">
        <v>0</v>
      </c>
      <c r="BM483" s="1">
        <v>13.121</v>
      </c>
      <c r="BN483" s="1">
        <v>14.568</v>
      </c>
      <c r="BO483" s="1" t="b">
        <v>0</v>
      </c>
      <c r="BP483" s="1" t="b">
        <v>0</v>
      </c>
      <c r="BQ483" s="1">
        <v>75.0</v>
      </c>
      <c r="BR483" s="1">
        <v>72.027</v>
      </c>
      <c r="BS483" s="1" t="b">
        <v>0</v>
      </c>
      <c r="BT483" s="1" t="b">
        <v>0</v>
      </c>
      <c r="BU483" s="1" t="s">
        <v>105</v>
      </c>
      <c r="BV483" s="1" t="s">
        <v>105</v>
      </c>
      <c r="BW483" s="1" t="s">
        <v>105</v>
      </c>
      <c r="BX483" s="1" t="s">
        <v>105</v>
      </c>
      <c r="BY483" s="1" t="s">
        <v>105</v>
      </c>
      <c r="BZ483" s="1" t="s">
        <v>105</v>
      </c>
      <c r="CA483" s="1" t="s">
        <v>105</v>
      </c>
      <c r="CB483" s="1" t="s">
        <v>105</v>
      </c>
      <c r="CC483" s="1" t="s">
        <v>105</v>
      </c>
      <c r="CD483" s="1" t="s">
        <v>105</v>
      </c>
      <c r="CE483" s="4"/>
      <c r="CF483" s="4"/>
    </row>
    <row r="484" hidden="1">
      <c r="A484" s="1" t="s">
        <v>82</v>
      </c>
      <c r="B484" s="1" t="s">
        <v>98</v>
      </c>
      <c r="C484" s="1">
        <v>13.0</v>
      </c>
      <c r="D484" s="5" t="s">
        <v>2161</v>
      </c>
      <c r="E484" s="1" t="s">
        <v>2162</v>
      </c>
      <c r="F484" s="1">
        <v>43.0</v>
      </c>
      <c r="G484" s="1">
        <v>0.3612</v>
      </c>
      <c r="H484" s="1" t="s">
        <v>2163</v>
      </c>
      <c r="I484" s="4" t="b">
        <f>IFERROR(__xludf.DUMMYFUNCTION("IF(H484="""",,REGEXMATCH(H484,""[א-ת]""))"),FALSE)</f>
        <v>0</v>
      </c>
      <c r="J484" s="4"/>
      <c r="K484" s="4"/>
      <c r="L484" s="1">
        <v>0.3612</v>
      </c>
      <c r="M484" s="1">
        <v>28.71</v>
      </c>
      <c r="N484" s="1">
        <v>48.84</v>
      </c>
      <c r="O484" s="1">
        <v>1.135813953</v>
      </c>
      <c r="P484" s="4"/>
      <c r="Q484" s="4"/>
      <c r="R484" s="1" t="s">
        <v>89</v>
      </c>
      <c r="S484" s="1" t="s">
        <v>2162</v>
      </c>
      <c r="T484" s="1" t="s">
        <v>98</v>
      </c>
      <c r="U484" s="1">
        <v>14.0</v>
      </c>
      <c r="V484" s="5" t="s">
        <v>2161</v>
      </c>
      <c r="W484" s="1" t="s">
        <v>2162</v>
      </c>
      <c r="X484" s="1" t="s">
        <v>2164</v>
      </c>
      <c r="Y484" s="4"/>
      <c r="Z484" s="4"/>
      <c r="AA484" s="4" t="b">
        <f>IFERROR(__xludf.DUMMYFUNCTION("IF(X484="""",,REGEXMATCH(X484,""[א-ת]""))"),FALSE)</f>
        <v>0</v>
      </c>
      <c r="AB484" s="1">
        <v>38.68</v>
      </c>
      <c r="AC484" s="1">
        <v>32.56</v>
      </c>
      <c r="AD484" s="1">
        <v>0.73528064222282</v>
      </c>
      <c r="AE484" s="1">
        <v>0.3612</v>
      </c>
      <c r="AF484" s="1">
        <v>0.3612</v>
      </c>
      <c r="AG484" s="1">
        <v>6.337</v>
      </c>
      <c r="AH484" s="1">
        <v>6.781</v>
      </c>
      <c r="AI484" s="1" t="b">
        <v>0</v>
      </c>
      <c r="AJ484" s="1" t="b">
        <v>0</v>
      </c>
      <c r="AK484" s="1">
        <v>94.182</v>
      </c>
      <c r="AL484" s="1">
        <v>96.508</v>
      </c>
      <c r="AM484" s="1" t="b">
        <v>0</v>
      </c>
      <c r="AN484" s="1" t="b">
        <v>0</v>
      </c>
      <c r="AO484" s="1">
        <v>8.05</v>
      </c>
      <c r="AP484" s="1">
        <v>8.53399999999999</v>
      </c>
      <c r="AQ484" s="1" t="b">
        <v>0</v>
      </c>
      <c r="AR484" s="1" t="b">
        <v>0</v>
      </c>
      <c r="AS484" s="1">
        <v>86.9179999999999</v>
      </c>
      <c r="AT484" s="1">
        <v>87.152</v>
      </c>
      <c r="AU484" s="1" t="b">
        <v>0</v>
      </c>
      <c r="AV484" s="1" t="b">
        <v>0</v>
      </c>
      <c r="AW484" s="1">
        <v>9.61399999999999</v>
      </c>
      <c r="AX484" s="1">
        <v>11.026</v>
      </c>
      <c r="AY484" s="1" t="b">
        <v>0</v>
      </c>
      <c r="AZ484" s="1" t="b">
        <v>0</v>
      </c>
      <c r="BA484" s="1">
        <v>81.25</v>
      </c>
      <c r="BB484" s="1">
        <v>77.78</v>
      </c>
      <c r="BC484" s="1" t="b">
        <v>0</v>
      </c>
      <c r="BD484" s="1" t="b">
        <v>0</v>
      </c>
      <c r="BE484" s="1">
        <v>11.34</v>
      </c>
      <c r="BF484" s="1">
        <v>13.285</v>
      </c>
      <c r="BG484" s="1" t="b">
        <v>0</v>
      </c>
      <c r="BH484" s="1" t="b">
        <v>0</v>
      </c>
      <c r="BI484" s="1">
        <v>77.78</v>
      </c>
      <c r="BJ484" s="1">
        <v>75.0</v>
      </c>
      <c r="BK484" s="1" t="b">
        <v>0</v>
      </c>
      <c r="BL484" s="1" t="b">
        <v>0</v>
      </c>
      <c r="BM484" s="1">
        <v>13.121</v>
      </c>
      <c r="BN484" s="1">
        <v>14.568</v>
      </c>
      <c r="BO484" s="1" t="b">
        <v>0</v>
      </c>
      <c r="BP484" s="1" t="b">
        <v>0</v>
      </c>
      <c r="BQ484" s="1">
        <v>75.0</v>
      </c>
      <c r="BR484" s="1">
        <v>72.027</v>
      </c>
      <c r="BS484" s="1" t="b">
        <v>0</v>
      </c>
      <c r="BT484" s="1" t="b">
        <v>0</v>
      </c>
      <c r="BU484" s="1" t="s">
        <v>105</v>
      </c>
      <c r="BV484" s="1" t="s">
        <v>105</v>
      </c>
      <c r="BW484" s="1" t="s">
        <v>105</v>
      </c>
      <c r="BX484" s="1" t="s">
        <v>105</v>
      </c>
      <c r="BY484" s="1" t="s">
        <v>105</v>
      </c>
      <c r="BZ484" s="1" t="s">
        <v>105</v>
      </c>
      <c r="CA484" s="1" t="s">
        <v>105</v>
      </c>
      <c r="CB484" s="1" t="s">
        <v>105</v>
      </c>
      <c r="CC484" s="1" t="s">
        <v>105</v>
      </c>
      <c r="CD484" s="1" t="s">
        <v>105</v>
      </c>
      <c r="CE484" s="4"/>
      <c r="CF484" s="4"/>
    </row>
    <row r="485" hidden="1">
      <c r="A485" s="1" t="s">
        <v>82</v>
      </c>
      <c r="B485" s="1" t="s">
        <v>251</v>
      </c>
      <c r="C485" s="1">
        <v>33.0</v>
      </c>
      <c r="D485" s="5" t="s">
        <v>2165</v>
      </c>
      <c r="E485" s="1" t="s">
        <v>2166</v>
      </c>
      <c r="F485" s="1">
        <v>47.0</v>
      </c>
      <c r="G485" s="1">
        <v>0.4939</v>
      </c>
      <c r="H485" s="1" t="s">
        <v>2167</v>
      </c>
      <c r="I485" s="4" t="b">
        <f>IFERROR(__xludf.DUMMYFUNCTION("IF(H485="""",,REGEXMATCH(H485,""[א-ת]""))"),FALSE)</f>
        <v>0</v>
      </c>
      <c r="J485" s="4"/>
      <c r="K485" s="4"/>
      <c r="L485" s="1">
        <v>0.0</v>
      </c>
      <c r="M485" s="1">
        <v>28.72</v>
      </c>
      <c r="N485" s="1">
        <v>59.57</v>
      </c>
      <c r="O485" s="1">
        <v>1.267446809</v>
      </c>
      <c r="P485" s="4"/>
      <c r="Q485" s="4"/>
      <c r="R485" s="1" t="s">
        <v>89</v>
      </c>
      <c r="S485" s="1" t="s">
        <v>2166</v>
      </c>
      <c r="T485" s="1" t="s">
        <v>251</v>
      </c>
      <c r="U485" s="1">
        <v>34.0</v>
      </c>
      <c r="V485" s="5" t="s">
        <v>2165</v>
      </c>
      <c r="W485" s="1" t="s">
        <v>2166</v>
      </c>
      <c r="X485" s="1" t="s">
        <v>2168</v>
      </c>
      <c r="Y485" s="4"/>
      <c r="Z485" s="4"/>
      <c r="AA485" s="4" t="b">
        <f>IFERROR(__xludf.DUMMYFUNCTION("IF(X485="""",,REGEXMATCH(X485,""[א-ת]""))"),FALSE)</f>
        <v>0</v>
      </c>
      <c r="AB485" s="1">
        <v>22.76</v>
      </c>
      <c r="AC485" s="1">
        <v>61.7</v>
      </c>
      <c r="AD485" s="1">
        <v>0.445077598380389</v>
      </c>
      <c r="AE485" s="1">
        <v>0.4939</v>
      </c>
      <c r="AF485" s="1">
        <v>0.4939</v>
      </c>
      <c r="AG485" s="1">
        <v>6.337</v>
      </c>
      <c r="AH485" s="1">
        <v>6.781</v>
      </c>
      <c r="AI485" s="1" t="b">
        <v>0</v>
      </c>
      <c r="AJ485" s="1" t="b">
        <v>0</v>
      </c>
      <c r="AK485" s="1">
        <v>94.182</v>
      </c>
      <c r="AL485" s="1">
        <v>96.508</v>
      </c>
      <c r="AM485" s="1" t="b">
        <v>0</v>
      </c>
      <c r="AN485" s="1" t="b">
        <v>0</v>
      </c>
      <c r="AO485" s="1">
        <v>8.05</v>
      </c>
      <c r="AP485" s="1">
        <v>8.53399999999999</v>
      </c>
      <c r="AQ485" s="1" t="b">
        <v>0</v>
      </c>
      <c r="AR485" s="1" t="b">
        <v>0</v>
      </c>
      <c r="AS485" s="1">
        <v>86.9179999999999</v>
      </c>
      <c r="AT485" s="1">
        <v>87.152</v>
      </c>
      <c r="AU485" s="1" t="b">
        <v>0</v>
      </c>
      <c r="AV485" s="1" t="b">
        <v>0</v>
      </c>
      <c r="AW485" s="1">
        <v>9.61399999999999</v>
      </c>
      <c r="AX485" s="1">
        <v>11.026</v>
      </c>
      <c r="AY485" s="1" t="b">
        <v>0</v>
      </c>
      <c r="AZ485" s="1" t="b">
        <v>0</v>
      </c>
      <c r="BA485" s="1">
        <v>81.25</v>
      </c>
      <c r="BB485" s="1">
        <v>77.78</v>
      </c>
      <c r="BC485" s="1" t="b">
        <v>0</v>
      </c>
      <c r="BD485" s="1" t="b">
        <v>0</v>
      </c>
      <c r="BE485" s="1">
        <v>11.34</v>
      </c>
      <c r="BF485" s="1">
        <v>13.285</v>
      </c>
      <c r="BG485" s="1" t="b">
        <v>0</v>
      </c>
      <c r="BH485" s="1" t="b">
        <v>0</v>
      </c>
      <c r="BI485" s="1">
        <v>77.78</v>
      </c>
      <c r="BJ485" s="1">
        <v>75.0</v>
      </c>
      <c r="BK485" s="1" t="b">
        <v>0</v>
      </c>
      <c r="BL485" s="1" t="b">
        <v>0</v>
      </c>
      <c r="BM485" s="1">
        <v>13.121</v>
      </c>
      <c r="BN485" s="1">
        <v>14.568</v>
      </c>
      <c r="BO485" s="1" t="b">
        <v>0</v>
      </c>
      <c r="BP485" s="1" t="b">
        <v>0</v>
      </c>
      <c r="BQ485" s="1">
        <v>75.0</v>
      </c>
      <c r="BR485" s="1">
        <v>72.027</v>
      </c>
      <c r="BS485" s="1" t="b">
        <v>0</v>
      </c>
      <c r="BT485" s="1" t="b">
        <v>0</v>
      </c>
      <c r="BU485" s="1" t="s">
        <v>105</v>
      </c>
      <c r="BV485" s="1" t="s">
        <v>105</v>
      </c>
      <c r="BW485" s="1" t="s">
        <v>105</v>
      </c>
      <c r="BX485" s="1" t="s">
        <v>105</v>
      </c>
      <c r="BY485" s="1" t="s">
        <v>105</v>
      </c>
      <c r="BZ485" s="1" t="s">
        <v>105</v>
      </c>
      <c r="CA485" s="1" t="s">
        <v>105</v>
      </c>
      <c r="CB485" s="1" t="s">
        <v>105</v>
      </c>
      <c r="CC485" s="1" t="s">
        <v>105</v>
      </c>
      <c r="CD485" s="1" t="s">
        <v>105</v>
      </c>
      <c r="CE485" s="4"/>
      <c r="CF485" s="4"/>
    </row>
    <row r="486" hidden="1">
      <c r="A486" s="1" t="s">
        <v>82</v>
      </c>
      <c r="B486" s="1" t="s">
        <v>167</v>
      </c>
      <c r="C486" s="1">
        <v>9.0</v>
      </c>
      <c r="D486" s="5" t="s">
        <v>2169</v>
      </c>
      <c r="E486" s="1" t="s">
        <v>2170</v>
      </c>
      <c r="F486" s="1">
        <v>39.0</v>
      </c>
      <c r="G486" s="1">
        <v>-0.4019</v>
      </c>
      <c r="H486" s="1" t="s">
        <v>2171</v>
      </c>
      <c r="I486" s="4" t="b">
        <f>IFERROR(__xludf.DUMMYFUNCTION("IF(H486="""",,REGEXMATCH(H486,""[א-ת]""))"),FALSE)</f>
        <v>0</v>
      </c>
      <c r="J486" s="4"/>
      <c r="K486" s="4"/>
      <c r="L486" s="1">
        <v>0.5362</v>
      </c>
      <c r="M486" s="1">
        <v>28.76</v>
      </c>
      <c r="N486" s="1">
        <v>61.54</v>
      </c>
      <c r="O486" s="1">
        <v>1.577948718</v>
      </c>
      <c r="P486" s="4"/>
      <c r="Q486" s="4"/>
      <c r="R486" s="1" t="s">
        <v>127</v>
      </c>
      <c r="S486" s="1" t="s">
        <v>2170</v>
      </c>
      <c r="T486" s="1" t="s">
        <v>167</v>
      </c>
      <c r="U486" s="1">
        <v>10.0</v>
      </c>
      <c r="V486" s="5" t="s">
        <v>2169</v>
      </c>
      <c r="W486" s="1" t="s">
        <v>2170</v>
      </c>
      <c r="X486" s="1" t="s">
        <v>2172</v>
      </c>
      <c r="Y486" s="4"/>
      <c r="Z486" s="4"/>
      <c r="AA486" s="4" t="b">
        <f>IFERROR(__xludf.DUMMYFUNCTION("IF(X486="""",,REGEXMATCH(X486,""[א-ת]""))"),FALSE)</f>
        <v>0</v>
      </c>
      <c r="AB486" s="1">
        <v>20.59</v>
      </c>
      <c r="AC486" s="1">
        <v>56.41</v>
      </c>
      <c r="AD486" s="1">
        <v>0.604307446327323</v>
      </c>
      <c r="AE486" s="1">
        <v>0.6199</v>
      </c>
      <c r="AF486" s="1">
        <v>-0.4019</v>
      </c>
      <c r="AG486" s="1">
        <v>6.337</v>
      </c>
      <c r="AH486" s="1">
        <v>6.781</v>
      </c>
      <c r="AI486" s="1" t="b">
        <v>0</v>
      </c>
      <c r="AJ486" s="1" t="b">
        <v>0</v>
      </c>
      <c r="AK486" s="1">
        <v>94.182</v>
      </c>
      <c r="AL486" s="1">
        <v>96.508</v>
      </c>
      <c r="AM486" s="1" t="b">
        <v>0</v>
      </c>
      <c r="AN486" s="1" t="b">
        <v>0</v>
      </c>
      <c r="AO486" s="1">
        <v>8.05</v>
      </c>
      <c r="AP486" s="1">
        <v>8.53399999999999</v>
      </c>
      <c r="AQ486" s="1" t="b">
        <v>0</v>
      </c>
      <c r="AR486" s="1" t="b">
        <v>0</v>
      </c>
      <c r="AS486" s="1">
        <v>86.9179999999999</v>
      </c>
      <c r="AT486" s="1">
        <v>87.152</v>
      </c>
      <c r="AU486" s="1" t="b">
        <v>0</v>
      </c>
      <c r="AV486" s="1" t="b">
        <v>0</v>
      </c>
      <c r="AW486" s="1">
        <v>9.61399999999999</v>
      </c>
      <c r="AX486" s="1">
        <v>11.026</v>
      </c>
      <c r="AY486" s="1" t="b">
        <v>0</v>
      </c>
      <c r="AZ486" s="1" t="b">
        <v>0</v>
      </c>
      <c r="BA486" s="1">
        <v>81.25</v>
      </c>
      <c r="BB486" s="1">
        <v>77.78</v>
      </c>
      <c r="BC486" s="1" t="b">
        <v>0</v>
      </c>
      <c r="BD486" s="1" t="b">
        <v>0</v>
      </c>
      <c r="BE486" s="1">
        <v>11.34</v>
      </c>
      <c r="BF486" s="1">
        <v>13.285</v>
      </c>
      <c r="BG486" s="1" t="b">
        <v>0</v>
      </c>
      <c r="BH486" s="1" t="b">
        <v>0</v>
      </c>
      <c r="BI486" s="1">
        <v>77.78</v>
      </c>
      <c r="BJ486" s="1">
        <v>75.0</v>
      </c>
      <c r="BK486" s="1" t="b">
        <v>0</v>
      </c>
      <c r="BL486" s="1" t="b">
        <v>0</v>
      </c>
      <c r="BM486" s="1">
        <v>13.121</v>
      </c>
      <c r="BN486" s="1">
        <v>14.568</v>
      </c>
      <c r="BO486" s="1" t="b">
        <v>0</v>
      </c>
      <c r="BP486" s="1" t="b">
        <v>0</v>
      </c>
      <c r="BQ486" s="1">
        <v>75.0</v>
      </c>
      <c r="BR486" s="1">
        <v>72.027</v>
      </c>
      <c r="BS486" s="1" t="b">
        <v>0</v>
      </c>
      <c r="BT486" s="1" t="b">
        <v>0</v>
      </c>
      <c r="BU486" s="1" t="s">
        <v>105</v>
      </c>
      <c r="BV486" s="1" t="s">
        <v>105</v>
      </c>
      <c r="BW486" s="1" t="s">
        <v>105</v>
      </c>
      <c r="BX486" s="1" t="s">
        <v>105</v>
      </c>
      <c r="BY486" s="1" t="s">
        <v>105</v>
      </c>
      <c r="BZ486" s="1" t="s">
        <v>105</v>
      </c>
      <c r="CA486" s="1" t="s">
        <v>105</v>
      </c>
      <c r="CB486" s="1" t="s">
        <v>105</v>
      </c>
      <c r="CC486" s="1" t="s">
        <v>105</v>
      </c>
      <c r="CD486" s="1" t="s">
        <v>105</v>
      </c>
      <c r="CE486" s="4"/>
      <c r="CF486" s="4"/>
    </row>
    <row r="487" hidden="1">
      <c r="A487" s="1" t="s">
        <v>82</v>
      </c>
      <c r="B487" s="1" t="s">
        <v>251</v>
      </c>
      <c r="C487" s="1">
        <v>13.0</v>
      </c>
      <c r="D487" s="5" t="s">
        <v>2173</v>
      </c>
      <c r="E487" s="1" t="s">
        <v>2174</v>
      </c>
      <c r="F487" s="1">
        <v>63.0</v>
      </c>
      <c r="G487" s="1">
        <v>0.0</v>
      </c>
      <c r="H487" s="1" t="s">
        <v>2175</v>
      </c>
      <c r="I487" s="4" t="b">
        <f>IFERROR(__xludf.DUMMYFUNCTION("IF(H487="""",,REGEXMATCH(H487,""[א-ת]""))"),FALSE)</f>
        <v>0</v>
      </c>
      <c r="J487" s="4"/>
      <c r="K487" s="4"/>
      <c r="L487" s="1">
        <v>0.2023</v>
      </c>
      <c r="M487" s="1">
        <v>28.82</v>
      </c>
      <c r="N487" s="1">
        <v>61.9</v>
      </c>
      <c r="O487" s="1">
        <v>0.9825396825</v>
      </c>
      <c r="P487" s="4"/>
      <c r="Q487" s="4"/>
      <c r="R487" s="1" t="s">
        <v>89</v>
      </c>
      <c r="S487" s="1" t="s">
        <v>2174</v>
      </c>
      <c r="T487" s="1" t="s">
        <v>251</v>
      </c>
      <c r="U487" s="1">
        <v>14.0</v>
      </c>
      <c r="V487" s="5" t="s">
        <v>2173</v>
      </c>
      <c r="W487" s="1" t="s">
        <v>2174</v>
      </c>
      <c r="X487" s="1" t="s">
        <v>2176</v>
      </c>
      <c r="Y487" s="4"/>
      <c r="Z487" s="4"/>
      <c r="AA487" s="4" t="b">
        <f>IFERROR(__xludf.DUMMYFUNCTION("IF(X487="""",,REGEXMATCH(X487,""[א-ת]""))"),FALSE)</f>
        <v>0</v>
      </c>
      <c r="AB487" s="1">
        <v>31.36</v>
      </c>
      <c r="AC487" s="1">
        <v>58.73</v>
      </c>
      <c r="AD487" s="1">
        <v>0.563916414661142</v>
      </c>
      <c r="AE487" s="1">
        <v>0.0</v>
      </c>
      <c r="AF487" s="1">
        <v>0.0</v>
      </c>
      <c r="AG487" s="1">
        <v>6.337</v>
      </c>
      <c r="AH487" s="1">
        <v>6.781</v>
      </c>
      <c r="AI487" s="1" t="b">
        <v>0</v>
      </c>
      <c r="AJ487" s="1" t="b">
        <v>0</v>
      </c>
      <c r="AK487" s="1">
        <v>94.182</v>
      </c>
      <c r="AL487" s="1">
        <v>96.508</v>
      </c>
      <c r="AM487" s="1" t="b">
        <v>0</v>
      </c>
      <c r="AN487" s="1" t="b">
        <v>0</v>
      </c>
      <c r="AO487" s="1">
        <v>8.05</v>
      </c>
      <c r="AP487" s="1">
        <v>8.53399999999999</v>
      </c>
      <c r="AQ487" s="1" t="b">
        <v>0</v>
      </c>
      <c r="AR487" s="1" t="b">
        <v>0</v>
      </c>
      <c r="AS487" s="1">
        <v>86.9179999999999</v>
      </c>
      <c r="AT487" s="1">
        <v>87.152</v>
      </c>
      <c r="AU487" s="1" t="b">
        <v>0</v>
      </c>
      <c r="AV487" s="1" t="b">
        <v>0</v>
      </c>
      <c r="AW487" s="1">
        <v>9.61399999999999</v>
      </c>
      <c r="AX487" s="1">
        <v>11.026</v>
      </c>
      <c r="AY487" s="1" t="b">
        <v>0</v>
      </c>
      <c r="AZ487" s="1" t="b">
        <v>0</v>
      </c>
      <c r="BA487" s="1">
        <v>81.25</v>
      </c>
      <c r="BB487" s="1">
        <v>77.78</v>
      </c>
      <c r="BC487" s="1" t="b">
        <v>0</v>
      </c>
      <c r="BD487" s="1" t="b">
        <v>0</v>
      </c>
      <c r="BE487" s="1">
        <v>11.34</v>
      </c>
      <c r="BF487" s="1">
        <v>13.285</v>
      </c>
      <c r="BG487" s="1" t="b">
        <v>0</v>
      </c>
      <c r="BH487" s="1" t="b">
        <v>0</v>
      </c>
      <c r="BI487" s="1">
        <v>77.78</v>
      </c>
      <c r="BJ487" s="1">
        <v>75.0</v>
      </c>
      <c r="BK487" s="1" t="b">
        <v>0</v>
      </c>
      <c r="BL487" s="1" t="b">
        <v>0</v>
      </c>
      <c r="BM487" s="1">
        <v>13.121</v>
      </c>
      <c r="BN487" s="1">
        <v>14.568</v>
      </c>
      <c r="BO487" s="1" t="b">
        <v>0</v>
      </c>
      <c r="BP487" s="1" t="b">
        <v>0</v>
      </c>
      <c r="BQ487" s="1">
        <v>75.0</v>
      </c>
      <c r="BR487" s="1">
        <v>72.027</v>
      </c>
      <c r="BS487" s="1" t="b">
        <v>0</v>
      </c>
      <c r="BT487" s="1" t="b">
        <v>0</v>
      </c>
      <c r="BU487" s="1" t="s">
        <v>105</v>
      </c>
      <c r="BV487" s="1" t="s">
        <v>105</v>
      </c>
      <c r="BW487" s="1" t="s">
        <v>105</v>
      </c>
      <c r="BX487" s="1" t="s">
        <v>105</v>
      </c>
      <c r="BY487" s="1" t="s">
        <v>105</v>
      </c>
      <c r="BZ487" s="1" t="s">
        <v>105</v>
      </c>
      <c r="CA487" s="1" t="s">
        <v>105</v>
      </c>
      <c r="CB487" s="1" t="s">
        <v>105</v>
      </c>
      <c r="CC487" s="1" t="s">
        <v>105</v>
      </c>
      <c r="CD487" s="1" t="s">
        <v>105</v>
      </c>
      <c r="CE487" s="4"/>
      <c r="CF487" s="4"/>
    </row>
    <row r="488" hidden="1">
      <c r="A488" s="1" t="s">
        <v>82</v>
      </c>
      <c r="B488" s="1" t="s">
        <v>123</v>
      </c>
      <c r="C488" s="1">
        <v>4.0</v>
      </c>
      <c r="D488" s="5" t="s">
        <v>2177</v>
      </c>
      <c r="E488" s="1" t="s">
        <v>2178</v>
      </c>
      <c r="F488" s="1">
        <v>41.0</v>
      </c>
      <c r="G488" s="1">
        <v>-0.4939</v>
      </c>
      <c r="H488" s="1" t="s">
        <v>2179</v>
      </c>
      <c r="I488" s="4" t="b">
        <f>IFERROR(__xludf.DUMMYFUNCTION("IF(H488="""",,REGEXMATCH(H488,""[א-ת]""))"),FALSE)</f>
        <v>0</v>
      </c>
      <c r="J488" s="4"/>
      <c r="K488" s="4"/>
      <c r="L488" s="1">
        <v>-0.4939</v>
      </c>
      <c r="M488" s="1">
        <v>28.83</v>
      </c>
      <c r="N488" s="1">
        <v>58.54</v>
      </c>
      <c r="O488" s="1">
        <v>1.427804878</v>
      </c>
      <c r="P488" s="4"/>
      <c r="Q488" s="4"/>
      <c r="R488" s="1" t="s">
        <v>127</v>
      </c>
      <c r="S488" s="1" t="s">
        <v>2178</v>
      </c>
      <c r="T488" s="1" t="s">
        <v>123</v>
      </c>
      <c r="U488" s="1">
        <v>5.0</v>
      </c>
      <c r="V488" s="5" t="s">
        <v>2177</v>
      </c>
      <c r="W488" s="1" t="s">
        <v>2178</v>
      </c>
      <c r="X488" s="1" t="s">
        <v>2180</v>
      </c>
      <c r="Y488" s="4"/>
      <c r="Z488" s="4"/>
      <c r="AA488" s="4" t="b">
        <f>IFERROR(__xludf.DUMMYFUNCTION("IF(X488="""",,REGEXMATCH(X488,""[א-ת]""))"),FALSE)</f>
        <v>0</v>
      </c>
      <c r="AB488" s="1">
        <v>23.65</v>
      </c>
      <c r="AC488" s="1">
        <v>56.1</v>
      </c>
      <c r="AD488" s="1">
        <v>0.42216778199233</v>
      </c>
      <c r="AE488" s="1">
        <v>-0.1779</v>
      </c>
      <c r="AF488" s="1">
        <v>-0.4939</v>
      </c>
      <c r="AG488" s="1">
        <v>6.337</v>
      </c>
      <c r="AH488" s="1">
        <v>6.781</v>
      </c>
      <c r="AI488" s="1" t="b">
        <v>0</v>
      </c>
      <c r="AJ488" s="1" t="b">
        <v>0</v>
      </c>
      <c r="AK488" s="1">
        <v>94.182</v>
      </c>
      <c r="AL488" s="1">
        <v>96.508</v>
      </c>
      <c r="AM488" s="1" t="b">
        <v>0</v>
      </c>
      <c r="AN488" s="1" t="b">
        <v>0</v>
      </c>
      <c r="AO488" s="1">
        <v>8.05</v>
      </c>
      <c r="AP488" s="1">
        <v>8.53399999999999</v>
      </c>
      <c r="AQ488" s="1" t="b">
        <v>0</v>
      </c>
      <c r="AR488" s="1" t="b">
        <v>0</v>
      </c>
      <c r="AS488" s="1">
        <v>86.9179999999999</v>
      </c>
      <c r="AT488" s="1">
        <v>87.152</v>
      </c>
      <c r="AU488" s="1" t="b">
        <v>0</v>
      </c>
      <c r="AV488" s="1" t="b">
        <v>0</v>
      </c>
      <c r="AW488" s="1">
        <v>9.61399999999999</v>
      </c>
      <c r="AX488" s="1">
        <v>11.026</v>
      </c>
      <c r="AY488" s="1" t="b">
        <v>0</v>
      </c>
      <c r="AZ488" s="1" t="b">
        <v>0</v>
      </c>
      <c r="BA488" s="1">
        <v>81.25</v>
      </c>
      <c r="BB488" s="1">
        <v>77.78</v>
      </c>
      <c r="BC488" s="1" t="b">
        <v>0</v>
      </c>
      <c r="BD488" s="1" t="b">
        <v>0</v>
      </c>
      <c r="BE488" s="1">
        <v>11.34</v>
      </c>
      <c r="BF488" s="1">
        <v>13.285</v>
      </c>
      <c r="BG488" s="1" t="b">
        <v>0</v>
      </c>
      <c r="BH488" s="1" t="b">
        <v>0</v>
      </c>
      <c r="BI488" s="1">
        <v>77.78</v>
      </c>
      <c r="BJ488" s="1">
        <v>75.0</v>
      </c>
      <c r="BK488" s="1" t="b">
        <v>0</v>
      </c>
      <c r="BL488" s="1" t="b">
        <v>0</v>
      </c>
      <c r="BM488" s="1">
        <v>13.121</v>
      </c>
      <c r="BN488" s="1">
        <v>14.568</v>
      </c>
      <c r="BO488" s="1" t="b">
        <v>0</v>
      </c>
      <c r="BP488" s="1" t="b">
        <v>0</v>
      </c>
      <c r="BQ488" s="1">
        <v>75.0</v>
      </c>
      <c r="BR488" s="1">
        <v>72.027</v>
      </c>
      <c r="BS488" s="1" t="b">
        <v>0</v>
      </c>
      <c r="BT488" s="1" t="b">
        <v>0</v>
      </c>
      <c r="BU488" s="1" t="s">
        <v>105</v>
      </c>
      <c r="BV488" s="1" t="s">
        <v>105</v>
      </c>
      <c r="BW488" s="1" t="s">
        <v>105</v>
      </c>
      <c r="BX488" s="1" t="s">
        <v>105</v>
      </c>
      <c r="BY488" s="1" t="s">
        <v>105</v>
      </c>
      <c r="BZ488" s="1" t="s">
        <v>105</v>
      </c>
      <c r="CA488" s="1" t="s">
        <v>105</v>
      </c>
      <c r="CB488" s="1" t="s">
        <v>105</v>
      </c>
      <c r="CC488" s="1" t="s">
        <v>105</v>
      </c>
      <c r="CD488" s="1" t="s">
        <v>105</v>
      </c>
      <c r="CE488" s="4"/>
      <c r="CF488" s="4"/>
    </row>
    <row r="489" hidden="1">
      <c r="A489" s="1" t="s">
        <v>82</v>
      </c>
      <c r="B489" s="1" t="s">
        <v>92</v>
      </c>
      <c r="C489" s="1">
        <v>1.0</v>
      </c>
      <c r="D489" s="5" t="s">
        <v>2181</v>
      </c>
      <c r="E489" s="1" t="s">
        <v>2182</v>
      </c>
      <c r="F489" s="1">
        <v>103.0</v>
      </c>
      <c r="G489" s="1">
        <v>-0.7641</v>
      </c>
      <c r="H489" s="1" t="s">
        <v>2183</v>
      </c>
      <c r="I489" s="4" t="b">
        <f>IFERROR(__xludf.DUMMYFUNCTION("IF(H489="""",,REGEXMATCH(H489,""[א-ת]""))"),FALSE)</f>
        <v>0</v>
      </c>
      <c r="J489" s="4"/>
      <c r="K489" s="4"/>
      <c r="L489" s="1">
        <v>0.6386</v>
      </c>
      <c r="M489" s="1">
        <v>28.99</v>
      </c>
      <c r="N489" s="1">
        <v>48.54</v>
      </c>
      <c r="O489" s="1">
        <v>0.4712621359</v>
      </c>
      <c r="P489" s="4"/>
      <c r="Q489" s="4"/>
      <c r="R489" s="1" t="s">
        <v>96</v>
      </c>
      <c r="S489" s="1" t="s">
        <v>2182</v>
      </c>
      <c r="T489" s="1" t="s">
        <v>92</v>
      </c>
      <c r="U489" s="1">
        <v>2.0</v>
      </c>
      <c r="V489" s="5" t="s">
        <v>2181</v>
      </c>
      <c r="W489" s="1" t="s">
        <v>2182</v>
      </c>
      <c r="X489" s="1" t="s">
        <v>2184</v>
      </c>
      <c r="Y489" s="4"/>
      <c r="Z489" s="4"/>
      <c r="AA489" s="4" t="b">
        <f>IFERROR(__xludf.DUMMYFUNCTION("IF(X489="""",,REGEXMATCH(X489,""[א-ת]""))"),FALSE)</f>
        <v>0</v>
      </c>
      <c r="AB489" s="1">
        <v>40.83</v>
      </c>
      <c r="AC489" s="1">
        <v>39.81</v>
      </c>
      <c r="AD489" s="1">
        <v>0.714973137009806</v>
      </c>
      <c r="AE489" s="1">
        <v>-0.7532</v>
      </c>
      <c r="AF489" s="1">
        <v>-0.7641</v>
      </c>
      <c r="AG489" s="1">
        <v>6.337</v>
      </c>
      <c r="AH489" s="1">
        <v>6.781</v>
      </c>
      <c r="AI489" s="1" t="b">
        <v>0</v>
      </c>
      <c r="AJ489" s="1" t="b">
        <v>0</v>
      </c>
      <c r="AK489" s="1">
        <v>94.182</v>
      </c>
      <c r="AL489" s="1">
        <v>96.508</v>
      </c>
      <c r="AM489" s="1" t="b">
        <v>0</v>
      </c>
      <c r="AN489" s="1" t="b">
        <v>0</v>
      </c>
      <c r="AO489" s="1">
        <v>8.05</v>
      </c>
      <c r="AP489" s="1">
        <v>8.53399999999999</v>
      </c>
      <c r="AQ489" s="1" t="b">
        <v>0</v>
      </c>
      <c r="AR489" s="1" t="b">
        <v>0</v>
      </c>
      <c r="AS489" s="1">
        <v>86.9179999999999</v>
      </c>
      <c r="AT489" s="1">
        <v>87.152</v>
      </c>
      <c r="AU489" s="1" t="b">
        <v>0</v>
      </c>
      <c r="AV489" s="1" t="b">
        <v>0</v>
      </c>
      <c r="AW489" s="1">
        <v>9.61399999999999</v>
      </c>
      <c r="AX489" s="1">
        <v>11.026</v>
      </c>
      <c r="AY489" s="1" t="b">
        <v>0</v>
      </c>
      <c r="AZ489" s="1" t="b">
        <v>0</v>
      </c>
      <c r="BA489" s="1">
        <v>81.25</v>
      </c>
      <c r="BB489" s="1">
        <v>77.78</v>
      </c>
      <c r="BC489" s="1" t="b">
        <v>0</v>
      </c>
      <c r="BD489" s="1" t="b">
        <v>0</v>
      </c>
      <c r="BE489" s="1">
        <v>11.34</v>
      </c>
      <c r="BF489" s="1">
        <v>13.285</v>
      </c>
      <c r="BG489" s="1" t="b">
        <v>0</v>
      </c>
      <c r="BH489" s="1" t="b">
        <v>0</v>
      </c>
      <c r="BI489" s="1">
        <v>77.78</v>
      </c>
      <c r="BJ489" s="1">
        <v>75.0</v>
      </c>
      <c r="BK489" s="1" t="b">
        <v>0</v>
      </c>
      <c r="BL489" s="1" t="b">
        <v>0</v>
      </c>
      <c r="BM489" s="1">
        <v>13.121</v>
      </c>
      <c r="BN489" s="1">
        <v>14.568</v>
      </c>
      <c r="BO489" s="1" t="b">
        <v>0</v>
      </c>
      <c r="BP489" s="1" t="b">
        <v>0</v>
      </c>
      <c r="BQ489" s="1">
        <v>75.0</v>
      </c>
      <c r="BR489" s="1">
        <v>72.027</v>
      </c>
      <c r="BS489" s="1" t="b">
        <v>0</v>
      </c>
      <c r="BT489" s="1" t="b">
        <v>0</v>
      </c>
      <c r="BU489" s="1" t="s">
        <v>105</v>
      </c>
      <c r="BV489" s="1" t="s">
        <v>105</v>
      </c>
      <c r="BW489" s="1" t="s">
        <v>105</v>
      </c>
      <c r="BX489" s="1" t="s">
        <v>105</v>
      </c>
      <c r="BY489" s="1" t="s">
        <v>105</v>
      </c>
      <c r="BZ489" s="1" t="s">
        <v>105</v>
      </c>
      <c r="CA489" s="1" t="s">
        <v>105</v>
      </c>
      <c r="CB489" s="1" t="s">
        <v>105</v>
      </c>
      <c r="CC489" s="1" t="s">
        <v>105</v>
      </c>
      <c r="CD489" s="1" t="s">
        <v>105</v>
      </c>
      <c r="CE489" s="4"/>
      <c r="CF489" s="4"/>
    </row>
    <row r="490" hidden="1">
      <c r="A490" s="1" t="s">
        <v>82</v>
      </c>
      <c r="B490" s="1" t="s">
        <v>116</v>
      </c>
      <c r="C490" s="1">
        <v>3.0</v>
      </c>
      <c r="D490" s="5" t="s">
        <v>2185</v>
      </c>
      <c r="E490" s="1" t="s">
        <v>2186</v>
      </c>
      <c r="F490" s="1">
        <v>7.0</v>
      </c>
      <c r="G490" s="1">
        <v>0.2584</v>
      </c>
      <c r="H490" s="1" t="s">
        <v>2187</v>
      </c>
      <c r="I490" s="4" t="b">
        <f>IFERROR(__xludf.DUMMYFUNCTION("IF(H490="""",,REGEXMATCH(H490,""[א-ת]""))"),FALSE)</f>
        <v>0</v>
      </c>
      <c r="J490" s="4"/>
      <c r="K490" s="4"/>
      <c r="L490" s="1">
        <v>0.0</v>
      </c>
      <c r="M490" s="1">
        <v>29.0</v>
      </c>
      <c r="N490" s="1">
        <v>42.86</v>
      </c>
      <c r="O490" s="1">
        <v>6.122857143</v>
      </c>
      <c r="P490" s="4"/>
      <c r="Q490" s="4"/>
      <c r="R490" s="1" t="s">
        <v>89</v>
      </c>
      <c r="S490" s="1" t="s">
        <v>2186</v>
      </c>
      <c r="T490" s="1" t="s">
        <v>116</v>
      </c>
      <c r="U490" s="1">
        <v>4.0</v>
      </c>
      <c r="V490" s="5" t="s">
        <v>2185</v>
      </c>
      <c r="W490" s="1" t="s">
        <v>2186</v>
      </c>
      <c r="X490" s="1" t="s">
        <v>2188</v>
      </c>
      <c r="Y490" s="4"/>
      <c r="Z490" s="4"/>
      <c r="AA490" s="4" t="b">
        <f>IFERROR(__xludf.DUMMYFUNCTION("IF(X490="""",,REGEXMATCH(X490,""[א-ת]""))"),FALSE)</f>
        <v>0</v>
      </c>
      <c r="AB490" s="1">
        <v>51.33</v>
      </c>
      <c r="AC490" s="1">
        <v>28.57</v>
      </c>
      <c r="AD490" s="1">
        <v>0.886172887950106</v>
      </c>
      <c r="AE490" s="1">
        <v>0.2584</v>
      </c>
      <c r="AF490" s="1">
        <v>0.2584</v>
      </c>
      <c r="AG490" s="1">
        <v>6.337</v>
      </c>
      <c r="AH490" s="1">
        <v>6.781</v>
      </c>
      <c r="AI490" s="1" t="b">
        <v>0</v>
      </c>
      <c r="AJ490" s="1" t="b">
        <v>0</v>
      </c>
      <c r="AK490" s="1">
        <v>94.182</v>
      </c>
      <c r="AL490" s="1">
        <v>96.508</v>
      </c>
      <c r="AM490" s="1" t="b">
        <v>0</v>
      </c>
      <c r="AN490" s="1" t="b">
        <v>0</v>
      </c>
      <c r="AO490" s="1">
        <v>8.05</v>
      </c>
      <c r="AP490" s="1">
        <v>8.53399999999999</v>
      </c>
      <c r="AQ490" s="1" t="b">
        <v>0</v>
      </c>
      <c r="AR490" s="1" t="b">
        <v>0</v>
      </c>
      <c r="AS490" s="1">
        <v>86.9179999999999</v>
      </c>
      <c r="AT490" s="1">
        <v>87.152</v>
      </c>
      <c r="AU490" s="1" t="b">
        <v>0</v>
      </c>
      <c r="AV490" s="1" t="b">
        <v>0</v>
      </c>
      <c r="AW490" s="1">
        <v>9.61399999999999</v>
      </c>
      <c r="AX490" s="1">
        <v>11.026</v>
      </c>
      <c r="AY490" s="1" t="b">
        <v>0</v>
      </c>
      <c r="AZ490" s="1" t="b">
        <v>0</v>
      </c>
      <c r="BA490" s="1">
        <v>81.25</v>
      </c>
      <c r="BB490" s="1">
        <v>77.78</v>
      </c>
      <c r="BC490" s="1" t="b">
        <v>0</v>
      </c>
      <c r="BD490" s="1" t="b">
        <v>0</v>
      </c>
      <c r="BE490" s="1">
        <v>11.34</v>
      </c>
      <c r="BF490" s="1">
        <v>13.285</v>
      </c>
      <c r="BG490" s="1" t="b">
        <v>0</v>
      </c>
      <c r="BH490" s="1" t="b">
        <v>0</v>
      </c>
      <c r="BI490" s="1">
        <v>77.78</v>
      </c>
      <c r="BJ490" s="1">
        <v>75.0</v>
      </c>
      <c r="BK490" s="1" t="b">
        <v>0</v>
      </c>
      <c r="BL490" s="1" t="b">
        <v>0</v>
      </c>
      <c r="BM490" s="1">
        <v>13.121</v>
      </c>
      <c r="BN490" s="1">
        <v>14.568</v>
      </c>
      <c r="BO490" s="1" t="b">
        <v>0</v>
      </c>
      <c r="BP490" s="1" t="b">
        <v>0</v>
      </c>
      <c r="BQ490" s="1">
        <v>75.0</v>
      </c>
      <c r="BR490" s="1">
        <v>72.027</v>
      </c>
      <c r="BS490" s="1" t="b">
        <v>0</v>
      </c>
      <c r="BT490" s="1" t="b">
        <v>0</v>
      </c>
      <c r="BU490" s="1" t="s">
        <v>105</v>
      </c>
      <c r="BV490" s="1" t="s">
        <v>105</v>
      </c>
      <c r="BW490" s="1" t="s">
        <v>105</v>
      </c>
      <c r="BX490" s="1" t="s">
        <v>105</v>
      </c>
      <c r="BY490" s="1" t="s">
        <v>105</v>
      </c>
      <c r="BZ490" s="1" t="s">
        <v>105</v>
      </c>
      <c r="CA490" s="1" t="s">
        <v>105</v>
      </c>
      <c r="CB490" s="1" t="s">
        <v>105</v>
      </c>
      <c r="CC490" s="1" t="s">
        <v>105</v>
      </c>
      <c r="CD490" s="1" t="s">
        <v>105</v>
      </c>
      <c r="CE490" s="4"/>
      <c r="CF490" s="4"/>
    </row>
    <row r="491" hidden="1">
      <c r="A491" s="1" t="s">
        <v>82</v>
      </c>
      <c r="B491" s="1" t="s">
        <v>524</v>
      </c>
      <c r="C491" s="1">
        <v>18.0</v>
      </c>
      <c r="D491" s="5" t="s">
        <v>2189</v>
      </c>
      <c r="E491" s="1" t="s">
        <v>2190</v>
      </c>
      <c r="F491" s="1">
        <v>53.0</v>
      </c>
      <c r="G491" s="1">
        <v>0.8591</v>
      </c>
      <c r="H491" s="1" t="s">
        <v>2191</v>
      </c>
      <c r="I491" s="4" t="b">
        <f>IFERROR(__xludf.DUMMYFUNCTION("IF(H491="""",,REGEXMATCH(H491,""[א-ת]""))"),FALSE)</f>
        <v>0</v>
      </c>
      <c r="J491" s="4"/>
      <c r="K491" s="4"/>
      <c r="L491" s="1">
        <v>0.8948</v>
      </c>
      <c r="M491" s="1">
        <v>29.05</v>
      </c>
      <c r="N491" s="1">
        <v>60.38</v>
      </c>
      <c r="O491" s="1">
        <v>1.139245283</v>
      </c>
      <c r="P491" s="4"/>
      <c r="Q491" s="4"/>
      <c r="R491" s="1" t="s">
        <v>89</v>
      </c>
      <c r="S491" s="1" t="s">
        <v>2190</v>
      </c>
      <c r="T491" s="1" t="s">
        <v>524</v>
      </c>
      <c r="U491" s="1">
        <v>19.0</v>
      </c>
      <c r="V491" s="5" t="s">
        <v>2189</v>
      </c>
      <c r="W491" s="1" t="s">
        <v>2190</v>
      </c>
      <c r="X491" s="1" t="s">
        <v>2192</v>
      </c>
      <c r="Y491" s="4"/>
      <c r="Z491" s="4"/>
      <c r="AA491" s="4" t="b">
        <f>IFERROR(__xludf.DUMMYFUNCTION("IF(X491="""",,REGEXMATCH(X491,""[א-ת]""))"),FALSE)</f>
        <v>0</v>
      </c>
      <c r="AB491" s="1">
        <v>43.04</v>
      </c>
      <c r="AC491" s="1">
        <v>45.28</v>
      </c>
      <c r="AD491" s="1">
        <v>0.822457747550512</v>
      </c>
      <c r="AE491" s="1">
        <v>0.8767</v>
      </c>
      <c r="AF491" s="1">
        <v>0.8591</v>
      </c>
      <c r="AG491" s="1">
        <v>6.337</v>
      </c>
      <c r="AH491" s="1">
        <v>6.781</v>
      </c>
      <c r="AI491" s="1" t="b">
        <v>0</v>
      </c>
      <c r="AJ491" s="1" t="b">
        <v>0</v>
      </c>
      <c r="AK491" s="1">
        <v>94.182</v>
      </c>
      <c r="AL491" s="1">
        <v>96.508</v>
      </c>
      <c r="AM491" s="1" t="b">
        <v>0</v>
      </c>
      <c r="AN491" s="1" t="b">
        <v>0</v>
      </c>
      <c r="AO491" s="1">
        <v>8.05</v>
      </c>
      <c r="AP491" s="1">
        <v>8.53399999999999</v>
      </c>
      <c r="AQ491" s="1" t="b">
        <v>0</v>
      </c>
      <c r="AR491" s="1" t="b">
        <v>0</v>
      </c>
      <c r="AS491" s="1">
        <v>86.9179999999999</v>
      </c>
      <c r="AT491" s="1">
        <v>87.152</v>
      </c>
      <c r="AU491" s="1" t="b">
        <v>0</v>
      </c>
      <c r="AV491" s="1" t="b">
        <v>0</v>
      </c>
      <c r="AW491" s="1">
        <v>9.61399999999999</v>
      </c>
      <c r="AX491" s="1">
        <v>11.026</v>
      </c>
      <c r="AY491" s="1" t="b">
        <v>0</v>
      </c>
      <c r="AZ491" s="1" t="b">
        <v>0</v>
      </c>
      <c r="BA491" s="1">
        <v>81.25</v>
      </c>
      <c r="BB491" s="1">
        <v>77.78</v>
      </c>
      <c r="BC491" s="1" t="b">
        <v>0</v>
      </c>
      <c r="BD491" s="1" t="b">
        <v>0</v>
      </c>
      <c r="BE491" s="1">
        <v>11.34</v>
      </c>
      <c r="BF491" s="1">
        <v>13.285</v>
      </c>
      <c r="BG491" s="1" t="b">
        <v>0</v>
      </c>
      <c r="BH491" s="1" t="b">
        <v>0</v>
      </c>
      <c r="BI491" s="1">
        <v>77.78</v>
      </c>
      <c r="BJ491" s="1">
        <v>75.0</v>
      </c>
      <c r="BK491" s="1" t="b">
        <v>0</v>
      </c>
      <c r="BL491" s="1" t="b">
        <v>0</v>
      </c>
      <c r="BM491" s="1">
        <v>13.121</v>
      </c>
      <c r="BN491" s="1">
        <v>14.568</v>
      </c>
      <c r="BO491" s="1" t="b">
        <v>0</v>
      </c>
      <c r="BP491" s="1" t="b">
        <v>0</v>
      </c>
      <c r="BQ491" s="1">
        <v>75.0</v>
      </c>
      <c r="BR491" s="1">
        <v>72.027</v>
      </c>
      <c r="BS491" s="1" t="b">
        <v>0</v>
      </c>
      <c r="BT491" s="1" t="b">
        <v>0</v>
      </c>
      <c r="BU491" s="1" t="s">
        <v>105</v>
      </c>
      <c r="BV491" s="1" t="s">
        <v>105</v>
      </c>
      <c r="BW491" s="1" t="s">
        <v>105</v>
      </c>
      <c r="BX491" s="1" t="s">
        <v>105</v>
      </c>
      <c r="BY491" s="1" t="s">
        <v>105</v>
      </c>
      <c r="BZ491" s="1" t="s">
        <v>105</v>
      </c>
      <c r="CA491" s="1" t="s">
        <v>105</v>
      </c>
      <c r="CB491" s="1" t="s">
        <v>105</v>
      </c>
      <c r="CC491" s="1" t="s">
        <v>105</v>
      </c>
      <c r="CD491" s="1" t="s">
        <v>105</v>
      </c>
      <c r="CE491" s="4"/>
      <c r="CF491" s="4"/>
    </row>
    <row r="492" hidden="1">
      <c r="A492" s="1" t="s">
        <v>82</v>
      </c>
      <c r="B492" s="1" t="s">
        <v>262</v>
      </c>
      <c r="C492" s="1">
        <v>5.0</v>
      </c>
      <c r="D492" s="5" t="s">
        <v>2193</v>
      </c>
      <c r="E492" s="1" t="s">
        <v>2194</v>
      </c>
      <c r="F492" s="1">
        <v>35.0</v>
      </c>
      <c r="G492" s="1">
        <v>-0.25</v>
      </c>
      <c r="H492" s="1" t="s">
        <v>2195</v>
      </c>
      <c r="I492" s="4" t="b">
        <f>IFERROR(__xludf.DUMMYFUNCTION("IF(H492="""",,REGEXMATCH(H492,""[א-ת]""))"),FALSE)</f>
        <v>0</v>
      </c>
      <c r="J492" s="4"/>
      <c r="K492" s="4"/>
      <c r="L492" s="1">
        <v>0.5255</v>
      </c>
      <c r="M492" s="1">
        <v>29.16</v>
      </c>
      <c r="N492" s="1">
        <v>62.86</v>
      </c>
      <c r="O492" s="1">
        <v>1.796</v>
      </c>
      <c r="P492" s="4"/>
      <c r="Q492" s="4"/>
      <c r="R492" s="1" t="s">
        <v>96</v>
      </c>
      <c r="S492" s="1" t="s">
        <v>2194</v>
      </c>
      <c r="T492" s="1" t="s">
        <v>262</v>
      </c>
      <c r="U492" s="1">
        <v>6.0</v>
      </c>
      <c r="V492" s="5" t="s">
        <v>2193</v>
      </c>
      <c r="W492" s="1" t="s">
        <v>2194</v>
      </c>
      <c r="X492" s="1" t="s">
        <v>2196</v>
      </c>
      <c r="Y492" s="4"/>
      <c r="Z492" s="4"/>
      <c r="AA492" s="4" t="b">
        <f>IFERROR(__xludf.DUMMYFUNCTION("IF(X492="""",,REGEXMATCH(X492,""[א-ת]""))"),FALSE)</f>
        <v>0</v>
      </c>
      <c r="AB492" s="1">
        <v>28.95</v>
      </c>
      <c r="AC492" s="1">
        <v>45.71</v>
      </c>
      <c r="AD492" s="1">
        <v>0.575674218370298</v>
      </c>
      <c r="AE492" s="1">
        <v>-0.5093</v>
      </c>
      <c r="AF492" s="1">
        <v>-0.25</v>
      </c>
      <c r="AG492" s="1">
        <v>6.337</v>
      </c>
      <c r="AH492" s="1">
        <v>6.781</v>
      </c>
      <c r="AI492" s="1" t="b">
        <v>0</v>
      </c>
      <c r="AJ492" s="1" t="b">
        <v>0</v>
      </c>
      <c r="AK492" s="1">
        <v>94.182</v>
      </c>
      <c r="AL492" s="1">
        <v>96.508</v>
      </c>
      <c r="AM492" s="1" t="b">
        <v>0</v>
      </c>
      <c r="AN492" s="1" t="b">
        <v>0</v>
      </c>
      <c r="AO492" s="1">
        <v>8.05</v>
      </c>
      <c r="AP492" s="1">
        <v>8.53399999999999</v>
      </c>
      <c r="AQ492" s="1" t="b">
        <v>0</v>
      </c>
      <c r="AR492" s="1" t="b">
        <v>0</v>
      </c>
      <c r="AS492" s="1">
        <v>86.9179999999999</v>
      </c>
      <c r="AT492" s="1">
        <v>87.152</v>
      </c>
      <c r="AU492" s="1" t="b">
        <v>0</v>
      </c>
      <c r="AV492" s="1" t="b">
        <v>0</v>
      </c>
      <c r="AW492" s="1">
        <v>9.61399999999999</v>
      </c>
      <c r="AX492" s="1">
        <v>11.026</v>
      </c>
      <c r="AY492" s="1" t="b">
        <v>0</v>
      </c>
      <c r="AZ492" s="1" t="b">
        <v>0</v>
      </c>
      <c r="BA492" s="1">
        <v>81.25</v>
      </c>
      <c r="BB492" s="1">
        <v>77.78</v>
      </c>
      <c r="BC492" s="1" t="b">
        <v>0</v>
      </c>
      <c r="BD492" s="1" t="b">
        <v>0</v>
      </c>
      <c r="BE492" s="1">
        <v>11.34</v>
      </c>
      <c r="BF492" s="1">
        <v>13.285</v>
      </c>
      <c r="BG492" s="1" t="b">
        <v>0</v>
      </c>
      <c r="BH492" s="1" t="b">
        <v>0</v>
      </c>
      <c r="BI492" s="1">
        <v>77.78</v>
      </c>
      <c r="BJ492" s="1">
        <v>75.0</v>
      </c>
      <c r="BK492" s="1" t="b">
        <v>0</v>
      </c>
      <c r="BL492" s="1" t="b">
        <v>0</v>
      </c>
      <c r="BM492" s="1">
        <v>13.121</v>
      </c>
      <c r="BN492" s="1">
        <v>14.568</v>
      </c>
      <c r="BO492" s="1" t="b">
        <v>0</v>
      </c>
      <c r="BP492" s="1" t="b">
        <v>0</v>
      </c>
      <c r="BQ492" s="1">
        <v>75.0</v>
      </c>
      <c r="BR492" s="1">
        <v>72.027</v>
      </c>
      <c r="BS492" s="1" t="b">
        <v>0</v>
      </c>
      <c r="BT492" s="1" t="b">
        <v>0</v>
      </c>
      <c r="BU492" s="1" t="s">
        <v>105</v>
      </c>
      <c r="BV492" s="1" t="s">
        <v>105</v>
      </c>
      <c r="BW492" s="1" t="s">
        <v>105</v>
      </c>
      <c r="BX492" s="1" t="s">
        <v>105</v>
      </c>
      <c r="BY492" s="1" t="s">
        <v>105</v>
      </c>
      <c r="BZ492" s="1" t="s">
        <v>105</v>
      </c>
      <c r="CA492" s="1" t="s">
        <v>105</v>
      </c>
      <c r="CB492" s="1" t="s">
        <v>105</v>
      </c>
      <c r="CC492" s="1" t="s">
        <v>105</v>
      </c>
      <c r="CD492" s="1" t="s">
        <v>105</v>
      </c>
      <c r="CE492" s="4"/>
      <c r="CF492" s="4"/>
    </row>
    <row r="493" hidden="1">
      <c r="A493" s="1" t="s">
        <v>82</v>
      </c>
      <c r="B493" s="1" t="s">
        <v>251</v>
      </c>
      <c r="C493" s="1">
        <v>28.0</v>
      </c>
      <c r="D493" s="5" t="s">
        <v>2197</v>
      </c>
      <c r="E493" s="1" t="s">
        <v>2198</v>
      </c>
      <c r="F493" s="1">
        <v>82.0</v>
      </c>
      <c r="G493" s="1">
        <v>0.0</v>
      </c>
      <c r="H493" s="1" t="s">
        <v>2199</v>
      </c>
      <c r="I493" s="4" t="b">
        <f>IFERROR(__xludf.DUMMYFUNCTION("IF(H493="""",,REGEXMATCH(H493,""[א-ת]""))"),FALSE)</f>
        <v>0</v>
      </c>
      <c r="J493" s="4"/>
      <c r="K493" s="4"/>
      <c r="L493" s="1">
        <v>0.0</v>
      </c>
      <c r="M493" s="1">
        <v>29.19</v>
      </c>
      <c r="N493" s="1">
        <v>52.44</v>
      </c>
      <c r="O493" s="1">
        <v>0.6395121951</v>
      </c>
      <c r="P493" s="4"/>
      <c r="Q493" s="4"/>
      <c r="R493" s="1" t="s">
        <v>89</v>
      </c>
      <c r="S493" s="1" t="s">
        <v>2198</v>
      </c>
      <c r="T493" s="1" t="s">
        <v>251</v>
      </c>
      <c r="U493" s="1">
        <v>29.0</v>
      </c>
      <c r="V493" s="5" t="s">
        <v>2197</v>
      </c>
      <c r="W493" s="1" t="s">
        <v>2198</v>
      </c>
      <c r="X493" s="1" t="s">
        <v>2200</v>
      </c>
      <c r="Y493" s="4"/>
      <c r="Z493" s="4"/>
      <c r="AA493" s="4" t="b">
        <f>IFERROR(__xludf.DUMMYFUNCTION("IF(X493="""",,REGEXMATCH(X493,""[א-ת]""))"),FALSE)</f>
        <v>0</v>
      </c>
      <c r="AB493" s="1">
        <v>19.57</v>
      </c>
      <c r="AC493" s="1">
        <v>54.88</v>
      </c>
      <c r="AD493" s="1">
        <v>0.43169025919707</v>
      </c>
      <c r="AE493" s="1">
        <v>0.0</v>
      </c>
      <c r="AF493" s="1">
        <v>0.0</v>
      </c>
      <c r="AG493" s="1">
        <v>6.337</v>
      </c>
      <c r="AH493" s="1">
        <v>6.781</v>
      </c>
      <c r="AI493" s="1" t="b">
        <v>0</v>
      </c>
      <c r="AJ493" s="1" t="b">
        <v>0</v>
      </c>
      <c r="AK493" s="1">
        <v>94.182</v>
      </c>
      <c r="AL493" s="1">
        <v>96.508</v>
      </c>
      <c r="AM493" s="1" t="b">
        <v>0</v>
      </c>
      <c r="AN493" s="1" t="b">
        <v>0</v>
      </c>
      <c r="AO493" s="1">
        <v>8.05</v>
      </c>
      <c r="AP493" s="1">
        <v>8.53399999999999</v>
      </c>
      <c r="AQ493" s="1" t="b">
        <v>0</v>
      </c>
      <c r="AR493" s="1" t="b">
        <v>0</v>
      </c>
      <c r="AS493" s="1">
        <v>86.9179999999999</v>
      </c>
      <c r="AT493" s="1">
        <v>87.152</v>
      </c>
      <c r="AU493" s="1" t="b">
        <v>0</v>
      </c>
      <c r="AV493" s="1" t="b">
        <v>0</v>
      </c>
      <c r="AW493" s="1">
        <v>9.61399999999999</v>
      </c>
      <c r="AX493" s="1">
        <v>11.026</v>
      </c>
      <c r="AY493" s="1" t="b">
        <v>0</v>
      </c>
      <c r="AZ493" s="1" t="b">
        <v>0</v>
      </c>
      <c r="BA493" s="1">
        <v>81.25</v>
      </c>
      <c r="BB493" s="1">
        <v>77.78</v>
      </c>
      <c r="BC493" s="1" t="b">
        <v>0</v>
      </c>
      <c r="BD493" s="1" t="b">
        <v>0</v>
      </c>
      <c r="BE493" s="1">
        <v>11.34</v>
      </c>
      <c r="BF493" s="1">
        <v>13.285</v>
      </c>
      <c r="BG493" s="1" t="b">
        <v>0</v>
      </c>
      <c r="BH493" s="1" t="b">
        <v>0</v>
      </c>
      <c r="BI493" s="1">
        <v>77.78</v>
      </c>
      <c r="BJ493" s="1">
        <v>75.0</v>
      </c>
      <c r="BK493" s="1" t="b">
        <v>0</v>
      </c>
      <c r="BL493" s="1" t="b">
        <v>0</v>
      </c>
      <c r="BM493" s="1">
        <v>13.121</v>
      </c>
      <c r="BN493" s="1">
        <v>14.568</v>
      </c>
      <c r="BO493" s="1" t="b">
        <v>0</v>
      </c>
      <c r="BP493" s="1" t="b">
        <v>0</v>
      </c>
      <c r="BQ493" s="1">
        <v>75.0</v>
      </c>
      <c r="BR493" s="1">
        <v>72.027</v>
      </c>
      <c r="BS493" s="1" t="b">
        <v>0</v>
      </c>
      <c r="BT493" s="1" t="b">
        <v>0</v>
      </c>
      <c r="BU493" s="1" t="s">
        <v>105</v>
      </c>
      <c r="BV493" s="1" t="s">
        <v>105</v>
      </c>
      <c r="BW493" s="1" t="s">
        <v>105</v>
      </c>
      <c r="BX493" s="1" t="s">
        <v>105</v>
      </c>
      <c r="BY493" s="1" t="s">
        <v>105</v>
      </c>
      <c r="BZ493" s="1" t="s">
        <v>105</v>
      </c>
      <c r="CA493" s="1" t="s">
        <v>105</v>
      </c>
      <c r="CB493" s="1" t="s">
        <v>105</v>
      </c>
      <c r="CC493" s="1" t="s">
        <v>105</v>
      </c>
      <c r="CD493" s="1" t="s">
        <v>105</v>
      </c>
      <c r="CE493" s="4"/>
      <c r="CF493" s="4"/>
    </row>
    <row r="494" hidden="1">
      <c r="A494" s="1" t="s">
        <v>82</v>
      </c>
      <c r="B494" s="1" t="s">
        <v>83</v>
      </c>
      <c r="C494" s="1">
        <v>11.0</v>
      </c>
      <c r="D494" s="5" t="s">
        <v>2201</v>
      </c>
      <c r="E494" s="1" t="s">
        <v>2202</v>
      </c>
      <c r="F494" s="1">
        <v>35.0</v>
      </c>
      <c r="G494" s="1">
        <v>0.7701</v>
      </c>
      <c r="H494" s="1" t="s">
        <v>2203</v>
      </c>
      <c r="I494" s="4" t="b">
        <f>IFERROR(__xludf.DUMMYFUNCTION("IF(H494="""",,REGEXMATCH(H494,""[א-ת]""))"),FALSE)</f>
        <v>0</v>
      </c>
      <c r="J494" s="1" t="s">
        <v>879</v>
      </c>
      <c r="K494" s="4"/>
      <c r="L494" s="1">
        <v>0.4268</v>
      </c>
      <c r="M494" s="1">
        <v>29.24</v>
      </c>
      <c r="N494" s="1">
        <v>57.14</v>
      </c>
      <c r="O494" s="1">
        <v>1.632571429</v>
      </c>
      <c r="P494" s="4"/>
      <c r="Q494" s="4"/>
      <c r="R494" s="1" t="s">
        <v>89</v>
      </c>
      <c r="S494" s="1" t="s">
        <v>2202</v>
      </c>
      <c r="T494" s="1" t="s">
        <v>83</v>
      </c>
      <c r="U494" s="1">
        <v>12.0</v>
      </c>
      <c r="V494" s="5" t="s">
        <v>2201</v>
      </c>
      <c r="W494" s="1" t="s">
        <v>2202</v>
      </c>
      <c r="X494" s="1" t="s">
        <v>2204</v>
      </c>
      <c r="Y494" s="4"/>
      <c r="Z494" s="4"/>
      <c r="AA494" s="4" t="b">
        <f>IFERROR(__xludf.DUMMYFUNCTION("IF(X494="""",,REGEXMATCH(X494,""[א-ת]""))"),TRUE)</f>
        <v>1</v>
      </c>
      <c r="AB494" s="1">
        <v>41.17</v>
      </c>
      <c r="AC494" s="1">
        <v>42.86</v>
      </c>
      <c r="AD494" s="1">
        <v>0.695729092955175</v>
      </c>
      <c r="AE494" s="1">
        <v>0.5994</v>
      </c>
      <c r="AF494" s="1">
        <v>0.7701</v>
      </c>
      <c r="AG494" s="1">
        <v>6.337</v>
      </c>
      <c r="AH494" s="1">
        <v>6.781</v>
      </c>
      <c r="AI494" s="1" t="b">
        <v>0</v>
      </c>
      <c r="AJ494" s="1" t="b">
        <v>0</v>
      </c>
      <c r="AK494" s="1">
        <v>94.182</v>
      </c>
      <c r="AL494" s="1">
        <v>96.508</v>
      </c>
      <c r="AM494" s="1" t="b">
        <v>0</v>
      </c>
      <c r="AN494" s="1" t="b">
        <v>0</v>
      </c>
      <c r="AO494" s="1">
        <v>8.05</v>
      </c>
      <c r="AP494" s="1">
        <v>8.53399999999999</v>
      </c>
      <c r="AQ494" s="1" t="b">
        <v>0</v>
      </c>
      <c r="AR494" s="1" t="b">
        <v>0</v>
      </c>
      <c r="AS494" s="1">
        <v>86.9179999999999</v>
      </c>
      <c r="AT494" s="1">
        <v>87.152</v>
      </c>
      <c r="AU494" s="1" t="b">
        <v>0</v>
      </c>
      <c r="AV494" s="1" t="b">
        <v>0</v>
      </c>
      <c r="AW494" s="1">
        <v>9.61399999999999</v>
      </c>
      <c r="AX494" s="1">
        <v>11.026</v>
      </c>
      <c r="AY494" s="1" t="b">
        <v>0</v>
      </c>
      <c r="AZ494" s="1" t="b">
        <v>0</v>
      </c>
      <c r="BA494" s="1">
        <v>81.25</v>
      </c>
      <c r="BB494" s="1">
        <v>77.78</v>
      </c>
      <c r="BC494" s="1" t="b">
        <v>0</v>
      </c>
      <c r="BD494" s="1" t="b">
        <v>0</v>
      </c>
      <c r="BE494" s="1">
        <v>11.34</v>
      </c>
      <c r="BF494" s="1">
        <v>13.285</v>
      </c>
      <c r="BG494" s="1" t="b">
        <v>0</v>
      </c>
      <c r="BH494" s="1" t="b">
        <v>0</v>
      </c>
      <c r="BI494" s="1">
        <v>77.78</v>
      </c>
      <c r="BJ494" s="1">
        <v>75.0</v>
      </c>
      <c r="BK494" s="1" t="b">
        <v>0</v>
      </c>
      <c r="BL494" s="1" t="b">
        <v>0</v>
      </c>
      <c r="BM494" s="1">
        <v>13.121</v>
      </c>
      <c r="BN494" s="1">
        <v>14.568</v>
      </c>
      <c r="BO494" s="1" t="b">
        <v>0</v>
      </c>
      <c r="BP494" s="1" t="b">
        <v>0</v>
      </c>
      <c r="BQ494" s="1">
        <v>75.0</v>
      </c>
      <c r="BR494" s="1">
        <v>72.027</v>
      </c>
      <c r="BS494" s="1" t="b">
        <v>0</v>
      </c>
      <c r="BT494" s="1" t="b">
        <v>0</v>
      </c>
      <c r="BU494" s="1" t="s">
        <v>105</v>
      </c>
      <c r="BV494" s="1" t="s">
        <v>105</v>
      </c>
      <c r="BW494" s="1" t="s">
        <v>105</v>
      </c>
      <c r="BX494" s="1" t="s">
        <v>105</v>
      </c>
      <c r="BY494" s="1" t="s">
        <v>105</v>
      </c>
      <c r="BZ494" s="1" t="s">
        <v>105</v>
      </c>
      <c r="CA494" s="1" t="s">
        <v>105</v>
      </c>
      <c r="CB494" s="1" t="s">
        <v>105</v>
      </c>
      <c r="CC494" s="1" t="s">
        <v>105</v>
      </c>
      <c r="CD494" s="1" t="s">
        <v>105</v>
      </c>
      <c r="CE494" s="4"/>
      <c r="CF494" s="4"/>
    </row>
    <row r="495" hidden="1">
      <c r="A495" s="1" t="s">
        <v>82</v>
      </c>
      <c r="B495" s="1" t="s">
        <v>251</v>
      </c>
      <c r="C495" s="1">
        <v>34.0</v>
      </c>
      <c r="D495" s="5" t="s">
        <v>2205</v>
      </c>
      <c r="E495" s="1" t="s">
        <v>2206</v>
      </c>
      <c r="F495" s="1">
        <v>40.0</v>
      </c>
      <c r="G495" s="1">
        <v>0.2023</v>
      </c>
      <c r="H495" s="1" t="s">
        <v>2207</v>
      </c>
      <c r="I495" s="4" t="b">
        <f>IFERROR(__xludf.DUMMYFUNCTION("IF(H495="""",,REGEXMATCH(H495,""[א-ת]""))"),FALSE)</f>
        <v>0</v>
      </c>
      <c r="J495" s="4"/>
      <c r="K495" s="4"/>
      <c r="L495" s="1">
        <v>0.4404</v>
      </c>
      <c r="M495" s="1">
        <v>29.27</v>
      </c>
      <c r="N495" s="1">
        <v>60.0</v>
      </c>
      <c r="O495" s="1">
        <v>1.5</v>
      </c>
      <c r="P495" s="4"/>
      <c r="Q495" s="4"/>
      <c r="R495" s="1" t="s">
        <v>89</v>
      </c>
      <c r="S495" s="1" t="s">
        <v>2206</v>
      </c>
      <c r="T495" s="1" t="s">
        <v>251</v>
      </c>
      <c r="U495" s="1">
        <v>35.0</v>
      </c>
      <c r="V495" s="5" t="s">
        <v>2205</v>
      </c>
      <c r="W495" s="1" t="s">
        <v>2206</v>
      </c>
      <c r="X495" s="1" t="s">
        <v>2208</v>
      </c>
      <c r="Y495" s="4"/>
      <c r="Z495" s="4"/>
      <c r="AA495" s="4" t="b">
        <f>IFERROR(__xludf.DUMMYFUNCTION("IF(X495="""",,REGEXMATCH(X495,""[א-ת]""))"),FALSE)</f>
        <v>0</v>
      </c>
      <c r="AB495" s="1">
        <v>26.62</v>
      </c>
      <c r="AC495" s="1">
        <v>52.5</v>
      </c>
      <c r="AD495" s="1">
        <v>0.429587798879968</v>
      </c>
      <c r="AE495" s="1">
        <v>0.0258</v>
      </c>
      <c r="AF495" s="1">
        <v>0.2023</v>
      </c>
      <c r="AG495" s="1">
        <v>6.337</v>
      </c>
      <c r="AH495" s="1">
        <v>6.781</v>
      </c>
      <c r="AI495" s="1" t="b">
        <v>0</v>
      </c>
      <c r="AJ495" s="1" t="b">
        <v>0</v>
      </c>
      <c r="AK495" s="1">
        <v>94.182</v>
      </c>
      <c r="AL495" s="1">
        <v>96.508</v>
      </c>
      <c r="AM495" s="1" t="b">
        <v>0</v>
      </c>
      <c r="AN495" s="1" t="b">
        <v>0</v>
      </c>
      <c r="AO495" s="1">
        <v>8.05</v>
      </c>
      <c r="AP495" s="1">
        <v>8.53399999999999</v>
      </c>
      <c r="AQ495" s="1" t="b">
        <v>0</v>
      </c>
      <c r="AR495" s="1" t="b">
        <v>0</v>
      </c>
      <c r="AS495" s="1">
        <v>86.9179999999999</v>
      </c>
      <c r="AT495" s="1">
        <v>87.152</v>
      </c>
      <c r="AU495" s="1" t="b">
        <v>0</v>
      </c>
      <c r="AV495" s="1" t="b">
        <v>0</v>
      </c>
      <c r="AW495" s="1">
        <v>9.61399999999999</v>
      </c>
      <c r="AX495" s="1">
        <v>11.026</v>
      </c>
      <c r="AY495" s="1" t="b">
        <v>0</v>
      </c>
      <c r="AZ495" s="1" t="b">
        <v>0</v>
      </c>
      <c r="BA495" s="1">
        <v>81.25</v>
      </c>
      <c r="BB495" s="1">
        <v>77.78</v>
      </c>
      <c r="BC495" s="1" t="b">
        <v>0</v>
      </c>
      <c r="BD495" s="1" t="b">
        <v>0</v>
      </c>
      <c r="BE495" s="1">
        <v>11.34</v>
      </c>
      <c r="BF495" s="1">
        <v>13.285</v>
      </c>
      <c r="BG495" s="1" t="b">
        <v>0</v>
      </c>
      <c r="BH495" s="1" t="b">
        <v>0</v>
      </c>
      <c r="BI495" s="1">
        <v>77.78</v>
      </c>
      <c r="BJ495" s="1">
        <v>75.0</v>
      </c>
      <c r="BK495" s="1" t="b">
        <v>0</v>
      </c>
      <c r="BL495" s="1" t="b">
        <v>0</v>
      </c>
      <c r="BM495" s="1">
        <v>13.121</v>
      </c>
      <c r="BN495" s="1">
        <v>14.568</v>
      </c>
      <c r="BO495" s="1" t="b">
        <v>0</v>
      </c>
      <c r="BP495" s="1" t="b">
        <v>0</v>
      </c>
      <c r="BQ495" s="1">
        <v>75.0</v>
      </c>
      <c r="BR495" s="1">
        <v>72.027</v>
      </c>
      <c r="BS495" s="1" t="b">
        <v>0</v>
      </c>
      <c r="BT495" s="1" t="b">
        <v>0</v>
      </c>
      <c r="BU495" s="1" t="s">
        <v>105</v>
      </c>
      <c r="BV495" s="1" t="s">
        <v>105</v>
      </c>
      <c r="BW495" s="1" t="s">
        <v>105</v>
      </c>
      <c r="BX495" s="1" t="s">
        <v>105</v>
      </c>
      <c r="BY495" s="1" t="s">
        <v>105</v>
      </c>
      <c r="BZ495" s="1" t="s">
        <v>105</v>
      </c>
      <c r="CA495" s="1" t="s">
        <v>105</v>
      </c>
      <c r="CB495" s="1" t="s">
        <v>105</v>
      </c>
      <c r="CC495" s="1" t="s">
        <v>105</v>
      </c>
      <c r="CD495" s="1" t="s">
        <v>105</v>
      </c>
      <c r="CE495" s="4"/>
      <c r="CF495" s="4"/>
    </row>
    <row r="496" hidden="1">
      <c r="A496" s="1" t="s">
        <v>82</v>
      </c>
      <c r="B496" s="1" t="s">
        <v>111</v>
      </c>
      <c r="C496" s="1">
        <v>16.0</v>
      </c>
      <c r="D496" s="5" t="s">
        <v>2209</v>
      </c>
      <c r="E496" s="1" t="s">
        <v>2210</v>
      </c>
      <c r="F496" s="1">
        <v>56.0</v>
      </c>
      <c r="G496" s="1">
        <v>0.4767</v>
      </c>
      <c r="H496" s="1" t="s">
        <v>2211</v>
      </c>
      <c r="I496" s="4" t="b">
        <f>IFERROR(__xludf.DUMMYFUNCTION("IF(H496="""",,REGEXMATCH(H496,""[א-ת]""))"),FALSE)</f>
        <v>0</v>
      </c>
      <c r="J496" s="4"/>
      <c r="K496" s="4"/>
      <c r="L496" s="1">
        <v>0.1007</v>
      </c>
      <c r="M496" s="1">
        <v>29.47</v>
      </c>
      <c r="N496" s="1">
        <v>57.14</v>
      </c>
      <c r="O496" s="1">
        <v>1.020357143</v>
      </c>
      <c r="P496" s="4"/>
      <c r="Q496" s="4"/>
      <c r="R496" s="1" t="s">
        <v>89</v>
      </c>
      <c r="S496" s="1" t="s">
        <v>2210</v>
      </c>
      <c r="T496" s="1" t="s">
        <v>111</v>
      </c>
      <c r="U496" s="1">
        <v>17.0</v>
      </c>
      <c r="V496" s="5" t="s">
        <v>2209</v>
      </c>
      <c r="W496" s="1" t="s">
        <v>2210</v>
      </c>
      <c r="X496" s="1" t="s">
        <v>2212</v>
      </c>
      <c r="Y496" s="4"/>
      <c r="Z496" s="4"/>
      <c r="AA496" s="4" t="b">
        <f>IFERROR(__xludf.DUMMYFUNCTION("IF(X496="""",,REGEXMATCH(X496,""[א-ת]""))"),FALSE)</f>
        <v>0</v>
      </c>
      <c r="AB496" s="1">
        <v>17.54</v>
      </c>
      <c r="AC496" s="1">
        <v>82.14</v>
      </c>
      <c r="AD496" s="1">
        <v>0.554730519181591</v>
      </c>
      <c r="AE496" s="1">
        <v>-0.6665</v>
      </c>
      <c r="AF496" s="1">
        <v>0.4767</v>
      </c>
      <c r="AG496" s="1">
        <v>6.337</v>
      </c>
      <c r="AH496" s="1">
        <v>6.781</v>
      </c>
      <c r="AI496" s="1" t="b">
        <v>0</v>
      </c>
      <c r="AJ496" s="1" t="b">
        <v>0</v>
      </c>
      <c r="AK496" s="1">
        <v>94.182</v>
      </c>
      <c r="AL496" s="1">
        <v>96.508</v>
      </c>
      <c r="AM496" s="1" t="b">
        <v>0</v>
      </c>
      <c r="AN496" s="1" t="b">
        <v>0</v>
      </c>
      <c r="AO496" s="1">
        <v>8.05</v>
      </c>
      <c r="AP496" s="1">
        <v>8.53399999999999</v>
      </c>
      <c r="AQ496" s="1" t="b">
        <v>0</v>
      </c>
      <c r="AR496" s="1" t="b">
        <v>0</v>
      </c>
      <c r="AS496" s="1">
        <v>86.9179999999999</v>
      </c>
      <c r="AT496" s="1">
        <v>87.152</v>
      </c>
      <c r="AU496" s="1" t="b">
        <v>0</v>
      </c>
      <c r="AV496" s="1" t="b">
        <v>0</v>
      </c>
      <c r="AW496" s="1">
        <v>9.61399999999999</v>
      </c>
      <c r="AX496" s="1">
        <v>11.026</v>
      </c>
      <c r="AY496" s="1" t="b">
        <v>0</v>
      </c>
      <c r="AZ496" s="1" t="b">
        <v>0</v>
      </c>
      <c r="BA496" s="1">
        <v>81.25</v>
      </c>
      <c r="BB496" s="1">
        <v>77.78</v>
      </c>
      <c r="BC496" s="1" t="b">
        <v>0</v>
      </c>
      <c r="BD496" s="1" t="b">
        <v>1</v>
      </c>
      <c r="BE496" s="1">
        <v>11.34</v>
      </c>
      <c r="BF496" s="1">
        <v>13.285</v>
      </c>
      <c r="BG496" s="1" t="b">
        <v>0</v>
      </c>
      <c r="BH496" s="1" t="b">
        <v>0</v>
      </c>
      <c r="BI496" s="1">
        <v>77.78</v>
      </c>
      <c r="BJ496" s="1">
        <v>75.0</v>
      </c>
      <c r="BK496" s="1" t="b">
        <v>0</v>
      </c>
      <c r="BL496" s="1" t="b">
        <v>1</v>
      </c>
      <c r="BM496" s="1">
        <v>13.121</v>
      </c>
      <c r="BN496" s="1">
        <v>14.568</v>
      </c>
      <c r="BO496" s="1" t="b">
        <v>0</v>
      </c>
      <c r="BP496" s="1" t="b">
        <v>0</v>
      </c>
      <c r="BQ496" s="1">
        <v>75.0</v>
      </c>
      <c r="BR496" s="1">
        <v>72.027</v>
      </c>
      <c r="BS496" s="1" t="b">
        <v>0</v>
      </c>
      <c r="BT496" s="1" t="b">
        <v>1</v>
      </c>
      <c r="BU496" s="1" t="s">
        <v>105</v>
      </c>
      <c r="BV496" s="1" t="s">
        <v>105</v>
      </c>
      <c r="BW496" s="1" t="s">
        <v>105</v>
      </c>
      <c r="BX496" s="1" t="s">
        <v>105</v>
      </c>
      <c r="BY496" s="1" t="s">
        <v>105</v>
      </c>
      <c r="BZ496" s="1" t="s">
        <v>157</v>
      </c>
      <c r="CA496" s="1" t="s">
        <v>105</v>
      </c>
      <c r="CB496" s="1" t="s">
        <v>157</v>
      </c>
      <c r="CC496" s="1" t="s">
        <v>105</v>
      </c>
      <c r="CD496" s="1" t="s">
        <v>157</v>
      </c>
      <c r="CE496" s="4"/>
      <c r="CF496" s="4"/>
    </row>
    <row r="497" hidden="1">
      <c r="A497" s="1" t="s">
        <v>82</v>
      </c>
      <c r="B497" s="1" t="s">
        <v>262</v>
      </c>
      <c r="C497" s="1">
        <v>26.0</v>
      </c>
      <c r="D497" s="5" t="s">
        <v>2213</v>
      </c>
      <c r="E497" s="1" t="s">
        <v>2214</v>
      </c>
      <c r="F497" s="1">
        <v>59.0</v>
      </c>
      <c r="G497" s="1">
        <v>0.3612</v>
      </c>
      <c r="H497" s="1" t="s">
        <v>2215</v>
      </c>
      <c r="I497" s="4" t="b">
        <f>IFERROR(__xludf.DUMMYFUNCTION("IF(H497="""",,REGEXMATCH(H497,""[א-ת]""))"),FALSE)</f>
        <v>0</v>
      </c>
      <c r="J497" s="4"/>
      <c r="K497" s="4"/>
      <c r="L497" s="1">
        <v>0.3612</v>
      </c>
      <c r="M497" s="1">
        <v>29.59</v>
      </c>
      <c r="N497" s="1">
        <v>49.15</v>
      </c>
      <c r="O497" s="1">
        <v>0.8330508475</v>
      </c>
      <c r="P497" s="4"/>
      <c r="Q497" s="4"/>
      <c r="R497" s="1" t="s">
        <v>96</v>
      </c>
      <c r="S497" s="1" t="s">
        <v>2214</v>
      </c>
      <c r="T497" s="1" t="s">
        <v>262</v>
      </c>
      <c r="U497" s="1">
        <v>27.0</v>
      </c>
      <c r="V497" s="5" t="s">
        <v>2213</v>
      </c>
      <c r="W497" s="1" t="s">
        <v>2214</v>
      </c>
      <c r="X497" s="1" t="s">
        <v>2216</v>
      </c>
      <c r="Y497" s="4"/>
      <c r="Z497" s="4"/>
      <c r="AA497" s="4" t="b">
        <f>IFERROR(__xludf.DUMMYFUNCTION("IF(X497="""",,REGEXMATCH(X497,""[א-ת]""))"),FALSE)</f>
        <v>0</v>
      </c>
      <c r="AB497" s="1">
        <v>27.68</v>
      </c>
      <c r="AC497" s="1">
        <v>54.24</v>
      </c>
      <c r="AD497" s="1">
        <v>0.599644922976832</v>
      </c>
      <c r="AE497" s="1">
        <v>0.3612</v>
      </c>
      <c r="AF497" s="1">
        <v>0.3612</v>
      </c>
      <c r="AG497" s="1">
        <v>6.337</v>
      </c>
      <c r="AH497" s="1">
        <v>6.781</v>
      </c>
      <c r="AI497" s="1" t="b">
        <v>0</v>
      </c>
      <c r="AJ497" s="1" t="b">
        <v>0</v>
      </c>
      <c r="AK497" s="1">
        <v>94.182</v>
      </c>
      <c r="AL497" s="1">
        <v>96.508</v>
      </c>
      <c r="AM497" s="1" t="b">
        <v>0</v>
      </c>
      <c r="AN497" s="1" t="b">
        <v>0</v>
      </c>
      <c r="AO497" s="1">
        <v>8.05</v>
      </c>
      <c r="AP497" s="1">
        <v>8.53399999999999</v>
      </c>
      <c r="AQ497" s="1" t="b">
        <v>0</v>
      </c>
      <c r="AR497" s="1" t="b">
        <v>0</v>
      </c>
      <c r="AS497" s="1">
        <v>86.9179999999999</v>
      </c>
      <c r="AT497" s="1">
        <v>87.152</v>
      </c>
      <c r="AU497" s="1" t="b">
        <v>0</v>
      </c>
      <c r="AV497" s="1" t="b">
        <v>0</v>
      </c>
      <c r="AW497" s="1">
        <v>9.61399999999999</v>
      </c>
      <c r="AX497" s="1">
        <v>11.026</v>
      </c>
      <c r="AY497" s="1" t="b">
        <v>0</v>
      </c>
      <c r="AZ497" s="1" t="b">
        <v>0</v>
      </c>
      <c r="BA497" s="1">
        <v>81.25</v>
      </c>
      <c r="BB497" s="1">
        <v>77.78</v>
      </c>
      <c r="BC497" s="1" t="b">
        <v>0</v>
      </c>
      <c r="BD497" s="1" t="b">
        <v>0</v>
      </c>
      <c r="BE497" s="1">
        <v>11.34</v>
      </c>
      <c r="BF497" s="1">
        <v>13.285</v>
      </c>
      <c r="BG497" s="1" t="b">
        <v>0</v>
      </c>
      <c r="BH497" s="1" t="b">
        <v>0</v>
      </c>
      <c r="BI497" s="1">
        <v>77.78</v>
      </c>
      <c r="BJ497" s="1">
        <v>75.0</v>
      </c>
      <c r="BK497" s="1" t="b">
        <v>0</v>
      </c>
      <c r="BL497" s="1" t="b">
        <v>0</v>
      </c>
      <c r="BM497" s="1">
        <v>13.121</v>
      </c>
      <c r="BN497" s="1">
        <v>14.568</v>
      </c>
      <c r="BO497" s="1" t="b">
        <v>0</v>
      </c>
      <c r="BP497" s="1" t="b">
        <v>0</v>
      </c>
      <c r="BQ497" s="1">
        <v>75.0</v>
      </c>
      <c r="BR497" s="1">
        <v>72.027</v>
      </c>
      <c r="BS497" s="1" t="b">
        <v>0</v>
      </c>
      <c r="BT497" s="1" t="b">
        <v>0</v>
      </c>
      <c r="BU497" s="1" t="s">
        <v>105</v>
      </c>
      <c r="BV497" s="1" t="s">
        <v>105</v>
      </c>
      <c r="BW497" s="1" t="s">
        <v>105</v>
      </c>
      <c r="BX497" s="1" t="s">
        <v>105</v>
      </c>
      <c r="BY497" s="1" t="s">
        <v>105</v>
      </c>
      <c r="BZ497" s="1" t="s">
        <v>105</v>
      </c>
      <c r="CA497" s="1" t="s">
        <v>105</v>
      </c>
      <c r="CB497" s="1" t="s">
        <v>105</v>
      </c>
      <c r="CC497" s="1" t="s">
        <v>105</v>
      </c>
      <c r="CD497" s="1" t="s">
        <v>105</v>
      </c>
      <c r="CE497" s="4"/>
      <c r="CF497" s="4"/>
    </row>
    <row r="498" hidden="1">
      <c r="A498" s="1" t="s">
        <v>82</v>
      </c>
      <c r="B498" s="1" t="s">
        <v>116</v>
      </c>
      <c r="C498" s="1">
        <v>2.0</v>
      </c>
      <c r="D498" s="5" t="s">
        <v>2217</v>
      </c>
      <c r="E498" s="1" t="s">
        <v>2218</v>
      </c>
      <c r="F498" s="1">
        <v>64.0</v>
      </c>
      <c r="G498" s="1">
        <v>-0.891</v>
      </c>
      <c r="H498" s="1" t="s">
        <v>2219</v>
      </c>
      <c r="I498" s="4" t="b">
        <f>IFERROR(__xludf.DUMMYFUNCTION("IF(H498="""",,REGEXMATCH(H498,""[א-ת]""))"),FALSE)</f>
        <v>0</v>
      </c>
      <c r="J498" s="4"/>
      <c r="K498" s="4"/>
      <c r="L498" s="1">
        <v>-0.5423</v>
      </c>
      <c r="M498" s="1">
        <v>29.7</v>
      </c>
      <c r="N498" s="1">
        <v>48.44</v>
      </c>
      <c r="O498" s="1">
        <v>0.756875</v>
      </c>
      <c r="P498" s="4"/>
      <c r="Q498" s="4"/>
      <c r="R498" s="1" t="s">
        <v>89</v>
      </c>
      <c r="S498" s="1" t="s">
        <v>2218</v>
      </c>
      <c r="T498" s="1" t="s">
        <v>116</v>
      </c>
      <c r="U498" s="1">
        <v>3.0</v>
      </c>
      <c r="V498" s="5" t="s">
        <v>2217</v>
      </c>
      <c r="W498" s="1" t="s">
        <v>2218</v>
      </c>
      <c r="X498" s="1" t="s">
        <v>2220</v>
      </c>
      <c r="Y498" s="4"/>
      <c r="Z498" s="4"/>
      <c r="AA498" s="4" t="b">
        <f>IFERROR(__xludf.DUMMYFUNCTION("IF(X498="""",,REGEXMATCH(X498,""[א-ת]""))"),FALSE)</f>
        <v>0</v>
      </c>
      <c r="AB498" s="1">
        <v>23.81</v>
      </c>
      <c r="AC498" s="1">
        <v>57.81</v>
      </c>
      <c r="AD498" s="1">
        <v>0.683597795409345</v>
      </c>
      <c r="AE498" s="1">
        <v>-0.4215</v>
      </c>
      <c r="AF498" s="1">
        <v>-0.891</v>
      </c>
      <c r="AG498" s="1">
        <v>6.337</v>
      </c>
      <c r="AH498" s="1">
        <v>6.781</v>
      </c>
      <c r="AI498" s="1" t="b">
        <v>0</v>
      </c>
      <c r="AJ498" s="1" t="b">
        <v>0</v>
      </c>
      <c r="AK498" s="1">
        <v>94.182</v>
      </c>
      <c r="AL498" s="1">
        <v>96.508</v>
      </c>
      <c r="AM498" s="1" t="b">
        <v>0</v>
      </c>
      <c r="AN498" s="1" t="b">
        <v>0</v>
      </c>
      <c r="AO498" s="1">
        <v>8.05</v>
      </c>
      <c r="AP498" s="1">
        <v>8.53399999999999</v>
      </c>
      <c r="AQ498" s="1" t="b">
        <v>0</v>
      </c>
      <c r="AR498" s="1" t="b">
        <v>0</v>
      </c>
      <c r="AS498" s="1">
        <v>86.9179999999999</v>
      </c>
      <c r="AT498" s="1">
        <v>87.152</v>
      </c>
      <c r="AU498" s="1" t="b">
        <v>0</v>
      </c>
      <c r="AV498" s="1" t="b">
        <v>0</v>
      </c>
      <c r="AW498" s="1">
        <v>9.61399999999999</v>
      </c>
      <c r="AX498" s="1">
        <v>11.026</v>
      </c>
      <c r="AY498" s="1" t="b">
        <v>0</v>
      </c>
      <c r="AZ498" s="1" t="b">
        <v>0</v>
      </c>
      <c r="BA498" s="1">
        <v>81.25</v>
      </c>
      <c r="BB498" s="1">
        <v>77.78</v>
      </c>
      <c r="BC498" s="1" t="b">
        <v>0</v>
      </c>
      <c r="BD498" s="1" t="b">
        <v>0</v>
      </c>
      <c r="BE498" s="1">
        <v>11.34</v>
      </c>
      <c r="BF498" s="1">
        <v>13.285</v>
      </c>
      <c r="BG498" s="1" t="b">
        <v>0</v>
      </c>
      <c r="BH498" s="1" t="b">
        <v>0</v>
      </c>
      <c r="BI498" s="1">
        <v>77.78</v>
      </c>
      <c r="BJ498" s="1">
        <v>75.0</v>
      </c>
      <c r="BK498" s="1" t="b">
        <v>0</v>
      </c>
      <c r="BL498" s="1" t="b">
        <v>0</v>
      </c>
      <c r="BM498" s="1">
        <v>13.121</v>
      </c>
      <c r="BN498" s="1">
        <v>14.568</v>
      </c>
      <c r="BO498" s="1" t="b">
        <v>0</v>
      </c>
      <c r="BP498" s="1" t="b">
        <v>0</v>
      </c>
      <c r="BQ498" s="1">
        <v>75.0</v>
      </c>
      <c r="BR498" s="1">
        <v>72.027</v>
      </c>
      <c r="BS498" s="1" t="b">
        <v>0</v>
      </c>
      <c r="BT498" s="1" t="b">
        <v>0</v>
      </c>
      <c r="BU498" s="1" t="s">
        <v>105</v>
      </c>
      <c r="BV498" s="1" t="s">
        <v>105</v>
      </c>
      <c r="BW498" s="1" t="s">
        <v>105</v>
      </c>
      <c r="BX498" s="1" t="s">
        <v>105</v>
      </c>
      <c r="BY498" s="1" t="s">
        <v>105</v>
      </c>
      <c r="BZ498" s="1" t="s">
        <v>105</v>
      </c>
      <c r="CA498" s="1" t="s">
        <v>105</v>
      </c>
      <c r="CB498" s="1" t="s">
        <v>105</v>
      </c>
      <c r="CC498" s="1" t="s">
        <v>105</v>
      </c>
      <c r="CD498" s="1" t="s">
        <v>105</v>
      </c>
      <c r="CE498" s="4"/>
      <c r="CF498" s="4"/>
    </row>
    <row r="499" hidden="1">
      <c r="A499" s="1" t="s">
        <v>82</v>
      </c>
      <c r="B499" s="1" t="s">
        <v>304</v>
      </c>
      <c r="C499" s="1">
        <v>12.0</v>
      </c>
      <c r="D499" s="5" t="s">
        <v>2221</v>
      </c>
      <c r="E499" s="1" t="s">
        <v>2222</v>
      </c>
      <c r="F499" s="1">
        <v>23.0</v>
      </c>
      <c r="G499" s="1">
        <v>0.0</v>
      </c>
      <c r="H499" s="1" t="s">
        <v>2223</v>
      </c>
      <c r="I499" s="4" t="b">
        <f>IFERROR(__xludf.DUMMYFUNCTION("IF(H499="""",,REGEXMATCH(H499,""[א-ת]""))"),FALSE)</f>
        <v>0</v>
      </c>
      <c r="J499" s="4"/>
      <c r="K499" s="4"/>
      <c r="L499" s="1">
        <v>0.0</v>
      </c>
      <c r="M499" s="1">
        <v>29.86</v>
      </c>
      <c r="N499" s="1">
        <v>43.48</v>
      </c>
      <c r="O499" s="1">
        <v>1.890434783</v>
      </c>
      <c r="P499" s="4"/>
      <c r="Q499" s="4"/>
      <c r="R499" s="1" t="s">
        <v>89</v>
      </c>
      <c r="S499" s="1" t="s">
        <v>2222</v>
      </c>
      <c r="T499" s="1" t="s">
        <v>304</v>
      </c>
      <c r="U499" s="1">
        <v>13.0</v>
      </c>
      <c r="V499" s="5" t="s">
        <v>2221</v>
      </c>
      <c r="W499" s="1" t="s">
        <v>2222</v>
      </c>
      <c r="X499" s="1" t="s">
        <v>2224</v>
      </c>
      <c r="Y499" s="4"/>
      <c r="Z499" s="4"/>
      <c r="AA499" s="4" t="b">
        <f>IFERROR(__xludf.DUMMYFUNCTION("IF(X499="""",,REGEXMATCH(X499,""[א-ת]""))"),FALSE)</f>
        <v>0</v>
      </c>
      <c r="AB499" s="1">
        <v>32.95</v>
      </c>
      <c r="AC499" s="1">
        <v>39.13</v>
      </c>
      <c r="AD499" s="1">
        <v>0.799264373962169</v>
      </c>
      <c r="AE499" s="1">
        <v>0.0</v>
      </c>
      <c r="AF499" s="1">
        <v>0.0</v>
      </c>
      <c r="AG499" s="1">
        <v>6.337</v>
      </c>
      <c r="AH499" s="1">
        <v>6.781</v>
      </c>
      <c r="AI499" s="1" t="b">
        <v>0</v>
      </c>
      <c r="AJ499" s="1" t="b">
        <v>0</v>
      </c>
      <c r="AK499" s="1">
        <v>94.182</v>
      </c>
      <c r="AL499" s="1">
        <v>96.508</v>
      </c>
      <c r="AM499" s="1" t="b">
        <v>0</v>
      </c>
      <c r="AN499" s="1" t="b">
        <v>0</v>
      </c>
      <c r="AO499" s="1">
        <v>8.05</v>
      </c>
      <c r="AP499" s="1">
        <v>8.53399999999999</v>
      </c>
      <c r="AQ499" s="1" t="b">
        <v>0</v>
      </c>
      <c r="AR499" s="1" t="b">
        <v>0</v>
      </c>
      <c r="AS499" s="1">
        <v>86.9179999999999</v>
      </c>
      <c r="AT499" s="1">
        <v>87.152</v>
      </c>
      <c r="AU499" s="1" t="b">
        <v>0</v>
      </c>
      <c r="AV499" s="1" t="b">
        <v>0</v>
      </c>
      <c r="AW499" s="1">
        <v>9.61399999999999</v>
      </c>
      <c r="AX499" s="1">
        <v>11.026</v>
      </c>
      <c r="AY499" s="1" t="b">
        <v>0</v>
      </c>
      <c r="AZ499" s="1" t="b">
        <v>0</v>
      </c>
      <c r="BA499" s="1">
        <v>81.25</v>
      </c>
      <c r="BB499" s="1">
        <v>77.78</v>
      </c>
      <c r="BC499" s="1" t="b">
        <v>0</v>
      </c>
      <c r="BD499" s="1" t="b">
        <v>0</v>
      </c>
      <c r="BE499" s="1">
        <v>11.34</v>
      </c>
      <c r="BF499" s="1">
        <v>13.285</v>
      </c>
      <c r="BG499" s="1" t="b">
        <v>0</v>
      </c>
      <c r="BH499" s="1" t="b">
        <v>0</v>
      </c>
      <c r="BI499" s="1">
        <v>77.78</v>
      </c>
      <c r="BJ499" s="1">
        <v>75.0</v>
      </c>
      <c r="BK499" s="1" t="b">
        <v>0</v>
      </c>
      <c r="BL499" s="1" t="b">
        <v>0</v>
      </c>
      <c r="BM499" s="1">
        <v>13.121</v>
      </c>
      <c r="BN499" s="1">
        <v>14.568</v>
      </c>
      <c r="BO499" s="1" t="b">
        <v>0</v>
      </c>
      <c r="BP499" s="1" t="b">
        <v>0</v>
      </c>
      <c r="BQ499" s="1">
        <v>75.0</v>
      </c>
      <c r="BR499" s="1">
        <v>72.027</v>
      </c>
      <c r="BS499" s="1" t="b">
        <v>0</v>
      </c>
      <c r="BT499" s="1" t="b">
        <v>0</v>
      </c>
      <c r="BU499" s="1" t="s">
        <v>105</v>
      </c>
      <c r="BV499" s="1" t="s">
        <v>105</v>
      </c>
      <c r="BW499" s="1" t="s">
        <v>105</v>
      </c>
      <c r="BX499" s="1" t="s">
        <v>105</v>
      </c>
      <c r="BY499" s="1" t="s">
        <v>105</v>
      </c>
      <c r="BZ499" s="1" t="s">
        <v>105</v>
      </c>
      <c r="CA499" s="1" t="s">
        <v>105</v>
      </c>
      <c r="CB499" s="1" t="s">
        <v>105</v>
      </c>
      <c r="CC499" s="1" t="s">
        <v>105</v>
      </c>
      <c r="CD499" s="1" t="s">
        <v>105</v>
      </c>
      <c r="CE499" s="4"/>
      <c r="CF499" s="4"/>
    </row>
    <row r="500" hidden="1">
      <c r="A500" s="1" t="s">
        <v>82</v>
      </c>
      <c r="B500" s="1" t="s">
        <v>262</v>
      </c>
      <c r="C500" s="1">
        <v>1.0</v>
      </c>
      <c r="D500" s="5" t="s">
        <v>2225</v>
      </c>
      <c r="E500" s="1" t="s">
        <v>2226</v>
      </c>
      <c r="F500" s="1">
        <v>58.0</v>
      </c>
      <c r="G500" s="1">
        <v>0.0</v>
      </c>
      <c r="H500" s="1" t="s">
        <v>2227</v>
      </c>
      <c r="I500" s="4" t="b">
        <f>IFERROR(__xludf.DUMMYFUNCTION("IF(H500="""",,REGEXMATCH(H500,""[א-ת]""))"),FALSE)</f>
        <v>0</v>
      </c>
      <c r="J500" s="4"/>
      <c r="K500" s="4"/>
      <c r="L500" s="1">
        <v>0.0</v>
      </c>
      <c r="M500" s="1">
        <v>29.91</v>
      </c>
      <c r="N500" s="1">
        <v>56.9</v>
      </c>
      <c r="O500" s="1">
        <v>0.9810344828</v>
      </c>
      <c r="P500" s="4"/>
      <c r="Q500" s="4"/>
      <c r="R500" s="1" t="s">
        <v>96</v>
      </c>
      <c r="S500" s="1" t="s">
        <v>2226</v>
      </c>
      <c r="T500" s="1" t="s">
        <v>262</v>
      </c>
      <c r="U500" s="1">
        <v>2.0</v>
      </c>
      <c r="V500" s="5" t="s">
        <v>2225</v>
      </c>
      <c r="W500" s="1" t="s">
        <v>2226</v>
      </c>
      <c r="X500" s="1" t="s">
        <v>2228</v>
      </c>
      <c r="Y500" s="4"/>
      <c r="Z500" s="4"/>
      <c r="AA500" s="4" t="b">
        <f>IFERROR(__xludf.DUMMYFUNCTION("IF(X500="""",,REGEXMATCH(X500,""[א-ת]""))"),FALSE)</f>
        <v>0</v>
      </c>
      <c r="AB500" s="1">
        <v>19.95</v>
      </c>
      <c r="AC500" s="1">
        <v>58.62</v>
      </c>
      <c r="AD500" s="1">
        <v>0.524187424201603</v>
      </c>
      <c r="AE500" s="1">
        <v>0.0</v>
      </c>
      <c r="AF500" s="1">
        <v>0.0</v>
      </c>
      <c r="AG500" s="1">
        <v>6.337</v>
      </c>
      <c r="AH500" s="1">
        <v>6.781</v>
      </c>
      <c r="AI500" s="1" t="b">
        <v>0</v>
      </c>
      <c r="AJ500" s="1" t="b">
        <v>0</v>
      </c>
      <c r="AK500" s="1">
        <v>94.182</v>
      </c>
      <c r="AL500" s="1">
        <v>96.508</v>
      </c>
      <c r="AM500" s="1" t="b">
        <v>0</v>
      </c>
      <c r="AN500" s="1" t="b">
        <v>0</v>
      </c>
      <c r="AO500" s="1">
        <v>8.05</v>
      </c>
      <c r="AP500" s="1">
        <v>8.53399999999999</v>
      </c>
      <c r="AQ500" s="1" t="b">
        <v>0</v>
      </c>
      <c r="AR500" s="1" t="b">
        <v>0</v>
      </c>
      <c r="AS500" s="1">
        <v>86.9179999999999</v>
      </c>
      <c r="AT500" s="1">
        <v>87.152</v>
      </c>
      <c r="AU500" s="1" t="b">
        <v>0</v>
      </c>
      <c r="AV500" s="1" t="b">
        <v>0</v>
      </c>
      <c r="AW500" s="1">
        <v>9.61399999999999</v>
      </c>
      <c r="AX500" s="1">
        <v>11.026</v>
      </c>
      <c r="AY500" s="1" t="b">
        <v>0</v>
      </c>
      <c r="AZ500" s="1" t="b">
        <v>0</v>
      </c>
      <c r="BA500" s="1">
        <v>81.25</v>
      </c>
      <c r="BB500" s="1">
        <v>77.78</v>
      </c>
      <c r="BC500" s="1" t="b">
        <v>0</v>
      </c>
      <c r="BD500" s="1" t="b">
        <v>0</v>
      </c>
      <c r="BE500" s="1">
        <v>11.34</v>
      </c>
      <c r="BF500" s="1">
        <v>13.285</v>
      </c>
      <c r="BG500" s="1" t="b">
        <v>0</v>
      </c>
      <c r="BH500" s="1" t="b">
        <v>0</v>
      </c>
      <c r="BI500" s="1">
        <v>77.78</v>
      </c>
      <c r="BJ500" s="1">
        <v>75.0</v>
      </c>
      <c r="BK500" s="1" t="b">
        <v>0</v>
      </c>
      <c r="BL500" s="1" t="b">
        <v>0</v>
      </c>
      <c r="BM500" s="1">
        <v>13.121</v>
      </c>
      <c r="BN500" s="1">
        <v>14.568</v>
      </c>
      <c r="BO500" s="1" t="b">
        <v>0</v>
      </c>
      <c r="BP500" s="1" t="b">
        <v>0</v>
      </c>
      <c r="BQ500" s="1">
        <v>75.0</v>
      </c>
      <c r="BR500" s="1">
        <v>72.027</v>
      </c>
      <c r="BS500" s="1" t="b">
        <v>0</v>
      </c>
      <c r="BT500" s="1" t="b">
        <v>0</v>
      </c>
      <c r="BU500" s="1" t="s">
        <v>105</v>
      </c>
      <c r="BV500" s="1" t="s">
        <v>105</v>
      </c>
      <c r="BW500" s="1" t="s">
        <v>105</v>
      </c>
      <c r="BX500" s="1" t="s">
        <v>105</v>
      </c>
      <c r="BY500" s="1" t="s">
        <v>105</v>
      </c>
      <c r="BZ500" s="1" t="s">
        <v>105</v>
      </c>
      <c r="CA500" s="1" t="s">
        <v>105</v>
      </c>
      <c r="CB500" s="1" t="s">
        <v>105</v>
      </c>
      <c r="CC500" s="1" t="s">
        <v>105</v>
      </c>
      <c r="CD500" s="1" t="s">
        <v>105</v>
      </c>
      <c r="CE500" s="4"/>
      <c r="CF500" s="4"/>
    </row>
    <row r="501" hidden="1">
      <c r="A501" s="1" t="s">
        <v>82</v>
      </c>
      <c r="B501" s="1" t="s">
        <v>167</v>
      </c>
      <c r="C501" s="1">
        <v>12.0</v>
      </c>
      <c r="D501" s="5" t="s">
        <v>2229</v>
      </c>
      <c r="E501" s="1" t="s">
        <v>2230</v>
      </c>
      <c r="F501" s="1">
        <v>35.0</v>
      </c>
      <c r="G501" s="1">
        <v>-0.128</v>
      </c>
      <c r="H501" s="1" t="s">
        <v>2231</v>
      </c>
      <c r="I501" s="4" t="b">
        <f>IFERROR(__xludf.DUMMYFUNCTION("IF(H501="""",,REGEXMATCH(H501,""[א-ת]""))"),FALSE)</f>
        <v>0</v>
      </c>
      <c r="J501" s="4"/>
      <c r="K501" s="4"/>
      <c r="L501" s="1">
        <v>-0.4588</v>
      </c>
      <c r="M501" s="1">
        <v>30.03</v>
      </c>
      <c r="N501" s="1">
        <v>77.14</v>
      </c>
      <c r="O501" s="1">
        <v>2.204</v>
      </c>
      <c r="P501" s="4"/>
      <c r="Q501" s="4"/>
      <c r="R501" s="1" t="s">
        <v>127</v>
      </c>
      <c r="S501" s="1" t="s">
        <v>2230</v>
      </c>
      <c r="T501" s="1" t="s">
        <v>167</v>
      </c>
      <c r="U501" s="1">
        <v>13.0</v>
      </c>
      <c r="V501" s="5" t="s">
        <v>2229</v>
      </c>
      <c r="W501" s="1" t="s">
        <v>2230</v>
      </c>
      <c r="X501" s="1" t="s">
        <v>2232</v>
      </c>
      <c r="Y501" s="4"/>
      <c r="Z501" s="4"/>
      <c r="AA501" s="4" t="b">
        <f>IFERROR(__xludf.DUMMYFUNCTION("IF(X501="""",,REGEXMATCH(X501,""[א-ת]""))"),FALSE)</f>
        <v>0</v>
      </c>
      <c r="AB501" s="1">
        <v>28.28</v>
      </c>
      <c r="AC501" s="1">
        <v>48.57</v>
      </c>
      <c r="AD501" s="1">
        <v>0.315456531595147</v>
      </c>
      <c r="AE501" s="1">
        <v>-0.1027</v>
      </c>
      <c r="AF501" s="1">
        <v>-0.128</v>
      </c>
      <c r="AG501" s="1">
        <v>6.337</v>
      </c>
      <c r="AH501" s="1">
        <v>6.781</v>
      </c>
      <c r="AI501" s="1" t="b">
        <v>0</v>
      </c>
      <c r="AJ501" s="1" t="b">
        <v>0</v>
      </c>
      <c r="AK501" s="1">
        <v>94.182</v>
      </c>
      <c r="AL501" s="1">
        <v>96.508</v>
      </c>
      <c r="AM501" s="1" t="b">
        <v>0</v>
      </c>
      <c r="AN501" s="1" t="b">
        <v>0</v>
      </c>
      <c r="AO501" s="1">
        <v>8.05</v>
      </c>
      <c r="AP501" s="1">
        <v>8.53399999999999</v>
      </c>
      <c r="AQ501" s="1" t="b">
        <v>0</v>
      </c>
      <c r="AR501" s="1" t="b">
        <v>0</v>
      </c>
      <c r="AS501" s="1">
        <v>86.9179999999999</v>
      </c>
      <c r="AT501" s="1">
        <v>87.152</v>
      </c>
      <c r="AU501" s="1" t="b">
        <v>0</v>
      </c>
      <c r="AV501" s="1" t="b">
        <v>0</v>
      </c>
      <c r="AW501" s="1">
        <v>9.61399999999999</v>
      </c>
      <c r="AX501" s="1">
        <v>11.026</v>
      </c>
      <c r="AY501" s="1" t="b">
        <v>0</v>
      </c>
      <c r="AZ501" s="1" t="b">
        <v>0</v>
      </c>
      <c r="BA501" s="1">
        <v>81.25</v>
      </c>
      <c r="BB501" s="1">
        <v>77.78</v>
      </c>
      <c r="BC501" s="1" t="b">
        <v>0</v>
      </c>
      <c r="BD501" s="1" t="b">
        <v>0</v>
      </c>
      <c r="BE501" s="1">
        <v>11.34</v>
      </c>
      <c r="BF501" s="1">
        <v>13.285</v>
      </c>
      <c r="BG501" s="1" t="b">
        <v>0</v>
      </c>
      <c r="BH501" s="1" t="b">
        <v>0</v>
      </c>
      <c r="BI501" s="1">
        <v>77.78</v>
      </c>
      <c r="BJ501" s="1">
        <v>75.0</v>
      </c>
      <c r="BK501" s="1" t="b">
        <v>0</v>
      </c>
      <c r="BL501" s="1" t="b">
        <v>0</v>
      </c>
      <c r="BM501" s="1">
        <v>13.121</v>
      </c>
      <c r="BN501" s="1">
        <v>14.568</v>
      </c>
      <c r="BO501" s="1" t="b">
        <v>0</v>
      </c>
      <c r="BP501" s="1" t="b">
        <v>0</v>
      </c>
      <c r="BQ501" s="1">
        <v>75.0</v>
      </c>
      <c r="BR501" s="1">
        <v>72.027</v>
      </c>
      <c r="BS501" s="1" t="b">
        <v>1</v>
      </c>
      <c r="BT501" s="1" t="b">
        <v>0</v>
      </c>
      <c r="BU501" s="1" t="s">
        <v>105</v>
      </c>
      <c r="BV501" s="1" t="s">
        <v>105</v>
      </c>
      <c r="BW501" s="1" t="s">
        <v>105</v>
      </c>
      <c r="BX501" s="1" t="s">
        <v>105</v>
      </c>
      <c r="BY501" s="1" t="s">
        <v>105</v>
      </c>
      <c r="BZ501" s="1" t="s">
        <v>105</v>
      </c>
      <c r="CA501" s="1" t="s">
        <v>105</v>
      </c>
      <c r="CB501" s="1" t="s">
        <v>105</v>
      </c>
      <c r="CC501" s="1" t="s">
        <v>105</v>
      </c>
      <c r="CD501" s="1" t="s">
        <v>91</v>
      </c>
      <c r="CE501" s="4"/>
      <c r="CF501" s="4"/>
    </row>
    <row r="502" hidden="1">
      <c r="A502" s="1" t="s">
        <v>82</v>
      </c>
      <c r="B502" s="1" t="s">
        <v>111</v>
      </c>
      <c r="C502" s="1">
        <v>73.0</v>
      </c>
      <c r="D502" s="5" t="s">
        <v>2233</v>
      </c>
      <c r="E502" s="1" t="s">
        <v>2234</v>
      </c>
      <c r="F502" s="1">
        <v>51.0</v>
      </c>
      <c r="G502" s="1">
        <v>0.3919</v>
      </c>
      <c r="H502" s="1" t="s">
        <v>2235</v>
      </c>
      <c r="I502" s="4" t="b">
        <f>IFERROR(__xludf.DUMMYFUNCTION("IF(H502="""",,REGEXMATCH(H502,""[א-ת]""))"),FALSE)</f>
        <v>0</v>
      </c>
      <c r="J502" s="4"/>
      <c r="K502" s="4"/>
      <c r="L502" s="1">
        <v>-0.6705</v>
      </c>
      <c r="M502" s="1">
        <v>30.1</v>
      </c>
      <c r="N502" s="1">
        <v>47.06</v>
      </c>
      <c r="O502" s="1">
        <v>0.922745098</v>
      </c>
      <c r="P502" s="4"/>
      <c r="Q502" s="4"/>
      <c r="R502" s="1" t="s">
        <v>89</v>
      </c>
      <c r="S502" s="1" t="s">
        <v>2234</v>
      </c>
      <c r="T502" s="1" t="s">
        <v>111</v>
      </c>
      <c r="U502" s="1">
        <v>74.0</v>
      </c>
      <c r="V502" s="5" t="s">
        <v>2233</v>
      </c>
      <c r="W502" s="1" t="s">
        <v>2234</v>
      </c>
      <c r="X502" s="1" t="s">
        <v>2236</v>
      </c>
      <c r="Y502" s="4"/>
      <c r="Z502" s="4"/>
      <c r="AA502" s="4" t="b">
        <f>IFERROR(__xludf.DUMMYFUNCTION("IF(X502="""",,REGEXMATCH(X502,""[א-ת]""))"),FALSE)</f>
        <v>0</v>
      </c>
      <c r="AB502" s="1">
        <v>39.12</v>
      </c>
      <c r="AC502" s="1">
        <v>43.14</v>
      </c>
      <c r="AD502" s="1">
        <v>0.636083895174275</v>
      </c>
      <c r="AE502" s="1">
        <v>0.4019</v>
      </c>
      <c r="AF502" s="1">
        <v>0.3919</v>
      </c>
      <c r="AG502" s="1">
        <v>6.337</v>
      </c>
      <c r="AH502" s="1">
        <v>6.781</v>
      </c>
      <c r="AI502" s="1" t="b">
        <v>0</v>
      </c>
      <c r="AJ502" s="1" t="b">
        <v>0</v>
      </c>
      <c r="AK502" s="1">
        <v>94.182</v>
      </c>
      <c r="AL502" s="1">
        <v>96.508</v>
      </c>
      <c r="AM502" s="1" t="b">
        <v>0</v>
      </c>
      <c r="AN502" s="1" t="b">
        <v>0</v>
      </c>
      <c r="AO502" s="1">
        <v>8.05</v>
      </c>
      <c r="AP502" s="1">
        <v>8.53399999999999</v>
      </c>
      <c r="AQ502" s="1" t="b">
        <v>0</v>
      </c>
      <c r="AR502" s="1" t="b">
        <v>0</v>
      </c>
      <c r="AS502" s="1">
        <v>86.9179999999999</v>
      </c>
      <c r="AT502" s="1">
        <v>87.152</v>
      </c>
      <c r="AU502" s="1" t="b">
        <v>0</v>
      </c>
      <c r="AV502" s="1" t="b">
        <v>0</v>
      </c>
      <c r="AW502" s="1">
        <v>9.61399999999999</v>
      </c>
      <c r="AX502" s="1">
        <v>11.026</v>
      </c>
      <c r="AY502" s="1" t="b">
        <v>0</v>
      </c>
      <c r="AZ502" s="1" t="b">
        <v>0</v>
      </c>
      <c r="BA502" s="1">
        <v>81.25</v>
      </c>
      <c r="BB502" s="1">
        <v>77.78</v>
      </c>
      <c r="BC502" s="1" t="b">
        <v>0</v>
      </c>
      <c r="BD502" s="1" t="b">
        <v>0</v>
      </c>
      <c r="BE502" s="1">
        <v>11.34</v>
      </c>
      <c r="BF502" s="1">
        <v>13.285</v>
      </c>
      <c r="BG502" s="1" t="b">
        <v>0</v>
      </c>
      <c r="BH502" s="1" t="b">
        <v>0</v>
      </c>
      <c r="BI502" s="1">
        <v>77.78</v>
      </c>
      <c r="BJ502" s="1">
        <v>75.0</v>
      </c>
      <c r="BK502" s="1" t="b">
        <v>0</v>
      </c>
      <c r="BL502" s="1" t="b">
        <v>0</v>
      </c>
      <c r="BM502" s="1">
        <v>13.121</v>
      </c>
      <c r="BN502" s="1">
        <v>14.568</v>
      </c>
      <c r="BO502" s="1" t="b">
        <v>0</v>
      </c>
      <c r="BP502" s="1" t="b">
        <v>0</v>
      </c>
      <c r="BQ502" s="1">
        <v>75.0</v>
      </c>
      <c r="BR502" s="1">
        <v>72.027</v>
      </c>
      <c r="BS502" s="1" t="b">
        <v>0</v>
      </c>
      <c r="BT502" s="1" t="b">
        <v>0</v>
      </c>
      <c r="BU502" s="1" t="s">
        <v>105</v>
      </c>
      <c r="BV502" s="1" t="s">
        <v>105</v>
      </c>
      <c r="BW502" s="1" t="s">
        <v>105</v>
      </c>
      <c r="BX502" s="1" t="s">
        <v>105</v>
      </c>
      <c r="BY502" s="1" t="s">
        <v>105</v>
      </c>
      <c r="BZ502" s="1" t="s">
        <v>105</v>
      </c>
      <c r="CA502" s="1" t="s">
        <v>105</v>
      </c>
      <c r="CB502" s="1" t="s">
        <v>105</v>
      </c>
      <c r="CC502" s="1" t="s">
        <v>105</v>
      </c>
      <c r="CD502" s="1" t="s">
        <v>105</v>
      </c>
      <c r="CE502" s="4"/>
      <c r="CF502" s="4"/>
    </row>
    <row r="503" hidden="1">
      <c r="A503" s="1" t="s">
        <v>82</v>
      </c>
      <c r="B503" s="1" t="s">
        <v>92</v>
      </c>
      <c r="C503" s="1">
        <v>44.0</v>
      </c>
      <c r="D503" s="5" t="s">
        <v>2237</v>
      </c>
      <c r="E503" s="1" t="s">
        <v>2238</v>
      </c>
      <c r="F503" s="1">
        <v>27.0</v>
      </c>
      <c r="G503" s="1">
        <v>0.0</v>
      </c>
      <c r="H503" s="1" t="s">
        <v>2239</v>
      </c>
      <c r="I503" s="4" t="b">
        <f>IFERROR(__xludf.DUMMYFUNCTION("IF(H503="""",,REGEXMATCH(H503,""[א-ת]""))"),FALSE)</f>
        <v>0</v>
      </c>
      <c r="J503" s="4"/>
      <c r="K503" s="4"/>
      <c r="L503" s="1">
        <v>0.0</v>
      </c>
      <c r="M503" s="1">
        <v>30.23</v>
      </c>
      <c r="N503" s="1">
        <v>51.85</v>
      </c>
      <c r="O503" s="1">
        <v>1.92037037</v>
      </c>
      <c r="P503" s="4"/>
      <c r="Q503" s="4"/>
      <c r="R503" s="1" t="s">
        <v>96</v>
      </c>
      <c r="S503" s="1" t="s">
        <v>2238</v>
      </c>
      <c r="T503" s="1" t="s">
        <v>92</v>
      </c>
      <c r="U503" s="1">
        <v>45.0</v>
      </c>
      <c r="V503" s="5" t="s">
        <v>2237</v>
      </c>
      <c r="W503" s="1" t="s">
        <v>2238</v>
      </c>
      <c r="X503" s="1" t="s">
        <v>2240</v>
      </c>
      <c r="Y503" s="4"/>
      <c r="Z503" s="4"/>
      <c r="AA503" s="4" t="b">
        <f>IFERROR(__xludf.DUMMYFUNCTION("IF(X503="""",,REGEXMATCH(X503,""[א-ת]""))"),FALSE)</f>
        <v>0</v>
      </c>
      <c r="AB503" s="1">
        <v>46.75</v>
      </c>
      <c r="AC503" s="1">
        <v>48.15</v>
      </c>
      <c r="AD503" s="1">
        <v>0.823782219452347</v>
      </c>
      <c r="AE503" s="1">
        <v>0.0</v>
      </c>
      <c r="AF503" s="1">
        <v>0.0</v>
      </c>
      <c r="AG503" s="1">
        <v>6.337</v>
      </c>
      <c r="AH503" s="1">
        <v>6.781</v>
      </c>
      <c r="AI503" s="1" t="b">
        <v>0</v>
      </c>
      <c r="AJ503" s="1" t="b">
        <v>0</v>
      </c>
      <c r="AK503" s="1">
        <v>94.182</v>
      </c>
      <c r="AL503" s="1">
        <v>96.508</v>
      </c>
      <c r="AM503" s="1" t="b">
        <v>0</v>
      </c>
      <c r="AN503" s="1" t="b">
        <v>0</v>
      </c>
      <c r="AO503" s="1">
        <v>8.05</v>
      </c>
      <c r="AP503" s="1">
        <v>8.53399999999999</v>
      </c>
      <c r="AQ503" s="1" t="b">
        <v>0</v>
      </c>
      <c r="AR503" s="1" t="b">
        <v>0</v>
      </c>
      <c r="AS503" s="1">
        <v>86.9179999999999</v>
      </c>
      <c r="AT503" s="1">
        <v>87.152</v>
      </c>
      <c r="AU503" s="1" t="b">
        <v>0</v>
      </c>
      <c r="AV503" s="1" t="b">
        <v>0</v>
      </c>
      <c r="AW503" s="1">
        <v>9.61399999999999</v>
      </c>
      <c r="AX503" s="1">
        <v>11.026</v>
      </c>
      <c r="AY503" s="1" t="b">
        <v>0</v>
      </c>
      <c r="AZ503" s="1" t="b">
        <v>0</v>
      </c>
      <c r="BA503" s="1">
        <v>81.25</v>
      </c>
      <c r="BB503" s="1">
        <v>77.78</v>
      </c>
      <c r="BC503" s="1" t="b">
        <v>0</v>
      </c>
      <c r="BD503" s="1" t="b">
        <v>0</v>
      </c>
      <c r="BE503" s="1">
        <v>11.34</v>
      </c>
      <c r="BF503" s="1">
        <v>13.285</v>
      </c>
      <c r="BG503" s="1" t="b">
        <v>0</v>
      </c>
      <c r="BH503" s="1" t="b">
        <v>0</v>
      </c>
      <c r="BI503" s="1">
        <v>77.78</v>
      </c>
      <c r="BJ503" s="1">
        <v>75.0</v>
      </c>
      <c r="BK503" s="1" t="b">
        <v>0</v>
      </c>
      <c r="BL503" s="1" t="b">
        <v>0</v>
      </c>
      <c r="BM503" s="1">
        <v>13.121</v>
      </c>
      <c r="BN503" s="1">
        <v>14.568</v>
      </c>
      <c r="BO503" s="1" t="b">
        <v>0</v>
      </c>
      <c r="BP503" s="1" t="b">
        <v>0</v>
      </c>
      <c r="BQ503" s="1">
        <v>75.0</v>
      </c>
      <c r="BR503" s="1">
        <v>72.027</v>
      </c>
      <c r="BS503" s="1" t="b">
        <v>0</v>
      </c>
      <c r="BT503" s="1" t="b">
        <v>0</v>
      </c>
      <c r="BU503" s="1" t="s">
        <v>105</v>
      </c>
      <c r="BV503" s="1" t="s">
        <v>105</v>
      </c>
      <c r="BW503" s="1" t="s">
        <v>105</v>
      </c>
      <c r="BX503" s="1" t="s">
        <v>105</v>
      </c>
      <c r="BY503" s="1" t="s">
        <v>105</v>
      </c>
      <c r="BZ503" s="1" t="s">
        <v>105</v>
      </c>
      <c r="CA503" s="1" t="s">
        <v>105</v>
      </c>
      <c r="CB503" s="1" t="s">
        <v>105</v>
      </c>
      <c r="CC503" s="1" t="s">
        <v>105</v>
      </c>
      <c r="CD503" s="1" t="s">
        <v>105</v>
      </c>
      <c r="CE503" s="4"/>
      <c r="CF503" s="4"/>
    </row>
    <row r="504" hidden="1">
      <c r="A504" s="1" t="s">
        <v>82</v>
      </c>
      <c r="B504" s="1" t="s">
        <v>427</v>
      </c>
      <c r="C504" s="1">
        <v>8.0</v>
      </c>
      <c r="D504" s="5" t="s">
        <v>2241</v>
      </c>
      <c r="E504" s="1" t="s">
        <v>2242</v>
      </c>
      <c r="F504" s="1">
        <v>69.0</v>
      </c>
      <c r="G504" s="1">
        <v>0.8625</v>
      </c>
      <c r="H504" s="1" t="s">
        <v>2243</v>
      </c>
      <c r="I504" s="4" t="b">
        <f>IFERROR(__xludf.DUMMYFUNCTION("IF(H504="""",,REGEXMATCH(H504,""[א-ת]""))"),FALSE)</f>
        <v>0</v>
      </c>
      <c r="J504" s="4"/>
      <c r="K504" s="4"/>
      <c r="L504" s="1">
        <v>0.872</v>
      </c>
      <c r="M504" s="1">
        <v>30.36</v>
      </c>
      <c r="N504" s="1">
        <v>60.87</v>
      </c>
      <c r="O504" s="1">
        <v>0.882173913</v>
      </c>
      <c r="P504" s="4"/>
      <c r="Q504" s="4"/>
      <c r="R504" s="1" t="s">
        <v>96</v>
      </c>
      <c r="S504" s="1" t="s">
        <v>2242</v>
      </c>
      <c r="T504" s="1" t="s">
        <v>427</v>
      </c>
      <c r="U504" s="1">
        <v>9.0</v>
      </c>
      <c r="V504" s="5" t="s">
        <v>2241</v>
      </c>
      <c r="W504" s="1" t="s">
        <v>2242</v>
      </c>
      <c r="X504" s="1" t="s">
        <v>2244</v>
      </c>
      <c r="Y504" s="4"/>
      <c r="Z504" s="4"/>
      <c r="AA504" s="4" t="b">
        <f>IFERROR(__xludf.DUMMYFUNCTION("IF(X504="""",,REGEXMATCH(X504,""[א-ת]""))"),FALSE)</f>
        <v>0</v>
      </c>
      <c r="AB504" s="1">
        <v>30.88</v>
      </c>
      <c r="AC504" s="1">
        <v>52.17</v>
      </c>
      <c r="AD504" s="1">
        <v>0.671070912032805</v>
      </c>
      <c r="AE504" s="1">
        <v>0.8625</v>
      </c>
      <c r="AF504" s="1">
        <v>0.8625</v>
      </c>
      <c r="AG504" s="1">
        <v>6.337</v>
      </c>
      <c r="AH504" s="1">
        <v>6.781</v>
      </c>
      <c r="AI504" s="1" t="b">
        <v>0</v>
      </c>
      <c r="AJ504" s="1" t="b">
        <v>0</v>
      </c>
      <c r="AK504" s="1">
        <v>94.182</v>
      </c>
      <c r="AL504" s="1">
        <v>96.508</v>
      </c>
      <c r="AM504" s="1" t="b">
        <v>0</v>
      </c>
      <c r="AN504" s="1" t="b">
        <v>0</v>
      </c>
      <c r="AO504" s="1">
        <v>8.05</v>
      </c>
      <c r="AP504" s="1">
        <v>8.53399999999999</v>
      </c>
      <c r="AQ504" s="1" t="b">
        <v>0</v>
      </c>
      <c r="AR504" s="1" t="b">
        <v>0</v>
      </c>
      <c r="AS504" s="1">
        <v>86.9179999999999</v>
      </c>
      <c r="AT504" s="1">
        <v>87.152</v>
      </c>
      <c r="AU504" s="1" t="b">
        <v>0</v>
      </c>
      <c r="AV504" s="1" t="b">
        <v>0</v>
      </c>
      <c r="AW504" s="1">
        <v>9.61399999999999</v>
      </c>
      <c r="AX504" s="1">
        <v>11.026</v>
      </c>
      <c r="AY504" s="1" t="b">
        <v>0</v>
      </c>
      <c r="AZ504" s="1" t="b">
        <v>0</v>
      </c>
      <c r="BA504" s="1">
        <v>81.25</v>
      </c>
      <c r="BB504" s="1">
        <v>77.78</v>
      </c>
      <c r="BC504" s="1" t="b">
        <v>0</v>
      </c>
      <c r="BD504" s="1" t="b">
        <v>0</v>
      </c>
      <c r="BE504" s="1">
        <v>11.34</v>
      </c>
      <c r="BF504" s="1">
        <v>13.285</v>
      </c>
      <c r="BG504" s="1" t="b">
        <v>0</v>
      </c>
      <c r="BH504" s="1" t="b">
        <v>0</v>
      </c>
      <c r="BI504" s="1">
        <v>77.78</v>
      </c>
      <c r="BJ504" s="1">
        <v>75.0</v>
      </c>
      <c r="BK504" s="1" t="b">
        <v>0</v>
      </c>
      <c r="BL504" s="1" t="b">
        <v>0</v>
      </c>
      <c r="BM504" s="1">
        <v>13.121</v>
      </c>
      <c r="BN504" s="1">
        <v>14.568</v>
      </c>
      <c r="BO504" s="1" t="b">
        <v>0</v>
      </c>
      <c r="BP504" s="1" t="b">
        <v>0</v>
      </c>
      <c r="BQ504" s="1">
        <v>75.0</v>
      </c>
      <c r="BR504" s="1">
        <v>72.027</v>
      </c>
      <c r="BS504" s="1" t="b">
        <v>0</v>
      </c>
      <c r="BT504" s="1" t="b">
        <v>0</v>
      </c>
      <c r="BU504" s="1" t="s">
        <v>105</v>
      </c>
      <c r="BV504" s="1" t="s">
        <v>105</v>
      </c>
      <c r="BW504" s="1" t="s">
        <v>105</v>
      </c>
      <c r="BX504" s="1" t="s">
        <v>105</v>
      </c>
      <c r="BY504" s="1" t="s">
        <v>105</v>
      </c>
      <c r="BZ504" s="1" t="s">
        <v>105</v>
      </c>
      <c r="CA504" s="1" t="s">
        <v>105</v>
      </c>
      <c r="CB504" s="1" t="s">
        <v>105</v>
      </c>
      <c r="CC504" s="1" t="s">
        <v>105</v>
      </c>
      <c r="CD504" s="1" t="s">
        <v>105</v>
      </c>
      <c r="CE504" s="4"/>
      <c r="CF504" s="4"/>
    </row>
    <row r="505" hidden="1">
      <c r="A505" s="1" t="s">
        <v>82</v>
      </c>
      <c r="B505" s="1" t="s">
        <v>304</v>
      </c>
      <c r="C505" s="1">
        <v>35.0</v>
      </c>
      <c r="D505" s="5" t="s">
        <v>2245</v>
      </c>
      <c r="E505" s="1" t="s">
        <v>2246</v>
      </c>
      <c r="F505" s="1">
        <v>32.0</v>
      </c>
      <c r="G505" s="1">
        <v>-0.1154</v>
      </c>
      <c r="H505" s="1" t="s">
        <v>2247</v>
      </c>
      <c r="I505" s="4" t="b">
        <f>IFERROR(__xludf.DUMMYFUNCTION("IF(H505="""",,REGEXMATCH(H505,""[א-ת]""))"),FALSE)</f>
        <v>0</v>
      </c>
      <c r="J505" s="4"/>
      <c r="K505" s="4"/>
      <c r="L505" s="1">
        <v>0.0</v>
      </c>
      <c r="M505" s="1">
        <v>30.38</v>
      </c>
      <c r="N505" s="1">
        <v>62.5</v>
      </c>
      <c r="O505" s="1">
        <v>1.953125</v>
      </c>
      <c r="P505" s="4"/>
      <c r="Q505" s="4"/>
      <c r="R505" s="1" t="s">
        <v>89</v>
      </c>
      <c r="S505" s="1" t="s">
        <v>2246</v>
      </c>
      <c r="T505" s="1" t="s">
        <v>304</v>
      </c>
      <c r="U505" s="1">
        <v>36.0</v>
      </c>
      <c r="V505" s="5" t="s">
        <v>2245</v>
      </c>
      <c r="W505" s="1" t="s">
        <v>2246</v>
      </c>
      <c r="X505" s="1" t="s">
        <v>2248</v>
      </c>
      <c r="Y505" s="4"/>
      <c r="Z505" s="4"/>
      <c r="AA505" s="4" t="b">
        <f>IFERROR(__xludf.DUMMYFUNCTION("IF(X505="""",,REGEXMATCH(X505,""[א-ת]""))"),TRUE)</f>
        <v>1</v>
      </c>
      <c r="AB505" s="1">
        <v>13.83</v>
      </c>
      <c r="AC505" s="1">
        <v>71.88</v>
      </c>
      <c r="AD505" s="1">
        <v>0.544173008717979</v>
      </c>
      <c r="AE505" s="1">
        <v>0.0</v>
      </c>
      <c r="AF505" s="1">
        <v>-0.1154</v>
      </c>
      <c r="AG505" s="1">
        <v>6.337</v>
      </c>
      <c r="AH505" s="1">
        <v>6.781</v>
      </c>
      <c r="AI505" s="1" t="b">
        <v>0</v>
      </c>
      <c r="AJ505" s="1" t="b">
        <v>0</v>
      </c>
      <c r="AK505" s="1">
        <v>94.182</v>
      </c>
      <c r="AL505" s="1">
        <v>96.508</v>
      </c>
      <c r="AM505" s="1" t="b">
        <v>0</v>
      </c>
      <c r="AN505" s="1" t="b">
        <v>0</v>
      </c>
      <c r="AO505" s="1">
        <v>8.05</v>
      </c>
      <c r="AP505" s="1">
        <v>8.53399999999999</v>
      </c>
      <c r="AQ505" s="1" t="b">
        <v>0</v>
      </c>
      <c r="AR505" s="1" t="b">
        <v>0</v>
      </c>
      <c r="AS505" s="1">
        <v>86.9179999999999</v>
      </c>
      <c r="AT505" s="1">
        <v>87.152</v>
      </c>
      <c r="AU505" s="1" t="b">
        <v>0</v>
      </c>
      <c r="AV505" s="1" t="b">
        <v>0</v>
      </c>
      <c r="AW505" s="1">
        <v>9.61399999999999</v>
      </c>
      <c r="AX505" s="1">
        <v>11.026</v>
      </c>
      <c r="AY505" s="1" t="b">
        <v>0</v>
      </c>
      <c r="AZ505" s="1" t="b">
        <v>0</v>
      </c>
      <c r="BA505" s="1">
        <v>81.25</v>
      </c>
      <c r="BB505" s="1">
        <v>77.78</v>
      </c>
      <c r="BC505" s="1" t="b">
        <v>0</v>
      </c>
      <c r="BD505" s="1" t="b">
        <v>0</v>
      </c>
      <c r="BE505" s="1">
        <v>11.34</v>
      </c>
      <c r="BF505" s="1">
        <v>13.285</v>
      </c>
      <c r="BG505" s="1" t="b">
        <v>0</v>
      </c>
      <c r="BH505" s="1" t="b">
        <v>0</v>
      </c>
      <c r="BI505" s="1">
        <v>77.78</v>
      </c>
      <c r="BJ505" s="1">
        <v>75.0</v>
      </c>
      <c r="BK505" s="1" t="b">
        <v>0</v>
      </c>
      <c r="BL505" s="1" t="b">
        <v>0</v>
      </c>
      <c r="BM505" s="1">
        <v>13.121</v>
      </c>
      <c r="BN505" s="1">
        <v>14.568</v>
      </c>
      <c r="BO505" s="1" t="b">
        <v>0</v>
      </c>
      <c r="BP505" s="1" t="b">
        <v>1</v>
      </c>
      <c r="BQ505" s="1">
        <v>75.0</v>
      </c>
      <c r="BR505" s="1">
        <v>72.027</v>
      </c>
      <c r="BS505" s="1" t="b">
        <v>0</v>
      </c>
      <c r="BT505" s="1" t="b">
        <v>0</v>
      </c>
      <c r="BU505" s="1" t="s">
        <v>105</v>
      </c>
      <c r="BV505" s="1" t="s">
        <v>105</v>
      </c>
      <c r="BW505" s="1" t="s">
        <v>105</v>
      </c>
      <c r="BX505" s="1" t="s">
        <v>105</v>
      </c>
      <c r="BY505" s="1" t="s">
        <v>105</v>
      </c>
      <c r="BZ505" s="1" t="s">
        <v>105</v>
      </c>
      <c r="CA505" s="1" t="s">
        <v>105</v>
      </c>
      <c r="CB505" s="1" t="s">
        <v>105</v>
      </c>
      <c r="CC505" s="1" t="s">
        <v>157</v>
      </c>
      <c r="CD505" s="1" t="s">
        <v>105</v>
      </c>
      <c r="CE505" s="4"/>
      <c r="CF505" s="4"/>
    </row>
    <row r="506" hidden="1">
      <c r="A506" s="1" t="s">
        <v>82</v>
      </c>
      <c r="B506" s="1" t="s">
        <v>111</v>
      </c>
      <c r="C506" s="1">
        <v>37.0</v>
      </c>
      <c r="D506" s="5" t="s">
        <v>2249</v>
      </c>
      <c r="E506" s="1" t="s">
        <v>2250</v>
      </c>
      <c r="F506" s="1">
        <v>45.0</v>
      </c>
      <c r="G506" s="1">
        <v>0.0</v>
      </c>
      <c r="H506" s="1" t="s">
        <v>2251</v>
      </c>
      <c r="I506" s="4" t="b">
        <f>IFERROR(__xludf.DUMMYFUNCTION("IF(H506="""",,REGEXMATCH(H506,""[א-ת]""))"),FALSE)</f>
        <v>0</v>
      </c>
      <c r="J506" s="4"/>
      <c r="K506" s="4"/>
      <c r="L506" s="1">
        <v>0.0</v>
      </c>
      <c r="M506" s="1">
        <v>30.6</v>
      </c>
      <c r="N506" s="1">
        <v>48.89</v>
      </c>
      <c r="O506" s="1">
        <v>1.086444444</v>
      </c>
      <c r="P506" s="4"/>
      <c r="Q506" s="4"/>
      <c r="R506" s="1" t="s">
        <v>89</v>
      </c>
      <c r="S506" s="1" t="s">
        <v>2250</v>
      </c>
      <c r="T506" s="1" t="s">
        <v>111</v>
      </c>
      <c r="U506" s="1">
        <v>38.0</v>
      </c>
      <c r="V506" s="5" t="s">
        <v>2249</v>
      </c>
      <c r="W506" s="1" t="s">
        <v>2250</v>
      </c>
      <c r="X506" s="1" t="s">
        <v>2252</v>
      </c>
      <c r="Y506" s="4"/>
      <c r="Z506" s="4"/>
      <c r="AA506" s="4" t="b">
        <f>IFERROR(__xludf.DUMMYFUNCTION("IF(X506="""",,REGEXMATCH(X506,""[א-ת]""))"),FALSE)</f>
        <v>0</v>
      </c>
      <c r="AB506" s="1">
        <v>29.63</v>
      </c>
      <c r="AC506" s="1">
        <v>46.67</v>
      </c>
      <c r="AD506" s="1">
        <v>0.525827683612709</v>
      </c>
      <c r="AE506" s="1">
        <v>0.0</v>
      </c>
      <c r="AF506" s="1">
        <v>0.0</v>
      </c>
      <c r="AG506" s="1">
        <v>6.337</v>
      </c>
      <c r="AH506" s="1">
        <v>6.781</v>
      </c>
      <c r="AI506" s="1" t="b">
        <v>0</v>
      </c>
      <c r="AJ506" s="1" t="b">
        <v>0</v>
      </c>
      <c r="AK506" s="1">
        <v>94.182</v>
      </c>
      <c r="AL506" s="1">
        <v>96.508</v>
      </c>
      <c r="AM506" s="1" t="b">
        <v>0</v>
      </c>
      <c r="AN506" s="1" t="b">
        <v>0</v>
      </c>
      <c r="AO506" s="1">
        <v>8.05</v>
      </c>
      <c r="AP506" s="1">
        <v>8.53399999999999</v>
      </c>
      <c r="AQ506" s="1" t="b">
        <v>0</v>
      </c>
      <c r="AR506" s="1" t="b">
        <v>0</v>
      </c>
      <c r="AS506" s="1">
        <v>86.9179999999999</v>
      </c>
      <c r="AT506" s="1">
        <v>87.152</v>
      </c>
      <c r="AU506" s="1" t="b">
        <v>0</v>
      </c>
      <c r="AV506" s="1" t="b">
        <v>0</v>
      </c>
      <c r="AW506" s="1">
        <v>9.61399999999999</v>
      </c>
      <c r="AX506" s="1">
        <v>11.026</v>
      </c>
      <c r="AY506" s="1" t="b">
        <v>0</v>
      </c>
      <c r="AZ506" s="1" t="b">
        <v>0</v>
      </c>
      <c r="BA506" s="1">
        <v>81.25</v>
      </c>
      <c r="BB506" s="1">
        <v>77.78</v>
      </c>
      <c r="BC506" s="1" t="b">
        <v>0</v>
      </c>
      <c r="BD506" s="1" t="b">
        <v>0</v>
      </c>
      <c r="BE506" s="1">
        <v>11.34</v>
      </c>
      <c r="BF506" s="1">
        <v>13.285</v>
      </c>
      <c r="BG506" s="1" t="b">
        <v>0</v>
      </c>
      <c r="BH506" s="1" t="b">
        <v>0</v>
      </c>
      <c r="BI506" s="1">
        <v>77.78</v>
      </c>
      <c r="BJ506" s="1">
        <v>75.0</v>
      </c>
      <c r="BK506" s="1" t="b">
        <v>0</v>
      </c>
      <c r="BL506" s="1" t="b">
        <v>0</v>
      </c>
      <c r="BM506" s="1">
        <v>13.121</v>
      </c>
      <c r="BN506" s="1">
        <v>14.568</v>
      </c>
      <c r="BO506" s="1" t="b">
        <v>0</v>
      </c>
      <c r="BP506" s="1" t="b">
        <v>0</v>
      </c>
      <c r="BQ506" s="1">
        <v>75.0</v>
      </c>
      <c r="BR506" s="1">
        <v>72.027</v>
      </c>
      <c r="BS506" s="1" t="b">
        <v>0</v>
      </c>
      <c r="BT506" s="1" t="b">
        <v>0</v>
      </c>
      <c r="BU506" s="1" t="s">
        <v>105</v>
      </c>
      <c r="BV506" s="1" t="s">
        <v>105</v>
      </c>
      <c r="BW506" s="1" t="s">
        <v>105</v>
      </c>
      <c r="BX506" s="1" t="s">
        <v>105</v>
      </c>
      <c r="BY506" s="1" t="s">
        <v>105</v>
      </c>
      <c r="BZ506" s="1" t="s">
        <v>105</v>
      </c>
      <c r="CA506" s="1" t="s">
        <v>105</v>
      </c>
      <c r="CB506" s="1" t="s">
        <v>105</v>
      </c>
      <c r="CC506" s="1" t="s">
        <v>105</v>
      </c>
      <c r="CD506" s="1" t="s">
        <v>105</v>
      </c>
      <c r="CE506" s="4"/>
      <c r="CF506" s="4"/>
    </row>
    <row r="507" hidden="1">
      <c r="A507" s="1" t="s">
        <v>82</v>
      </c>
      <c r="B507" s="1" t="s">
        <v>262</v>
      </c>
      <c r="C507" s="1">
        <v>28.0</v>
      </c>
      <c r="D507" s="5" t="s">
        <v>2253</v>
      </c>
      <c r="E507" s="1" t="s">
        <v>2254</v>
      </c>
      <c r="F507" s="1">
        <v>17.0</v>
      </c>
      <c r="G507" s="1">
        <v>0.3878</v>
      </c>
      <c r="H507" s="1" t="s">
        <v>2255</v>
      </c>
      <c r="I507" s="4" t="b">
        <f>IFERROR(__xludf.DUMMYFUNCTION("IF(H507="""",,REGEXMATCH(H507,""[א-ת]""))"),FALSE)</f>
        <v>0</v>
      </c>
      <c r="J507" s="4"/>
      <c r="K507" s="4"/>
      <c r="L507" s="1">
        <v>0.4215</v>
      </c>
      <c r="M507" s="1">
        <v>30.61</v>
      </c>
      <c r="N507" s="1">
        <v>52.94</v>
      </c>
      <c r="O507" s="1">
        <v>3.114117647</v>
      </c>
      <c r="P507" s="4"/>
      <c r="Q507" s="4"/>
      <c r="R507" s="1" t="s">
        <v>96</v>
      </c>
      <c r="S507" s="1" t="s">
        <v>2254</v>
      </c>
      <c r="T507" s="1" t="s">
        <v>262</v>
      </c>
      <c r="U507" s="1">
        <v>29.0</v>
      </c>
      <c r="V507" s="5" t="s">
        <v>2253</v>
      </c>
      <c r="W507" s="1" t="s">
        <v>2254</v>
      </c>
      <c r="X507" s="1" t="s">
        <v>2256</v>
      </c>
      <c r="Y507" s="4"/>
      <c r="Z507" s="4"/>
      <c r="AA507" s="4" t="b">
        <f>IFERROR(__xludf.DUMMYFUNCTION("IF(X507="""",,REGEXMATCH(X507,""[א-ת]""))"),FALSE)</f>
        <v>0</v>
      </c>
      <c r="AB507" s="1">
        <v>16.59</v>
      </c>
      <c r="AC507" s="1">
        <v>52.94</v>
      </c>
      <c r="AD507" s="1">
        <v>0.577615150391251</v>
      </c>
      <c r="AE507" s="1">
        <v>0.0772</v>
      </c>
      <c r="AF507" s="1">
        <v>0.3878</v>
      </c>
      <c r="AG507" s="1">
        <v>6.337</v>
      </c>
      <c r="AH507" s="1">
        <v>6.781</v>
      </c>
      <c r="AI507" s="1" t="b">
        <v>0</v>
      </c>
      <c r="AJ507" s="1" t="b">
        <v>0</v>
      </c>
      <c r="AK507" s="1">
        <v>94.182</v>
      </c>
      <c r="AL507" s="1">
        <v>96.508</v>
      </c>
      <c r="AM507" s="1" t="b">
        <v>0</v>
      </c>
      <c r="AN507" s="1" t="b">
        <v>0</v>
      </c>
      <c r="AO507" s="1">
        <v>8.05</v>
      </c>
      <c r="AP507" s="1">
        <v>8.53399999999999</v>
      </c>
      <c r="AQ507" s="1" t="b">
        <v>0</v>
      </c>
      <c r="AR507" s="1" t="b">
        <v>0</v>
      </c>
      <c r="AS507" s="1">
        <v>86.9179999999999</v>
      </c>
      <c r="AT507" s="1">
        <v>87.152</v>
      </c>
      <c r="AU507" s="1" t="b">
        <v>0</v>
      </c>
      <c r="AV507" s="1" t="b">
        <v>0</v>
      </c>
      <c r="AW507" s="1">
        <v>9.61399999999999</v>
      </c>
      <c r="AX507" s="1">
        <v>11.026</v>
      </c>
      <c r="AY507" s="1" t="b">
        <v>0</v>
      </c>
      <c r="AZ507" s="1" t="b">
        <v>0</v>
      </c>
      <c r="BA507" s="1">
        <v>81.25</v>
      </c>
      <c r="BB507" s="1">
        <v>77.78</v>
      </c>
      <c r="BC507" s="1" t="b">
        <v>0</v>
      </c>
      <c r="BD507" s="1" t="b">
        <v>0</v>
      </c>
      <c r="BE507" s="1">
        <v>11.34</v>
      </c>
      <c r="BF507" s="1">
        <v>13.285</v>
      </c>
      <c r="BG507" s="1" t="b">
        <v>0</v>
      </c>
      <c r="BH507" s="1" t="b">
        <v>0</v>
      </c>
      <c r="BI507" s="1">
        <v>77.78</v>
      </c>
      <c r="BJ507" s="1">
        <v>75.0</v>
      </c>
      <c r="BK507" s="1" t="b">
        <v>0</v>
      </c>
      <c r="BL507" s="1" t="b">
        <v>0</v>
      </c>
      <c r="BM507" s="1">
        <v>13.121</v>
      </c>
      <c r="BN507" s="1">
        <v>14.568</v>
      </c>
      <c r="BO507" s="1" t="b">
        <v>0</v>
      </c>
      <c r="BP507" s="1" t="b">
        <v>0</v>
      </c>
      <c r="BQ507" s="1">
        <v>75.0</v>
      </c>
      <c r="BR507" s="1">
        <v>72.027</v>
      </c>
      <c r="BS507" s="1" t="b">
        <v>0</v>
      </c>
      <c r="BT507" s="1" t="b">
        <v>0</v>
      </c>
      <c r="BU507" s="1" t="s">
        <v>105</v>
      </c>
      <c r="BV507" s="1" t="s">
        <v>105</v>
      </c>
      <c r="BW507" s="1" t="s">
        <v>105</v>
      </c>
      <c r="BX507" s="1" t="s">
        <v>105</v>
      </c>
      <c r="BY507" s="1" t="s">
        <v>105</v>
      </c>
      <c r="BZ507" s="1" t="s">
        <v>105</v>
      </c>
      <c r="CA507" s="1" t="s">
        <v>105</v>
      </c>
      <c r="CB507" s="1" t="s">
        <v>105</v>
      </c>
      <c r="CC507" s="1" t="s">
        <v>105</v>
      </c>
      <c r="CD507" s="1" t="s">
        <v>105</v>
      </c>
      <c r="CE507" s="4"/>
      <c r="CF507" s="4"/>
    </row>
    <row r="508" hidden="1">
      <c r="A508" s="1" t="s">
        <v>82</v>
      </c>
      <c r="B508" s="1" t="s">
        <v>304</v>
      </c>
      <c r="C508" s="1">
        <v>36.0</v>
      </c>
      <c r="D508" s="5" t="s">
        <v>2257</v>
      </c>
      <c r="E508" s="1" t="s">
        <v>2258</v>
      </c>
      <c r="F508" s="1">
        <v>19.0</v>
      </c>
      <c r="G508" s="1">
        <v>0.0</v>
      </c>
      <c r="H508" s="1" t="s">
        <v>2259</v>
      </c>
      <c r="I508" s="4" t="b">
        <f>IFERROR(__xludf.DUMMYFUNCTION("IF(H508="""",,REGEXMATCH(H508,""[א-ת]""))"),FALSE)</f>
        <v>0</v>
      </c>
      <c r="J508" s="4"/>
      <c r="K508" s="4"/>
      <c r="L508" s="1">
        <v>0.0</v>
      </c>
      <c r="M508" s="1">
        <v>30.71</v>
      </c>
      <c r="N508" s="1">
        <v>42.11</v>
      </c>
      <c r="O508" s="1">
        <v>2.216315789</v>
      </c>
      <c r="P508" s="4"/>
      <c r="Q508" s="4"/>
      <c r="R508" s="1" t="s">
        <v>89</v>
      </c>
      <c r="S508" s="1" t="s">
        <v>2258</v>
      </c>
      <c r="T508" s="1" t="s">
        <v>304</v>
      </c>
      <c r="U508" s="1">
        <v>37.0</v>
      </c>
      <c r="V508" s="5" t="s">
        <v>2257</v>
      </c>
      <c r="W508" s="1" t="s">
        <v>2258</v>
      </c>
      <c r="X508" s="1" t="s">
        <v>2260</v>
      </c>
      <c r="Y508" s="4"/>
      <c r="Z508" s="4"/>
      <c r="AA508" s="4" t="b">
        <f>IFERROR(__xludf.DUMMYFUNCTION("IF(X508="""",,REGEXMATCH(X508,""[א-ת]""))"),FALSE)</f>
        <v>0</v>
      </c>
      <c r="AB508" s="1">
        <v>32.66</v>
      </c>
      <c r="AC508" s="1">
        <v>47.37</v>
      </c>
      <c r="AD508" s="1">
        <v>0.604550445627516</v>
      </c>
      <c r="AE508" s="1">
        <v>0.0</v>
      </c>
      <c r="AF508" s="1">
        <v>0.0</v>
      </c>
      <c r="AG508" s="1">
        <v>6.337</v>
      </c>
      <c r="AH508" s="1">
        <v>6.781</v>
      </c>
      <c r="AI508" s="1" t="b">
        <v>0</v>
      </c>
      <c r="AJ508" s="1" t="b">
        <v>0</v>
      </c>
      <c r="AK508" s="1">
        <v>94.182</v>
      </c>
      <c r="AL508" s="1">
        <v>96.508</v>
      </c>
      <c r="AM508" s="1" t="b">
        <v>0</v>
      </c>
      <c r="AN508" s="1" t="b">
        <v>0</v>
      </c>
      <c r="AO508" s="1">
        <v>8.05</v>
      </c>
      <c r="AP508" s="1">
        <v>8.53399999999999</v>
      </c>
      <c r="AQ508" s="1" t="b">
        <v>0</v>
      </c>
      <c r="AR508" s="1" t="b">
        <v>0</v>
      </c>
      <c r="AS508" s="1">
        <v>86.9179999999999</v>
      </c>
      <c r="AT508" s="1">
        <v>87.152</v>
      </c>
      <c r="AU508" s="1" t="b">
        <v>0</v>
      </c>
      <c r="AV508" s="1" t="b">
        <v>0</v>
      </c>
      <c r="AW508" s="1">
        <v>9.61399999999999</v>
      </c>
      <c r="AX508" s="1">
        <v>11.026</v>
      </c>
      <c r="AY508" s="1" t="b">
        <v>0</v>
      </c>
      <c r="AZ508" s="1" t="b">
        <v>0</v>
      </c>
      <c r="BA508" s="1">
        <v>81.25</v>
      </c>
      <c r="BB508" s="1">
        <v>77.78</v>
      </c>
      <c r="BC508" s="1" t="b">
        <v>0</v>
      </c>
      <c r="BD508" s="1" t="b">
        <v>0</v>
      </c>
      <c r="BE508" s="1">
        <v>11.34</v>
      </c>
      <c r="BF508" s="1">
        <v>13.285</v>
      </c>
      <c r="BG508" s="1" t="b">
        <v>0</v>
      </c>
      <c r="BH508" s="1" t="b">
        <v>0</v>
      </c>
      <c r="BI508" s="1">
        <v>77.78</v>
      </c>
      <c r="BJ508" s="1">
        <v>75.0</v>
      </c>
      <c r="BK508" s="1" t="b">
        <v>0</v>
      </c>
      <c r="BL508" s="1" t="b">
        <v>0</v>
      </c>
      <c r="BM508" s="1">
        <v>13.121</v>
      </c>
      <c r="BN508" s="1">
        <v>14.568</v>
      </c>
      <c r="BO508" s="1" t="b">
        <v>0</v>
      </c>
      <c r="BP508" s="1" t="b">
        <v>0</v>
      </c>
      <c r="BQ508" s="1">
        <v>75.0</v>
      </c>
      <c r="BR508" s="1">
        <v>72.027</v>
      </c>
      <c r="BS508" s="1" t="b">
        <v>0</v>
      </c>
      <c r="BT508" s="1" t="b">
        <v>0</v>
      </c>
      <c r="BU508" s="1" t="s">
        <v>105</v>
      </c>
      <c r="BV508" s="1" t="s">
        <v>105</v>
      </c>
      <c r="BW508" s="1" t="s">
        <v>105</v>
      </c>
      <c r="BX508" s="1" t="s">
        <v>105</v>
      </c>
      <c r="BY508" s="1" t="s">
        <v>105</v>
      </c>
      <c r="BZ508" s="1" t="s">
        <v>105</v>
      </c>
      <c r="CA508" s="1" t="s">
        <v>105</v>
      </c>
      <c r="CB508" s="1" t="s">
        <v>105</v>
      </c>
      <c r="CC508" s="1" t="s">
        <v>105</v>
      </c>
      <c r="CD508" s="1" t="s">
        <v>105</v>
      </c>
      <c r="CE508" s="4"/>
      <c r="CF508" s="4"/>
    </row>
    <row r="509" hidden="1">
      <c r="A509" s="1" t="s">
        <v>82</v>
      </c>
      <c r="B509" s="1" t="s">
        <v>139</v>
      </c>
      <c r="C509" s="1">
        <v>25.0</v>
      </c>
      <c r="D509" s="5" t="s">
        <v>2261</v>
      </c>
      <c r="E509" s="1" t="s">
        <v>2262</v>
      </c>
      <c r="F509" s="1">
        <v>33.0</v>
      </c>
      <c r="G509" s="1">
        <v>0.7717</v>
      </c>
      <c r="H509" s="1" t="s">
        <v>2263</v>
      </c>
      <c r="I509" s="4" t="b">
        <f>IFERROR(__xludf.DUMMYFUNCTION("IF(H509="""",,REGEXMATCH(H509,""[א-ת]""))"),FALSE)</f>
        <v>0</v>
      </c>
      <c r="J509" s="4"/>
      <c r="K509" s="4"/>
      <c r="L509" s="1">
        <v>0.6369</v>
      </c>
      <c r="M509" s="1">
        <v>30.71</v>
      </c>
      <c r="N509" s="1">
        <v>60.61</v>
      </c>
      <c r="O509" s="1">
        <v>1.836666667</v>
      </c>
      <c r="P509" s="4"/>
      <c r="Q509" s="4"/>
      <c r="R509" s="1" t="s">
        <v>96</v>
      </c>
      <c r="S509" s="1" t="s">
        <v>2262</v>
      </c>
      <c r="T509" s="1" t="s">
        <v>139</v>
      </c>
      <c r="U509" s="1">
        <v>26.0</v>
      </c>
      <c r="V509" s="5" t="s">
        <v>2261</v>
      </c>
      <c r="W509" s="1" t="s">
        <v>2262</v>
      </c>
      <c r="X509" s="1" t="s">
        <v>2264</v>
      </c>
      <c r="Y509" s="4"/>
      <c r="Z509" s="4"/>
      <c r="AA509" s="4" t="b">
        <f>IFERROR(__xludf.DUMMYFUNCTION("IF(X509="""",,REGEXMATCH(X509,""[א-ת]""))"),FALSE)</f>
        <v>0</v>
      </c>
      <c r="AB509" s="1">
        <v>30.43</v>
      </c>
      <c r="AC509" s="1">
        <v>54.55</v>
      </c>
      <c r="AD509" s="1">
        <v>0.808391016980174</v>
      </c>
      <c r="AE509" s="1">
        <v>0.6369</v>
      </c>
      <c r="AF509" s="1">
        <v>0.7717</v>
      </c>
      <c r="AG509" s="1">
        <v>6.337</v>
      </c>
      <c r="AH509" s="1">
        <v>6.781</v>
      </c>
      <c r="AI509" s="1" t="b">
        <v>0</v>
      </c>
      <c r="AJ509" s="1" t="b">
        <v>0</v>
      </c>
      <c r="AK509" s="1">
        <v>94.182</v>
      </c>
      <c r="AL509" s="1">
        <v>96.508</v>
      </c>
      <c r="AM509" s="1" t="b">
        <v>0</v>
      </c>
      <c r="AN509" s="1" t="b">
        <v>0</v>
      </c>
      <c r="AO509" s="1">
        <v>8.05</v>
      </c>
      <c r="AP509" s="1">
        <v>8.53399999999999</v>
      </c>
      <c r="AQ509" s="1" t="b">
        <v>0</v>
      </c>
      <c r="AR509" s="1" t="b">
        <v>0</v>
      </c>
      <c r="AS509" s="1">
        <v>86.9179999999999</v>
      </c>
      <c r="AT509" s="1">
        <v>87.152</v>
      </c>
      <c r="AU509" s="1" t="b">
        <v>0</v>
      </c>
      <c r="AV509" s="1" t="b">
        <v>0</v>
      </c>
      <c r="AW509" s="1">
        <v>9.61399999999999</v>
      </c>
      <c r="AX509" s="1">
        <v>11.026</v>
      </c>
      <c r="AY509" s="1" t="b">
        <v>0</v>
      </c>
      <c r="AZ509" s="1" t="b">
        <v>0</v>
      </c>
      <c r="BA509" s="1">
        <v>81.25</v>
      </c>
      <c r="BB509" s="1">
        <v>77.78</v>
      </c>
      <c r="BC509" s="1" t="b">
        <v>0</v>
      </c>
      <c r="BD509" s="1" t="b">
        <v>0</v>
      </c>
      <c r="BE509" s="1">
        <v>11.34</v>
      </c>
      <c r="BF509" s="1">
        <v>13.285</v>
      </c>
      <c r="BG509" s="1" t="b">
        <v>0</v>
      </c>
      <c r="BH509" s="1" t="b">
        <v>0</v>
      </c>
      <c r="BI509" s="1">
        <v>77.78</v>
      </c>
      <c r="BJ509" s="1">
        <v>75.0</v>
      </c>
      <c r="BK509" s="1" t="b">
        <v>0</v>
      </c>
      <c r="BL509" s="1" t="b">
        <v>0</v>
      </c>
      <c r="BM509" s="1">
        <v>13.121</v>
      </c>
      <c r="BN509" s="1">
        <v>14.568</v>
      </c>
      <c r="BO509" s="1" t="b">
        <v>0</v>
      </c>
      <c r="BP509" s="1" t="b">
        <v>0</v>
      </c>
      <c r="BQ509" s="1">
        <v>75.0</v>
      </c>
      <c r="BR509" s="1">
        <v>72.027</v>
      </c>
      <c r="BS509" s="1" t="b">
        <v>0</v>
      </c>
      <c r="BT509" s="1" t="b">
        <v>0</v>
      </c>
      <c r="BU509" s="1" t="s">
        <v>105</v>
      </c>
      <c r="BV509" s="1" t="s">
        <v>105</v>
      </c>
      <c r="BW509" s="1" t="s">
        <v>105</v>
      </c>
      <c r="BX509" s="1" t="s">
        <v>105</v>
      </c>
      <c r="BY509" s="1" t="s">
        <v>105</v>
      </c>
      <c r="BZ509" s="1" t="s">
        <v>105</v>
      </c>
      <c r="CA509" s="1" t="s">
        <v>105</v>
      </c>
      <c r="CB509" s="1" t="s">
        <v>105</v>
      </c>
      <c r="CC509" s="1" t="s">
        <v>105</v>
      </c>
      <c r="CD509" s="1" t="s">
        <v>105</v>
      </c>
      <c r="CE509" s="4"/>
      <c r="CF509" s="4"/>
    </row>
    <row r="510" hidden="1">
      <c r="A510" s="1" t="s">
        <v>82</v>
      </c>
      <c r="B510" s="1" t="s">
        <v>262</v>
      </c>
      <c r="C510" s="1">
        <v>24.0</v>
      </c>
      <c r="D510" s="5" t="s">
        <v>2265</v>
      </c>
      <c r="E510" s="1" t="s">
        <v>2266</v>
      </c>
      <c r="F510" s="1">
        <v>76.0</v>
      </c>
      <c r="G510" s="1">
        <v>0.34</v>
      </c>
      <c r="H510" s="1" t="s">
        <v>2267</v>
      </c>
      <c r="I510" s="4" t="b">
        <f>IFERROR(__xludf.DUMMYFUNCTION("IF(H510="""",,REGEXMATCH(H510,""[א-ת]""))"),FALSE)</f>
        <v>0</v>
      </c>
      <c r="J510" s="4"/>
      <c r="K510" s="4"/>
      <c r="L510" s="1">
        <v>0.34</v>
      </c>
      <c r="M510" s="1">
        <v>30.81</v>
      </c>
      <c r="N510" s="1">
        <v>44.74</v>
      </c>
      <c r="O510" s="1">
        <v>0.5886842105</v>
      </c>
      <c r="P510" s="4"/>
      <c r="Q510" s="4"/>
      <c r="R510" s="1" t="s">
        <v>96</v>
      </c>
      <c r="S510" s="1" t="s">
        <v>2266</v>
      </c>
      <c r="T510" s="1" t="s">
        <v>262</v>
      </c>
      <c r="U510" s="1">
        <v>25.0</v>
      </c>
      <c r="V510" s="5" t="s">
        <v>2265</v>
      </c>
      <c r="W510" s="1" t="s">
        <v>2266</v>
      </c>
      <c r="X510" s="1" t="s">
        <v>2268</v>
      </c>
      <c r="Y510" s="4"/>
      <c r="Z510" s="4"/>
      <c r="AA510" s="4" t="b">
        <f>IFERROR(__xludf.DUMMYFUNCTION("IF(X510="""",,REGEXMATCH(X510,""[א-ת]""))"),FALSE)</f>
        <v>0</v>
      </c>
      <c r="AB510" s="1">
        <v>38.8</v>
      </c>
      <c r="AC510" s="1">
        <v>38.16</v>
      </c>
      <c r="AD510" s="1">
        <v>0.677096186668836</v>
      </c>
      <c r="AE510" s="1">
        <v>0.34</v>
      </c>
      <c r="AF510" s="1">
        <v>0.34</v>
      </c>
      <c r="AG510" s="1">
        <v>6.337</v>
      </c>
      <c r="AH510" s="1">
        <v>6.781</v>
      </c>
      <c r="AI510" s="1" t="b">
        <v>0</v>
      </c>
      <c r="AJ510" s="1" t="b">
        <v>0</v>
      </c>
      <c r="AK510" s="1">
        <v>94.182</v>
      </c>
      <c r="AL510" s="1">
        <v>96.508</v>
      </c>
      <c r="AM510" s="1" t="b">
        <v>0</v>
      </c>
      <c r="AN510" s="1" t="b">
        <v>0</v>
      </c>
      <c r="AO510" s="1">
        <v>8.05</v>
      </c>
      <c r="AP510" s="1">
        <v>8.53399999999999</v>
      </c>
      <c r="AQ510" s="1" t="b">
        <v>0</v>
      </c>
      <c r="AR510" s="1" t="b">
        <v>0</v>
      </c>
      <c r="AS510" s="1">
        <v>86.9179999999999</v>
      </c>
      <c r="AT510" s="1">
        <v>87.152</v>
      </c>
      <c r="AU510" s="1" t="b">
        <v>0</v>
      </c>
      <c r="AV510" s="1" t="b">
        <v>0</v>
      </c>
      <c r="AW510" s="1">
        <v>9.61399999999999</v>
      </c>
      <c r="AX510" s="1">
        <v>11.026</v>
      </c>
      <c r="AY510" s="1" t="b">
        <v>0</v>
      </c>
      <c r="AZ510" s="1" t="b">
        <v>0</v>
      </c>
      <c r="BA510" s="1">
        <v>81.25</v>
      </c>
      <c r="BB510" s="1">
        <v>77.78</v>
      </c>
      <c r="BC510" s="1" t="b">
        <v>0</v>
      </c>
      <c r="BD510" s="1" t="b">
        <v>0</v>
      </c>
      <c r="BE510" s="1">
        <v>11.34</v>
      </c>
      <c r="BF510" s="1">
        <v>13.285</v>
      </c>
      <c r="BG510" s="1" t="b">
        <v>0</v>
      </c>
      <c r="BH510" s="1" t="b">
        <v>0</v>
      </c>
      <c r="BI510" s="1">
        <v>77.78</v>
      </c>
      <c r="BJ510" s="1">
        <v>75.0</v>
      </c>
      <c r="BK510" s="1" t="b">
        <v>0</v>
      </c>
      <c r="BL510" s="1" t="b">
        <v>0</v>
      </c>
      <c r="BM510" s="1">
        <v>13.121</v>
      </c>
      <c r="BN510" s="1">
        <v>14.568</v>
      </c>
      <c r="BO510" s="1" t="b">
        <v>0</v>
      </c>
      <c r="BP510" s="1" t="b">
        <v>0</v>
      </c>
      <c r="BQ510" s="1">
        <v>75.0</v>
      </c>
      <c r="BR510" s="1">
        <v>72.027</v>
      </c>
      <c r="BS510" s="1" t="b">
        <v>0</v>
      </c>
      <c r="BT510" s="1" t="b">
        <v>0</v>
      </c>
      <c r="BU510" s="1" t="s">
        <v>105</v>
      </c>
      <c r="BV510" s="1" t="s">
        <v>105</v>
      </c>
      <c r="BW510" s="1" t="s">
        <v>105</v>
      </c>
      <c r="BX510" s="1" t="s">
        <v>105</v>
      </c>
      <c r="BY510" s="1" t="s">
        <v>105</v>
      </c>
      <c r="BZ510" s="1" t="s">
        <v>105</v>
      </c>
      <c r="CA510" s="1" t="s">
        <v>105</v>
      </c>
      <c r="CB510" s="1" t="s">
        <v>105</v>
      </c>
      <c r="CC510" s="1" t="s">
        <v>105</v>
      </c>
      <c r="CD510" s="1" t="s">
        <v>105</v>
      </c>
      <c r="CE510" s="4"/>
      <c r="CF510" s="4"/>
    </row>
    <row r="511" hidden="1">
      <c r="A511" s="1" t="s">
        <v>82</v>
      </c>
      <c r="B511" s="1" t="s">
        <v>111</v>
      </c>
      <c r="C511" s="1">
        <v>76.0</v>
      </c>
      <c r="D511" s="5" t="s">
        <v>2269</v>
      </c>
      <c r="E511" s="1" t="s">
        <v>2270</v>
      </c>
      <c r="F511" s="1">
        <v>56.0</v>
      </c>
      <c r="G511" s="1">
        <v>0.875</v>
      </c>
      <c r="H511" s="1" t="s">
        <v>2271</v>
      </c>
      <c r="I511" s="4" t="b">
        <f>IFERROR(__xludf.DUMMYFUNCTION("IF(H511="""",,REGEXMATCH(H511,""[א-ת]""))"),FALSE)</f>
        <v>0</v>
      </c>
      <c r="J511" s="4"/>
      <c r="K511" s="4"/>
      <c r="L511" s="1">
        <v>0.8858</v>
      </c>
      <c r="M511" s="1">
        <v>30.83</v>
      </c>
      <c r="N511" s="1">
        <v>48.21</v>
      </c>
      <c r="O511" s="1">
        <v>0.8608928571</v>
      </c>
      <c r="P511" s="4"/>
      <c r="Q511" s="4"/>
      <c r="R511" s="1" t="s">
        <v>89</v>
      </c>
      <c r="S511" s="1" t="s">
        <v>2270</v>
      </c>
      <c r="T511" s="1" t="s">
        <v>111</v>
      </c>
      <c r="U511" s="1">
        <v>77.0</v>
      </c>
      <c r="V511" s="5" t="s">
        <v>2269</v>
      </c>
      <c r="W511" s="1" t="s">
        <v>2270</v>
      </c>
      <c r="X511" s="1" t="s">
        <v>2272</v>
      </c>
      <c r="Y511" s="4"/>
      <c r="Z511" s="4"/>
      <c r="AA511" s="4" t="b">
        <f>IFERROR(__xludf.DUMMYFUNCTION("IF(X511="""",,REGEXMATCH(X511,""[א-ת]""))"),FALSE)</f>
        <v>0</v>
      </c>
      <c r="AB511" s="1">
        <v>48.58</v>
      </c>
      <c r="AC511" s="1">
        <v>33.93</v>
      </c>
      <c r="AD511" s="1">
        <v>0.835932648670813</v>
      </c>
      <c r="AE511" s="1">
        <v>0.8718</v>
      </c>
      <c r="AF511" s="1">
        <v>0.875</v>
      </c>
      <c r="AG511" s="1">
        <v>6.337</v>
      </c>
      <c r="AH511" s="1">
        <v>6.781</v>
      </c>
      <c r="AI511" s="1" t="b">
        <v>0</v>
      </c>
      <c r="AJ511" s="1" t="b">
        <v>0</v>
      </c>
      <c r="AK511" s="1">
        <v>94.182</v>
      </c>
      <c r="AL511" s="1">
        <v>96.508</v>
      </c>
      <c r="AM511" s="1" t="b">
        <v>0</v>
      </c>
      <c r="AN511" s="1" t="b">
        <v>0</v>
      </c>
      <c r="AO511" s="1">
        <v>8.05</v>
      </c>
      <c r="AP511" s="1">
        <v>8.53399999999999</v>
      </c>
      <c r="AQ511" s="1" t="b">
        <v>0</v>
      </c>
      <c r="AR511" s="1" t="b">
        <v>0</v>
      </c>
      <c r="AS511" s="1">
        <v>86.9179999999999</v>
      </c>
      <c r="AT511" s="1">
        <v>87.152</v>
      </c>
      <c r="AU511" s="1" t="b">
        <v>0</v>
      </c>
      <c r="AV511" s="1" t="b">
        <v>0</v>
      </c>
      <c r="AW511" s="1">
        <v>9.61399999999999</v>
      </c>
      <c r="AX511" s="1">
        <v>11.026</v>
      </c>
      <c r="AY511" s="1" t="b">
        <v>0</v>
      </c>
      <c r="AZ511" s="1" t="b">
        <v>0</v>
      </c>
      <c r="BA511" s="1">
        <v>81.25</v>
      </c>
      <c r="BB511" s="1">
        <v>77.78</v>
      </c>
      <c r="BC511" s="1" t="b">
        <v>0</v>
      </c>
      <c r="BD511" s="1" t="b">
        <v>0</v>
      </c>
      <c r="BE511" s="1">
        <v>11.34</v>
      </c>
      <c r="BF511" s="1">
        <v>13.285</v>
      </c>
      <c r="BG511" s="1" t="b">
        <v>0</v>
      </c>
      <c r="BH511" s="1" t="b">
        <v>0</v>
      </c>
      <c r="BI511" s="1">
        <v>77.78</v>
      </c>
      <c r="BJ511" s="1">
        <v>75.0</v>
      </c>
      <c r="BK511" s="1" t="b">
        <v>0</v>
      </c>
      <c r="BL511" s="1" t="b">
        <v>0</v>
      </c>
      <c r="BM511" s="1">
        <v>13.121</v>
      </c>
      <c r="BN511" s="1">
        <v>14.568</v>
      </c>
      <c r="BO511" s="1" t="b">
        <v>0</v>
      </c>
      <c r="BP511" s="1" t="b">
        <v>0</v>
      </c>
      <c r="BQ511" s="1">
        <v>75.0</v>
      </c>
      <c r="BR511" s="1">
        <v>72.027</v>
      </c>
      <c r="BS511" s="1" t="b">
        <v>0</v>
      </c>
      <c r="BT511" s="1" t="b">
        <v>0</v>
      </c>
      <c r="BU511" s="1" t="s">
        <v>105</v>
      </c>
      <c r="BV511" s="1" t="s">
        <v>105</v>
      </c>
      <c r="BW511" s="1" t="s">
        <v>105</v>
      </c>
      <c r="BX511" s="1" t="s">
        <v>105</v>
      </c>
      <c r="BY511" s="1" t="s">
        <v>105</v>
      </c>
      <c r="BZ511" s="1" t="s">
        <v>105</v>
      </c>
      <c r="CA511" s="1" t="s">
        <v>105</v>
      </c>
      <c r="CB511" s="1" t="s">
        <v>105</v>
      </c>
      <c r="CC511" s="1" t="s">
        <v>105</v>
      </c>
      <c r="CD511" s="1" t="s">
        <v>105</v>
      </c>
      <c r="CE511" s="4"/>
      <c r="CF511" s="4"/>
    </row>
    <row r="512" hidden="1">
      <c r="A512" s="1" t="s">
        <v>82</v>
      </c>
      <c r="B512" s="1" t="s">
        <v>304</v>
      </c>
      <c r="C512" s="1">
        <v>2.0</v>
      </c>
      <c r="D512" s="5" t="s">
        <v>2273</v>
      </c>
      <c r="E512" s="1" t="s">
        <v>2274</v>
      </c>
      <c r="F512" s="1">
        <v>44.0</v>
      </c>
      <c r="G512" s="1">
        <v>0.6705</v>
      </c>
      <c r="H512" s="1" t="s">
        <v>2275</v>
      </c>
      <c r="I512" s="4" t="b">
        <f>IFERROR(__xludf.DUMMYFUNCTION("IF(H512="""",,REGEXMATCH(H512,""[א-ת]""))"),FALSE)</f>
        <v>0</v>
      </c>
      <c r="J512" s="4"/>
      <c r="K512" s="4"/>
      <c r="L512" s="1">
        <v>0.4767</v>
      </c>
      <c r="M512" s="1">
        <v>30.97</v>
      </c>
      <c r="N512" s="1">
        <v>52.27</v>
      </c>
      <c r="O512" s="1">
        <v>1.187954545</v>
      </c>
      <c r="P512" s="4"/>
      <c r="Q512" s="4"/>
      <c r="R512" s="1" t="s">
        <v>89</v>
      </c>
      <c r="S512" s="1" t="s">
        <v>2274</v>
      </c>
      <c r="T512" s="1" t="s">
        <v>304</v>
      </c>
      <c r="U512" s="1">
        <v>3.0</v>
      </c>
      <c r="V512" s="5" t="s">
        <v>2273</v>
      </c>
      <c r="W512" s="1" t="s">
        <v>2274</v>
      </c>
      <c r="X512" s="1" t="s">
        <v>2276</v>
      </c>
      <c r="Y512" s="4"/>
      <c r="Z512" s="4"/>
      <c r="AA512" s="4" t="b">
        <f>IFERROR(__xludf.DUMMYFUNCTION("IF(X512="""",,REGEXMATCH(X512,""[א-ת]""))"),FALSE)</f>
        <v>0</v>
      </c>
      <c r="AB512" s="1">
        <v>22.43</v>
      </c>
      <c r="AC512" s="1">
        <v>56.82</v>
      </c>
      <c r="AD512" s="1">
        <v>0.496515166688082</v>
      </c>
      <c r="AE512" s="1">
        <v>0.743</v>
      </c>
      <c r="AF512" s="1">
        <v>0.6705</v>
      </c>
      <c r="AG512" s="1">
        <v>6.337</v>
      </c>
      <c r="AH512" s="1">
        <v>6.781</v>
      </c>
      <c r="AI512" s="1" t="b">
        <v>0</v>
      </c>
      <c r="AJ512" s="1" t="b">
        <v>0</v>
      </c>
      <c r="AK512" s="1">
        <v>94.182</v>
      </c>
      <c r="AL512" s="1">
        <v>96.508</v>
      </c>
      <c r="AM512" s="1" t="b">
        <v>0</v>
      </c>
      <c r="AN512" s="1" t="b">
        <v>0</v>
      </c>
      <c r="AO512" s="1">
        <v>8.05</v>
      </c>
      <c r="AP512" s="1">
        <v>8.53399999999999</v>
      </c>
      <c r="AQ512" s="1" t="b">
        <v>0</v>
      </c>
      <c r="AR512" s="1" t="b">
        <v>0</v>
      </c>
      <c r="AS512" s="1">
        <v>86.9179999999999</v>
      </c>
      <c r="AT512" s="1">
        <v>87.152</v>
      </c>
      <c r="AU512" s="1" t="b">
        <v>0</v>
      </c>
      <c r="AV512" s="1" t="b">
        <v>0</v>
      </c>
      <c r="AW512" s="1">
        <v>9.61399999999999</v>
      </c>
      <c r="AX512" s="1">
        <v>11.026</v>
      </c>
      <c r="AY512" s="1" t="b">
        <v>0</v>
      </c>
      <c r="AZ512" s="1" t="b">
        <v>0</v>
      </c>
      <c r="BA512" s="1">
        <v>81.25</v>
      </c>
      <c r="BB512" s="1">
        <v>77.78</v>
      </c>
      <c r="BC512" s="1" t="b">
        <v>0</v>
      </c>
      <c r="BD512" s="1" t="b">
        <v>0</v>
      </c>
      <c r="BE512" s="1">
        <v>11.34</v>
      </c>
      <c r="BF512" s="1">
        <v>13.285</v>
      </c>
      <c r="BG512" s="1" t="b">
        <v>0</v>
      </c>
      <c r="BH512" s="1" t="b">
        <v>0</v>
      </c>
      <c r="BI512" s="1">
        <v>77.78</v>
      </c>
      <c r="BJ512" s="1">
        <v>75.0</v>
      </c>
      <c r="BK512" s="1" t="b">
        <v>0</v>
      </c>
      <c r="BL512" s="1" t="b">
        <v>0</v>
      </c>
      <c r="BM512" s="1">
        <v>13.121</v>
      </c>
      <c r="BN512" s="1">
        <v>14.568</v>
      </c>
      <c r="BO512" s="1" t="b">
        <v>0</v>
      </c>
      <c r="BP512" s="1" t="b">
        <v>0</v>
      </c>
      <c r="BQ512" s="1">
        <v>75.0</v>
      </c>
      <c r="BR512" s="1">
        <v>72.027</v>
      </c>
      <c r="BS512" s="1" t="b">
        <v>0</v>
      </c>
      <c r="BT512" s="1" t="b">
        <v>0</v>
      </c>
      <c r="BU512" s="1" t="s">
        <v>105</v>
      </c>
      <c r="BV512" s="1" t="s">
        <v>105</v>
      </c>
      <c r="BW512" s="1" t="s">
        <v>105</v>
      </c>
      <c r="BX512" s="1" t="s">
        <v>105</v>
      </c>
      <c r="BY512" s="1" t="s">
        <v>105</v>
      </c>
      <c r="BZ512" s="1" t="s">
        <v>105</v>
      </c>
      <c r="CA512" s="1" t="s">
        <v>105</v>
      </c>
      <c r="CB512" s="1" t="s">
        <v>105</v>
      </c>
      <c r="CC512" s="1" t="s">
        <v>105</v>
      </c>
      <c r="CD512" s="1" t="s">
        <v>105</v>
      </c>
      <c r="CE512" s="4"/>
      <c r="CF512" s="4"/>
    </row>
    <row r="513" hidden="1">
      <c r="A513" s="1" t="s">
        <v>82</v>
      </c>
      <c r="B513" s="1" t="s">
        <v>145</v>
      </c>
      <c r="C513" s="1">
        <v>17.0</v>
      </c>
      <c r="D513" s="5" t="s">
        <v>2277</v>
      </c>
      <c r="E513" s="1" t="s">
        <v>2278</v>
      </c>
      <c r="F513" s="1">
        <v>58.0</v>
      </c>
      <c r="G513" s="1">
        <v>-0.5574</v>
      </c>
      <c r="H513" s="1" t="s">
        <v>2279</v>
      </c>
      <c r="I513" s="4" t="b">
        <f>IFERROR(__xludf.DUMMYFUNCTION("IF(H513="""",,REGEXMATCH(H513,""[א-ת]""))"),FALSE)</f>
        <v>0</v>
      </c>
      <c r="J513" s="4"/>
      <c r="K513" s="4"/>
      <c r="L513" s="1">
        <v>0.0</v>
      </c>
      <c r="M513" s="1">
        <v>31.18</v>
      </c>
      <c r="N513" s="1">
        <v>48.28</v>
      </c>
      <c r="O513" s="1">
        <v>0.8324137931</v>
      </c>
      <c r="P513" s="4"/>
      <c r="Q513" s="4"/>
      <c r="R513" s="1" t="s">
        <v>89</v>
      </c>
      <c r="S513" s="1" t="s">
        <v>2278</v>
      </c>
      <c r="T513" s="1" t="s">
        <v>145</v>
      </c>
      <c r="U513" s="1">
        <v>18.0</v>
      </c>
      <c r="V513" s="5" t="s">
        <v>2277</v>
      </c>
      <c r="W513" s="1" t="s">
        <v>2278</v>
      </c>
      <c r="X513" s="1" t="s">
        <v>2280</v>
      </c>
      <c r="Y513" s="4"/>
      <c r="Z513" s="4"/>
      <c r="AA513" s="4" t="b">
        <f>IFERROR(__xludf.DUMMYFUNCTION("IF(X513="""",,REGEXMATCH(X513,""[א-ת]""))"),FALSE)</f>
        <v>0</v>
      </c>
      <c r="AB513" s="1">
        <v>22.4</v>
      </c>
      <c r="AC513" s="1">
        <v>48.28</v>
      </c>
      <c r="AD513" s="1">
        <v>0.581223396139891</v>
      </c>
      <c r="AE513" s="1">
        <v>0.0</v>
      </c>
      <c r="AF513" s="1">
        <v>-0.5574</v>
      </c>
      <c r="AG513" s="1">
        <v>6.337</v>
      </c>
      <c r="AH513" s="1">
        <v>6.781</v>
      </c>
      <c r="AI513" s="1" t="b">
        <v>0</v>
      </c>
      <c r="AJ513" s="1" t="b">
        <v>0</v>
      </c>
      <c r="AK513" s="1">
        <v>94.182</v>
      </c>
      <c r="AL513" s="1">
        <v>96.508</v>
      </c>
      <c r="AM513" s="1" t="b">
        <v>0</v>
      </c>
      <c r="AN513" s="1" t="b">
        <v>0</v>
      </c>
      <c r="AO513" s="1">
        <v>8.05</v>
      </c>
      <c r="AP513" s="1">
        <v>8.53399999999999</v>
      </c>
      <c r="AQ513" s="1" t="b">
        <v>0</v>
      </c>
      <c r="AR513" s="1" t="b">
        <v>0</v>
      </c>
      <c r="AS513" s="1">
        <v>86.9179999999999</v>
      </c>
      <c r="AT513" s="1">
        <v>87.152</v>
      </c>
      <c r="AU513" s="1" t="b">
        <v>0</v>
      </c>
      <c r="AV513" s="1" t="b">
        <v>0</v>
      </c>
      <c r="AW513" s="1">
        <v>9.61399999999999</v>
      </c>
      <c r="AX513" s="1">
        <v>11.026</v>
      </c>
      <c r="AY513" s="1" t="b">
        <v>0</v>
      </c>
      <c r="AZ513" s="1" t="b">
        <v>0</v>
      </c>
      <c r="BA513" s="1">
        <v>81.25</v>
      </c>
      <c r="BB513" s="1">
        <v>77.78</v>
      </c>
      <c r="BC513" s="1" t="b">
        <v>0</v>
      </c>
      <c r="BD513" s="1" t="b">
        <v>0</v>
      </c>
      <c r="BE513" s="1">
        <v>11.34</v>
      </c>
      <c r="BF513" s="1">
        <v>13.285</v>
      </c>
      <c r="BG513" s="1" t="b">
        <v>0</v>
      </c>
      <c r="BH513" s="1" t="b">
        <v>0</v>
      </c>
      <c r="BI513" s="1">
        <v>77.78</v>
      </c>
      <c r="BJ513" s="1">
        <v>75.0</v>
      </c>
      <c r="BK513" s="1" t="b">
        <v>0</v>
      </c>
      <c r="BL513" s="1" t="b">
        <v>0</v>
      </c>
      <c r="BM513" s="1">
        <v>13.121</v>
      </c>
      <c r="BN513" s="1">
        <v>14.568</v>
      </c>
      <c r="BO513" s="1" t="b">
        <v>0</v>
      </c>
      <c r="BP513" s="1" t="b">
        <v>0</v>
      </c>
      <c r="BQ513" s="1">
        <v>75.0</v>
      </c>
      <c r="BR513" s="1">
        <v>72.027</v>
      </c>
      <c r="BS513" s="1" t="b">
        <v>0</v>
      </c>
      <c r="BT513" s="1" t="b">
        <v>0</v>
      </c>
      <c r="BU513" s="1" t="s">
        <v>105</v>
      </c>
      <c r="BV513" s="1" t="s">
        <v>105</v>
      </c>
      <c r="BW513" s="1" t="s">
        <v>105</v>
      </c>
      <c r="BX513" s="1" t="s">
        <v>105</v>
      </c>
      <c r="BY513" s="1" t="s">
        <v>105</v>
      </c>
      <c r="BZ513" s="1" t="s">
        <v>105</v>
      </c>
      <c r="CA513" s="1" t="s">
        <v>105</v>
      </c>
      <c r="CB513" s="1" t="s">
        <v>105</v>
      </c>
      <c r="CC513" s="1" t="s">
        <v>105</v>
      </c>
      <c r="CD513" s="1" t="s">
        <v>105</v>
      </c>
      <c r="CE513" s="4"/>
      <c r="CF513" s="4"/>
    </row>
    <row r="514" hidden="1">
      <c r="A514" s="1" t="s">
        <v>82</v>
      </c>
      <c r="B514" s="1" t="s">
        <v>83</v>
      </c>
      <c r="C514" s="1">
        <v>13.0</v>
      </c>
      <c r="D514" s="5" t="s">
        <v>2281</v>
      </c>
      <c r="E514" s="1" t="s">
        <v>2282</v>
      </c>
      <c r="F514" s="1">
        <v>54.0</v>
      </c>
      <c r="G514" s="1">
        <v>0.0</v>
      </c>
      <c r="H514" s="1" t="s">
        <v>2283</v>
      </c>
      <c r="I514" s="4" t="b">
        <f>IFERROR(__xludf.DUMMYFUNCTION("IF(H514="""",,REGEXMATCH(H514,""[א-ת]""))"),FALSE)</f>
        <v>0</v>
      </c>
      <c r="J514" s="4"/>
      <c r="K514" s="4"/>
      <c r="L514" s="1">
        <v>0.0</v>
      </c>
      <c r="M514" s="1">
        <v>31.3</v>
      </c>
      <c r="N514" s="1">
        <v>53.7</v>
      </c>
      <c r="O514" s="1">
        <v>0.9944444444</v>
      </c>
      <c r="P514" s="4"/>
      <c r="Q514" s="4"/>
      <c r="R514" s="1" t="s">
        <v>89</v>
      </c>
      <c r="S514" s="1" t="s">
        <v>2282</v>
      </c>
      <c r="T514" s="1" t="s">
        <v>83</v>
      </c>
      <c r="U514" s="1">
        <v>14.0</v>
      </c>
      <c r="V514" s="5" t="s">
        <v>2281</v>
      </c>
      <c r="W514" s="1" t="s">
        <v>2282</v>
      </c>
      <c r="X514" s="1" t="s">
        <v>2284</v>
      </c>
      <c r="Y514" s="4"/>
      <c r="Z514" s="4"/>
      <c r="AA514" s="4" t="b">
        <f>IFERROR(__xludf.DUMMYFUNCTION("IF(X514="""",,REGEXMATCH(X514,""[א-ת]""))"),FALSE)</f>
        <v>0</v>
      </c>
      <c r="AB514" s="1">
        <v>49.9</v>
      </c>
      <c r="AC514" s="1">
        <v>31.48</v>
      </c>
      <c r="AD514" s="1">
        <v>0.776408394887421</v>
      </c>
      <c r="AE514" s="1">
        <v>0.0</v>
      </c>
      <c r="AF514" s="1">
        <v>0.0</v>
      </c>
      <c r="AG514" s="1">
        <v>6.337</v>
      </c>
      <c r="AH514" s="1">
        <v>6.781</v>
      </c>
      <c r="AI514" s="1" t="b">
        <v>0</v>
      </c>
      <c r="AJ514" s="1" t="b">
        <v>0</v>
      </c>
      <c r="AK514" s="1">
        <v>94.182</v>
      </c>
      <c r="AL514" s="1">
        <v>96.508</v>
      </c>
      <c r="AM514" s="1" t="b">
        <v>0</v>
      </c>
      <c r="AN514" s="1" t="b">
        <v>0</v>
      </c>
      <c r="AO514" s="1">
        <v>8.05</v>
      </c>
      <c r="AP514" s="1">
        <v>8.53399999999999</v>
      </c>
      <c r="AQ514" s="1" t="b">
        <v>0</v>
      </c>
      <c r="AR514" s="1" t="b">
        <v>0</v>
      </c>
      <c r="AS514" s="1">
        <v>86.9179999999999</v>
      </c>
      <c r="AT514" s="1">
        <v>87.152</v>
      </c>
      <c r="AU514" s="1" t="b">
        <v>0</v>
      </c>
      <c r="AV514" s="1" t="b">
        <v>0</v>
      </c>
      <c r="AW514" s="1">
        <v>9.61399999999999</v>
      </c>
      <c r="AX514" s="1">
        <v>11.026</v>
      </c>
      <c r="AY514" s="1" t="b">
        <v>0</v>
      </c>
      <c r="AZ514" s="1" t="b">
        <v>0</v>
      </c>
      <c r="BA514" s="1">
        <v>81.25</v>
      </c>
      <c r="BB514" s="1">
        <v>77.78</v>
      </c>
      <c r="BC514" s="1" t="b">
        <v>0</v>
      </c>
      <c r="BD514" s="1" t="b">
        <v>0</v>
      </c>
      <c r="BE514" s="1">
        <v>11.34</v>
      </c>
      <c r="BF514" s="1">
        <v>13.285</v>
      </c>
      <c r="BG514" s="1" t="b">
        <v>0</v>
      </c>
      <c r="BH514" s="1" t="b">
        <v>0</v>
      </c>
      <c r="BI514" s="1">
        <v>77.78</v>
      </c>
      <c r="BJ514" s="1">
        <v>75.0</v>
      </c>
      <c r="BK514" s="1" t="b">
        <v>0</v>
      </c>
      <c r="BL514" s="1" t="b">
        <v>0</v>
      </c>
      <c r="BM514" s="1">
        <v>13.121</v>
      </c>
      <c r="BN514" s="1">
        <v>14.568</v>
      </c>
      <c r="BO514" s="1" t="b">
        <v>0</v>
      </c>
      <c r="BP514" s="1" t="b">
        <v>0</v>
      </c>
      <c r="BQ514" s="1">
        <v>75.0</v>
      </c>
      <c r="BR514" s="1">
        <v>72.027</v>
      </c>
      <c r="BS514" s="1" t="b">
        <v>0</v>
      </c>
      <c r="BT514" s="1" t="b">
        <v>0</v>
      </c>
      <c r="BU514" s="1" t="s">
        <v>105</v>
      </c>
      <c r="BV514" s="1" t="s">
        <v>105</v>
      </c>
      <c r="BW514" s="1" t="s">
        <v>105</v>
      </c>
      <c r="BX514" s="1" t="s">
        <v>105</v>
      </c>
      <c r="BY514" s="1" t="s">
        <v>105</v>
      </c>
      <c r="BZ514" s="1" t="s">
        <v>105</v>
      </c>
      <c r="CA514" s="1" t="s">
        <v>105</v>
      </c>
      <c r="CB514" s="1" t="s">
        <v>105</v>
      </c>
      <c r="CC514" s="1" t="s">
        <v>105</v>
      </c>
      <c r="CD514" s="1" t="s">
        <v>105</v>
      </c>
      <c r="CE514" s="4"/>
      <c r="CF514" s="4"/>
    </row>
    <row r="515" hidden="1">
      <c r="A515" s="1" t="s">
        <v>82</v>
      </c>
      <c r="B515" s="1" t="s">
        <v>167</v>
      </c>
      <c r="C515" s="1">
        <v>13.0</v>
      </c>
      <c r="D515" s="5" t="s">
        <v>2285</v>
      </c>
      <c r="E515" s="1" t="s">
        <v>2286</v>
      </c>
      <c r="F515" s="1">
        <v>20.0</v>
      </c>
      <c r="G515" s="1">
        <v>0.0772</v>
      </c>
      <c r="H515" s="1" t="s">
        <v>2287</v>
      </c>
      <c r="I515" s="4" t="b">
        <f>IFERROR(__xludf.DUMMYFUNCTION("IF(H515="""",,REGEXMATCH(H515,""[א-ת]""))"),FALSE)</f>
        <v>0</v>
      </c>
      <c r="J515" s="4"/>
      <c r="K515" s="4"/>
      <c r="L515" s="1">
        <v>0.0</v>
      </c>
      <c r="M515" s="1">
        <v>31.59</v>
      </c>
      <c r="N515" s="1">
        <v>60.0</v>
      </c>
      <c r="O515" s="1">
        <v>3.0</v>
      </c>
      <c r="P515" s="4"/>
      <c r="Q515" s="4"/>
      <c r="R515" s="1" t="s">
        <v>127</v>
      </c>
      <c r="S515" s="1" t="s">
        <v>2286</v>
      </c>
      <c r="T515" s="1" t="s">
        <v>167</v>
      </c>
      <c r="U515" s="1">
        <v>14.0</v>
      </c>
      <c r="V515" s="5" t="s">
        <v>2285</v>
      </c>
      <c r="W515" s="1" t="s">
        <v>2286</v>
      </c>
      <c r="X515" s="1" t="s">
        <v>2288</v>
      </c>
      <c r="Y515" s="4"/>
      <c r="Z515" s="4"/>
      <c r="AA515" s="4" t="b">
        <f>IFERROR(__xludf.DUMMYFUNCTION("IF(X515="""",,REGEXMATCH(X515,""[א-ת]""))"),FALSE)</f>
        <v>0</v>
      </c>
      <c r="AB515" s="1">
        <v>17.84</v>
      </c>
      <c r="AC515" s="1">
        <v>70.0</v>
      </c>
      <c r="AD515" s="1">
        <v>0.124270936335329</v>
      </c>
      <c r="AE515" s="1">
        <v>0.0</v>
      </c>
      <c r="AF515" s="1">
        <v>0.0772</v>
      </c>
      <c r="AG515" s="1">
        <v>6.337</v>
      </c>
      <c r="AH515" s="1">
        <v>6.781</v>
      </c>
      <c r="AI515" s="1" t="b">
        <v>0</v>
      </c>
      <c r="AJ515" s="1" t="b">
        <v>0</v>
      </c>
      <c r="AK515" s="1">
        <v>94.182</v>
      </c>
      <c r="AL515" s="1">
        <v>96.508</v>
      </c>
      <c r="AM515" s="1" t="b">
        <v>0</v>
      </c>
      <c r="AN515" s="1" t="b">
        <v>0</v>
      </c>
      <c r="AO515" s="1">
        <v>8.05</v>
      </c>
      <c r="AP515" s="1">
        <v>8.53399999999999</v>
      </c>
      <c r="AQ515" s="1" t="b">
        <v>0</v>
      </c>
      <c r="AR515" s="1" t="b">
        <v>0</v>
      </c>
      <c r="AS515" s="1">
        <v>86.9179999999999</v>
      </c>
      <c r="AT515" s="1">
        <v>87.152</v>
      </c>
      <c r="AU515" s="1" t="b">
        <v>0</v>
      </c>
      <c r="AV515" s="1" t="b">
        <v>0</v>
      </c>
      <c r="AW515" s="1">
        <v>9.61399999999999</v>
      </c>
      <c r="AX515" s="1">
        <v>11.026</v>
      </c>
      <c r="AY515" s="1" t="b">
        <v>0</v>
      </c>
      <c r="AZ515" s="1" t="b">
        <v>0</v>
      </c>
      <c r="BA515" s="1">
        <v>81.25</v>
      </c>
      <c r="BB515" s="1">
        <v>77.78</v>
      </c>
      <c r="BC515" s="1" t="b">
        <v>0</v>
      </c>
      <c r="BD515" s="1" t="b">
        <v>0</v>
      </c>
      <c r="BE515" s="1">
        <v>11.34</v>
      </c>
      <c r="BF515" s="1">
        <v>13.285</v>
      </c>
      <c r="BG515" s="1" t="b">
        <v>0</v>
      </c>
      <c r="BH515" s="1" t="b">
        <v>0</v>
      </c>
      <c r="BI515" s="1">
        <v>77.78</v>
      </c>
      <c r="BJ515" s="1">
        <v>75.0</v>
      </c>
      <c r="BK515" s="1" t="b">
        <v>0</v>
      </c>
      <c r="BL515" s="1" t="b">
        <v>0</v>
      </c>
      <c r="BM515" s="1">
        <v>13.121</v>
      </c>
      <c r="BN515" s="1">
        <v>14.568</v>
      </c>
      <c r="BO515" s="1" t="b">
        <v>0</v>
      </c>
      <c r="BP515" s="1" t="b">
        <v>0</v>
      </c>
      <c r="BQ515" s="1">
        <v>75.0</v>
      </c>
      <c r="BR515" s="1">
        <v>72.027</v>
      </c>
      <c r="BS515" s="1" t="b">
        <v>0</v>
      </c>
      <c r="BT515" s="1" t="b">
        <v>0</v>
      </c>
      <c r="BU515" s="1" t="s">
        <v>105</v>
      </c>
      <c r="BV515" s="1" t="s">
        <v>105</v>
      </c>
      <c r="BW515" s="1" t="s">
        <v>105</v>
      </c>
      <c r="BX515" s="1" t="s">
        <v>105</v>
      </c>
      <c r="BY515" s="1" t="s">
        <v>105</v>
      </c>
      <c r="BZ515" s="1" t="s">
        <v>105</v>
      </c>
      <c r="CA515" s="1" t="s">
        <v>105</v>
      </c>
      <c r="CB515" s="1" t="s">
        <v>105</v>
      </c>
      <c r="CC515" s="1" t="s">
        <v>105</v>
      </c>
      <c r="CD515" s="1" t="s">
        <v>105</v>
      </c>
      <c r="CE515" s="4"/>
      <c r="CF515" s="4"/>
    </row>
    <row r="516" hidden="1">
      <c r="A516" s="1" t="s">
        <v>82</v>
      </c>
      <c r="B516" s="1" t="s">
        <v>111</v>
      </c>
      <c r="C516" s="1">
        <v>61.0</v>
      </c>
      <c r="D516" s="5" t="s">
        <v>2289</v>
      </c>
      <c r="E516" s="1" t="s">
        <v>2290</v>
      </c>
      <c r="F516" s="1">
        <v>25.0</v>
      </c>
      <c r="G516" s="1">
        <v>0.0</v>
      </c>
      <c r="H516" s="1" t="s">
        <v>2291</v>
      </c>
      <c r="I516" s="4" t="b">
        <f>IFERROR(__xludf.DUMMYFUNCTION("IF(H516="""",,REGEXMATCH(H516,""[א-ת]""))"),FALSE)</f>
        <v>0</v>
      </c>
      <c r="J516" s="4"/>
      <c r="K516" s="4"/>
      <c r="L516" s="1">
        <v>0.0</v>
      </c>
      <c r="M516" s="1">
        <v>31.59</v>
      </c>
      <c r="N516" s="1">
        <v>36.0</v>
      </c>
      <c r="O516" s="1">
        <v>1.44</v>
      </c>
      <c r="P516" s="4"/>
      <c r="Q516" s="4"/>
      <c r="R516" s="1" t="s">
        <v>89</v>
      </c>
      <c r="S516" s="1" t="s">
        <v>2290</v>
      </c>
      <c r="T516" s="1" t="s">
        <v>111</v>
      </c>
      <c r="U516" s="1">
        <v>62.0</v>
      </c>
      <c r="V516" s="5" t="s">
        <v>2289</v>
      </c>
      <c r="W516" s="1" t="s">
        <v>2290</v>
      </c>
      <c r="X516" s="1" t="s">
        <v>2292</v>
      </c>
      <c r="Y516" s="4"/>
      <c r="Z516" s="4"/>
      <c r="AA516" s="4" t="b">
        <f>IFERROR(__xludf.DUMMYFUNCTION("IF(X516="""",,REGEXMATCH(X516,""[א-ת]""))"),FALSE)</f>
        <v>0</v>
      </c>
      <c r="AB516" s="1">
        <v>44.28</v>
      </c>
      <c r="AC516" s="1">
        <v>40.0</v>
      </c>
      <c r="AD516" s="1">
        <v>0.581413738958907</v>
      </c>
      <c r="AE516" s="1">
        <v>0.0</v>
      </c>
      <c r="AF516" s="1">
        <v>0.0</v>
      </c>
      <c r="AG516" s="1">
        <v>6.337</v>
      </c>
      <c r="AH516" s="1">
        <v>6.781</v>
      </c>
      <c r="AI516" s="1" t="b">
        <v>0</v>
      </c>
      <c r="AJ516" s="1" t="b">
        <v>0</v>
      </c>
      <c r="AK516" s="1">
        <v>94.182</v>
      </c>
      <c r="AL516" s="1">
        <v>96.508</v>
      </c>
      <c r="AM516" s="1" t="b">
        <v>0</v>
      </c>
      <c r="AN516" s="1" t="b">
        <v>0</v>
      </c>
      <c r="AO516" s="1">
        <v>8.05</v>
      </c>
      <c r="AP516" s="1">
        <v>8.53399999999999</v>
      </c>
      <c r="AQ516" s="1" t="b">
        <v>0</v>
      </c>
      <c r="AR516" s="1" t="b">
        <v>0</v>
      </c>
      <c r="AS516" s="1">
        <v>86.9179999999999</v>
      </c>
      <c r="AT516" s="1">
        <v>87.152</v>
      </c>
      <c r="AU516" s="1" t="b">
        <v>0</v>
      </c>
      <c r="AV516" s="1" t="b">
        <v>0</v>
      </c>
      <c r="AW516" s="1">
        <v>9.61399999999999</v>
      </c>
      <c r="AX516" s="1">
        <v>11.026</v>
      </c>
      <c r="AY516" s="1" t="b">
        <v>0</v>
      </c>
      <c r="AZ516" s="1" t="b">
        <v>0</v>
      </c>
      <c r="BA516" s="1">
        <v>81.25</v>
      </c>
      <c r="BB516" s="1">
        <v>77.78</v>
      </c>
      <c r="BC516" s="1" t="b">
        <v>0</v>
      </c>
      <c r="BD516" s="1" t="b">
        <v>0</v>
      </c>
      <c r="BE516" s="1">
        <v>11.34</v>
      </c>
      <c r="BF516" s="1">
        <v>13.285</v>
      </c>
      <c r="BG516" s="1" t="b">
        <v>0</v>
      </c>
      <c r="BH516" s="1" t="b">
        <v>0</v>
      </c>
      <c r="BI516" s="1">
        <v>77.78</v>
      </c>
      <c r="BJ516" s="1">
        <v>75.0</v>
      </c>
      <c r="BK516" s="1" t="b">
        <v>0</v>
      </c>
      <c r="BL516" s="1" t="b">
        <v>0</v>
      </c>
      <c r="BM516" s="1">
        <v>13.121</v>
      </c>
      <c r="BN516" s="1">
        <v>14.568</v>
      </c>
      <c r="BO516" s="1" t="b">
        <v>0</v>
      </c>
      <c r="BP516" s="1" t="b">
        <v>0</v>
      </c>
      <c r="BQ516" s="1">
        <v>75.0</v>
      </c>
      <c r="BR516" s="1">
        <v>72.027</v>
      </c>
      <c r="BS516" s="1" t="b">
        <v>0</v>
      </c>
      <c r="BT516" s="1" t="b">
        <v>0</v>
      </c>
      <c r="BU516" s="1" t="s">
        <v>105</v>
      </c>
      <c r="BV516" s="1" t="s">
        <v>105</v>
      </c>
      <c r="BW516" s="1" t="s">
        <v>105</v>
      </c>
      <c r="BX516" s="1" t="s">
        <v>105</v>
      </c>
      <c r="BY516" s="1" t="s">
        <v>105</v>
      </c>
      <c r="BZ516" s="1" t="s">
        <v>105</v>
      </c>
      <c r="CA516" s="1" t="s">
        <v>105</v>
      </c>
      <c r="CB516" s="1" t="s">
        <v>105</v>
      </c>
      <c r="CC516" s="1" t="s">
        <v>105</v>
      </c>
      <c r="CD516" s="1" t="s">
        <v>105</v>
      </c>
      <c r="CE516" s="4"/>
      <c r="CF516" s="4"/>
    </row>
    <row r="517" hidden="1">
      <c r="A517" s="1" t="s">
        <v>82</v>
      </c>
      <c r="B517" s="1" t="s">
        <v>262</v>
      </c>
      <c r="C517" s="1">
        <v>17.0</v>
      </c>
      <c r="D517" s="5" t="s">
        <v>2293</v>
      </c>
      <c r="E517" s="1" t="s">
        <v>2294</v>
      </c>
      <c r="F517" s="1">
        <v>20.0</v>
      </c>
      <c r="G517" s="1">
        <v>0.0</v>
      </c>
      <c r="H517" s="1" t="s">
        <v>2295</v>
      </c>
      <c r="I517" s="4" t="b">
        <f>IFERROR(__xludf.DUMMYFUNCTION("IF(H517="""",,REGEXMATCH(H517,""[א-ת]""))"),FALSE)</f>
        <v>0</v>
      </c>
      <c r="J517" s="4"/>
      <c r="K517" s="4"/>
      <c r="L517" s="1">
        <v>0.0</v>
      </c>
      <c r="M517" s="1">
        <v>31.69</v>
      </c>
      <c r="N517" s="1">
        <v>45.0</v>
      </c>
      <c r="O517" s="1">
        <v>2.25</v>
      </c>
      <c r="P517" s="4"/>
      <c r="Q517" s="4"/>
      <c r="R517" s="1" t="s">
        <v>96</v>
      </c>
      <c r="S517" s="1" t="s">
        <v>2294</v>
      </c>
      <c r="T517" s="1" t="s">
        <v>262</v>
      </c>
      <c r="U517" s="1">
        <v>18.0</v>
      </c>
      <c r="V517" s="5" t="s">
        <v>2293</v>
      </c>
      <c r="W517" s="1" t="s">
        <v>2294</v>
      </c>
      <c r="X517" s="1" t="s">
        <v>2296</v>
      </c>
      <c r="Y517" s="4"/>
      <c r="Z517" s="4"/>
      <c r="AA517" s="4" t="b">
        <f>IFERROR(__xludf.DUMMYFUNCTION("IF(X517="""",,REGEXMATCH(X517,""[א-ת]""))"),FALSE)</f>
        <v>0</v>
      </c>
      <c r="AB517" s="1">
        <v>15.09</v>
      </c>
      <c r="AC517" s="1">
        <v>55.0</v>
      </c>
      <c r="AD517" s="1">
        <v>0.514989572918186</v>
      </c>
      <c r="AE517" s="1">
        <v>0.0</v>
      </c>
      <c r="AF517" s="1">
        <v>0.0</v>
      </c>
      <c r="AG517" s="1">
        <v>6.337</v>
      </c>
      <c r="AH517" s="1">
        <v>6.781</v>
      </c>
      <c r="AI517" s="1" t="b">
        <v>0</v>
      </c>
      <c r="AJ517" s="1" t="b">
        <v>0</v>
      </c>
      <c r="AK517" s="1">
        <v>94.182</v>
      </c>
      <c r="AL517" s="1">
        <v>96.508</v>
      </c>
      <c r="AM517" s="1" t="b">
        <v>0</v>
      </c>
      <c r="AN517" s="1" t="b">
        <v>0</v>
      </c>
      <c r="AO517" s="1">
        <v>8.05</v>
      </c>
      <c r="AP517" s="1">
        <v>8.53399999999999</v>
      </c>
      <c r="AQ517" s="1" t="b">
        <v>0</v>
      </c>
      <c r="AR517" s="1" t="b">
        <v>0</v>
      </c>
      <c r="AS517" s="1">
        <v>86.9179999999999</v>
      </c>
      <c r="AT517" s="1">
        <v>87.152</v>
      </c>
      <c r="AU517" s="1" t="b">
        <v>0</v>
      </c>
      <c r="AV517" s="1" t="b">
        <v>0</v>
      </c>
      <c r="AW517" s="1">
        <v>9.61399999999999</v>
      </c>
      <c r="AX517" s="1">
        <v>11.026</v>
      </c>
      <c r="AY517" s="1" t="b">
        <v>0</v>
      </c>
      <c r="AZ517" s="1" t="b">
        <v>0</v>
      </c>
      <c r="BA517" s="1">
        <v>81.25</v>
      </c>
      <c r="BB517" s="1">
        <v>77.78</v>
      </c>
      <c r="BC517" s="1" t="b">
        <v>0</v>
      </c>
      <c r="BD517" s="1" t="b">
        <v>0</v>
      </c>
      <c r="BE517" s="1">
        <v>11.34</v>
      </c>
      <c r="BF517" s="1">
        <v>13.285</v>
      </c>
      <c r="BG517" s="1" t="b">
        <v>0</v>
      </c>
      <c r="BH517" s="1" t="b">
        <v>0</v>
      </c>
      <c r="BI517" s="1">
        <v>77.78</v>
      </c>
      <c r="BJ517" s="1">
        <v>75.0</v>
      </c>
      <c r="BK517" s="1" t="b">
        <v>0</v>
      </c>
      <c r="BL517" s="1" t="b">
        <v>0</v>
      </c>
      <c r="BM517" s="1">
        <v>13.121</v>
      </c>
      <c r="BN517" s="1">
        <v>14.568</v>
      </c>
      <c r="BO517" s="1" t="b">
        <v>0</v>
      </c>
      <c r="BP517" s="1" t="b">
        <v>0</v>
      </c>
      <c r="BQ517" s="1">
        <v>75.0</v>
      </c>
      <c r="BR517" s="1">
        <v>72.027</v>
      </c>
      <c r="BS517" s="1" t="b">
        <v>0</v>
      </c>
      <c r="BT517" s="1" t="b">
        <v>0</v>
      </c>
      <c r="BU517" s="1" t="s">
        <v>105</v>
      </c>
      <c r="BV517" s="1" t="s">
        <v>105</v>
      </c>
      <c r="BW517" s="1" t="s">
        <v>105</v>
      </c>
      <c r="BX517" s="1" t="s">
        <v>105</v>
      </c>
      <c r="BY517" s="1" t="s">
        <v>105</v>
      </c>
      <c r="BZ517" s="1" t="s">
        <v>105</v>
      </c>
      <c r="CA517" s="1" t="s">
        <v>105</v>
      </c>
      <c r="CB517" s="1" t="s">
        <v>105</v>
      </c>
      <c r="CC517" s="1" t="s">
        <v>105</v>
      </c>
      <c r="CD517" s="1" t="s">
        <v>105</v>
      </c>
      <c r="CE517" s="4"/>
      <c r="CF517" s="4"/>
    </row>
    <row r="518" hidden="1">
      <c r="A518" s="1" t="s">
        <v>82</v>
      </c>
      <c r="B518" s="1" t="s">
        <v>262</v>
      </c>
      <c r="C518" s="1">
        <v>7.0</v>
      </c>
      <c r="D518" s="5" t="s">
        <v>2297</v>
      </c>
      <c r="E518" s="1" t="s">
        <v>2298</v>
      </c>
      <c r="F518" s="1">
        <v>33.0</v>
      </c>
      <c r="G518" s="1">
        <v>0.5574</v>
      </c>
      <c r="H518" s="1" t="s">
        <v>2299</v>
      </c>
      <c r="I518" s="4" t="b">
        <f>IFERROR(__xludf.DUMMYFUNCTION("IF(H518="""",,REGEXMATCH(H518,""[א-ת]""))"),FALSE)</f>
        <v>0</v>
      </c>
      <c r="J518" s="4"/>
      <c r="K518" s="4"/>
      <c r="L518" s="1">
        <v>0.5574</v>
      </c>
      <c r="M518" s="1">
        <v>31.75</v>
      </c>
      <c r="N518" s="1">
        <v>48.48</v>
      </c>
      <c r="O518" s="1">
        <v>1.469090909</v>
      </c>
      <c r="P518" s="4"/>
      <c r="Q518" s="4"/>
      <c r="R518" s="1" t="s">
        <v>96</v>
      </c>
      <c r="S518" s="1" t="s">
        <v>2298</v>
      </c>
      <c r="T518" s="1" t="s">
        <v>262</v>
      </c>
      <c r="U518" s="1">
        <v>8.0</v>
      </c>
      <c r="V518" s="5" t="s">
        <v>2297</v>
      </c>
      <c r="W518" s="1" t="s">
        <v>2298</v>
      </c>
      <c r="X518" s="1" t="s">
        <v>2300</v>
      </c>
      <c r="Y518" s="4"/>
      <c r="Z518" s="4"/>
      <c r="AA518" s="4" t="b">
        <f>IFERROR(__xludf.DUMMYFUNCTION("IF(X518="""",,REGEXMATCH(X518,""[א-ת]""))"),FALSE)</f>
        <v>0</v>
      </c>
      <c r="AB518" s="1">
        <v>7.32</v>
      </c>
      <c r="AC518" s="1">
        <v>75.76</v>
      </c>
      <c r="AD518" s="1">
        <v>0.722295686105619</v>
      </c>
      <c r="AE518" s="1">
        <v>0.0</v>
      </c>
      <c r="AF518" s="1">
        <v>0.5574</v>
      </c>
      <c r="AG518" s="1">
        <v>6.337</v>
      </c>
      <c r="AH518" s="1">
        <v>6.781</v>
      </c>
      <c r="AI518" s="1" t="b">
        <v>0</v>
      </c>
      <c r="AJ518" s="1" t="b">
        <v>0</v>
      </c>
      <c r="AK518" s="1">
        <v>94.182</v>
      </c>
      <c r="AL518" s="1">
        <v>96.508</v>
      </c>
      <c r="AM518" s="1" t="b">
        <v>0</v>
      </c>
      <c r="AN518" s="1" t="b">
        <v>0</v>
      </c>
      <c r="AO518" s="1">
        <v>8.05</v>
      </c>
      <c r="AP518" s="1">
        <v>8.53399999999999</v>
      </c>
      <c r="AQ518" s="1" t="b">
        <v>0</v>
      </c>
      <c r="AR518" s="1" t="b">
        <v>1</v>
      </c>
      <c r="AS518" s="1">
        <v>86.9179999999999</v>
      </c>
      <c r="AT518" s="1">
        <v>87.152</v>
      </c>
      <c r="AU518" s="1" t="b">
        <v>0</v>
      </c>
      <c r="AV518" s="1" t="b">
        <v>0</v>
      </c>
      <c r="AW518" s="1">
        <v>9.61399999999999</v>
      </c>
      <c r="AX518" s="1">
        <v>11.026</v>
      </c>
      <c r="AY518" s="1" t="b">
        <v>0</v>
      </c>
      <c r="AZ518" s="1" t="b">
        <v>1</v>
      </c>
      <c r="BA518" s="1">
        <v>81.25</v>
      </c>
      <c r="BB518" s="1">
        <v>77.78</v>
      </c>
      <c r="BC518" s="1" t="b">
        <v>0</v>
      </c>
      <c r="BD518" s="1" t="b">
        <v>0</v>
      </c>
      <c r="BE518" s="1">
        <v>11.34</v>
      </c>
      <c r="BF518" s="1">
        <v>13.285</v>
      </c>
      <c r="BG518" s="1" t="b">
        <v>0</v>
      </c>
      <c r="BH518" s="1" t="b">
        <v>1</v>
      </c>
      <c r="BI518" s="1">
        <v>77.78</v>
      </c>
      <c r="BJ518" s="1">
        <v>75.0</v>
      </c>
      <c r="BK518" s="1" t="b">
        <v>0</v>
      </c>
      <c r="BL518" s="1" t="b">
        <v>1</v>
      </c>
      <c r="BM518" s="1">
        <v>13.121</v>
      </c>
      <c r="BN518" s="1">
        <v>14.568</v>
      </c>
      <c r="BO518" s="1" t="b">
        <v>0</v>
      </c>
      <c r="BP518" s="1" t="b">
        <v>1</v>
      </c>
      <c r="BQ518" s="1">
        <v>75.0</v>
      </c>
      <c r="BR518" s="1">
        <v>72.027</v>
      </c>
      <c r="BS518" s="1" t="b">
        <v>0</v>
      </c>
      <c r="BT518" s="1" t="b">
        <v>1</v>
      </c>
      <c r="BU518" s="1" t="s">
        <v>105</v>
      </c>
      <c r="BV518" s="1" t="s">
        <v>105</v>
      </c>
      <c r="BW518" s="1" t="s">
        <v>157</v>
      </c>
      <c r="BX518" s="1" t="s">
        <v>105</v>
      </c>
      <c r="BY518" s="1" t="s">
        <v>157</v>
      </c>
      <c r="BZ518" s="1" t="s">
        <v>105</v>
      </c>
      <c r="CA518" s="1" t="s">
        <v>157</v>
      </c>
      <c r="CB518" s="1" t="s">
        <v>157</v>
      </c>
      <c r="CC518" s="1" t="s">
        <v>157</v>
      </c>
      <c r="CD518" s="1" t="s">
        <v>157</v>
      </c>
      <c r="CE518" s="4"/>
      <c r="CF518" s="4"/>
    </row>
    <row r="519" hidden="1">
      <c r="A519" s="1" t="s">
        <v>82</v>
      </c>
      <c r="B519" s="1" t="s">
        <v>92</v>
      </c>
      <c r="C519" s="1">
        <v>6.0</v>
      </c>
      <c r="D519" s="5" t="s">
        <v>2301</v>
      </c>
      <c r="E519" s="1" t="s">
        <v>2302</v>
      </c>
      <c r="F519" s="1">
        <v>59.0</v>
      </c>
      <c r="G519" s="1">
        <v>-0.765</v>
      </c>
      <c r="H519" s="1" t="s">
        <v>2303</v>
      </c>
      <c r="I519" s="4" t="b">
        <f>IFERROR(__xludf.DUMMYFUNCTION("IF(H519="""",,REGEXMATCH(H519,""[א-ת]""))"),FALSE)</f>
        <v>0</v>
      </c>
      <c r="J519" s="4"/>
      <c r="K519" s="4"/>
      <c r="L519" s="1">
        <v>-0.4588</v>
      </c>
      <c r="M519" s="1">
        <v>31.93</v>
      </c>
      <c r="N519" s="1">
        <v>54.24</v>
      </c>
      <c r="O519" s="1">
        <v>0.9193220339</v>
      </c>
      <c r="P519" s="4"/>
      <c r="Q519" s="4"/>
      <c r="R519" s="1" t="s">
        <v>96</v>
      </c>
      <c r="S519" s="1" t="s">
        <v>2302</v>
      </c>
      <c r="T519" s="1" t="s">
        <v>92</v>
      </c>
      <c r="U519" s="1">
        <v>7.0</v>
      </c>
      <c r="V519" s="5" t="s">
        <v>2301</v>
      </c>
      <c r="W519" s="1" t="s">
        <v>2302</v>
      </c>
      <c r="X519" s="1" t="s">
        <v>2304</v>
      </c>
      <c r="Y519" s="4"/>
      <c r="Z519" s="4"/>
      <c r="AA519" s="4" t="b">
        <f>IFERROR(__xludf.DUMMYFUNCTION("IF(X519="""",,REGEXMATCH(X519,""[א-ת]""))"),FALSE)</f>
        <v>0</v>
      </c>
      <c r="AB519" s="1">
        <v>38.03</v>
      </c>
      <c r="AC519" s="1">
        <v>47.46</v>
      </c>
      <c r="AD519" s="1">
        <v>0.601258278176752</v>
      </c>
      <c r="AE519" s="1">
        <v>0.0</v>
      </c>
      <c r="AF519" s="1">
        <v>-0.765</v>
      </c>
      <c r="AG519" s="1">
        <v>6.337</v>
      </c>
      <c r="AH519" s="1">
        <v>6.781</v>
      </c>
      <c r="AI519" s="1" t="b">
        <v>0</v>
      </c>
      <c r="AJ519" s="1" t="b">
        <v>0</v>
      </c>
      <c r="AK519" s="1">
        <v>94.182</v>
      </c>
      <c r="AL519" s="1">
        <v>96.508</v>
      </c>
      <c r="AM519" s="1" t="b">
        <v>0</v>
      </c>
      <c r="AN519" s="1" t="b">
        <v>0</v>
      </c>
      <c r="AO519" s="1">
        <v>8.05</v>
      </c>
      <c r="AP519" s="1">
        <v>8.53399999999999</v>
      </c>
      <c r="AQ519" s="1" t="b">
        <v>0</v>
      </c>
      <c r="AR519" s="1" t="b">
        <v>0</v>
      </c>
      <c r="AS519" s="1">
        <v>86.9179999999999</v>
      </c>
      <c r="AT519" s="1">
        <v>87.152</v>
      </c>
      <c r="AU519" s="1" t="b">
        <v>0</v>
      </c>
      <c r="AV519" s="1" t="b">
        <v>0</v>
      </c>
      <c r="AW519" s="1">
        <v>9.61399999999999</v>
      </c>
      <c r="AX519" s="1">
        <v>11.026</v>
      </c>
      <c r="AY519" s="1" t="b">
        <v>0</v>
      </c>
      <c r="AZ519" s="1" t="b">
        <v>0</v>
      </c>
      <c r="BA519" s="1">
        <v>81.25</v>
      </c>
      <c r="BB519" s="1">
        <v>77.78</v>
      </c>
      <c r="BC519" s="1" t="b">
        <v>0</v>
      </c>
      <c r="BD519" s="1" t="b">
        <v>0</v>
      </c>
      <c r="BE519" s="1">
        <v>11.34</v>
      </c>
      <c r="BF519" s="1">
        <v>13.285</v>
      </c>
      <c r="BG519" s="1" t="b">
        <v>0</v>
      </c>
      <c r="BH519" s="1" t="b">
        <v>0</v>
      </c>
      <c r="BI519" s="1">
        <v>77.78</v>
      </c>
      <c r="BJ519" s="1">
        <v>75.0</v>
      </c>
      <c r="BK519" s="1" t="b">
        <v>0</v>
      </c>
      <c r="BL519" s="1" t="b">
        <v>0</v>
      </c>
      <c r="BM519" s="1">
        <v>13.121</v>
      </c>
      <c r="BN519" s="1">
        <v>14.568</v>
      </c>
      <c r="BO519" s="1" t="b">
        <v>0</v>
      </c>
      <c r="BP519" s="1" t="b">
        <v>0</v>
      </c>
      <c r="BQ519" s="1">
        <v>75.0</v>
      </c>
      <c r="BR519" s="1">
        <v>72.027</v>
      </c>
      <c r="BS519" s="1" t="b">
        <v>0</v>
      </c>
      <c r="BT519" s="1" t="b">
        <v>0</v>
      </c>
      <c r="BU519" s="1" t="s">
        <v>105</v>
      </c>
      <c r="BV519" s="1" t="s">
        <v>105</v>
      </c>
      <c r="BW519" s="1" t="s">
        <v>105</v>
      </c>
      <c r="BX519" s="1" t="s">
        <v>105</v>
      </c>
      <c r="BY519" s="1" t="s">
        <v>105</v>
      </c>
      <c r="BZ519" s="1" t="s">
        <v>105</v>
      </c>
      <c r="CA519" s="1" t="s">
        <v>105</v>
      </c>
      <c r="CB519" s="1" t="s">
        <v>105</v>
      </c>
      <c r="CC519" s="1" t="s">
        <v>105</v>
      </c>
      <c r="CD519" s="1" t="s">
        <v>105</v>
      </c>
      <c r="CE519" s="4"/>
      <c r="CF519" s="4"/>
    </row>
    <row r="520" hidden="1">
      <c r="A520" s="1" t="s">
        <v>82</v>
      </c>
      <c r="B520" s="1" t="s">
        <v>92</v>
      </c>
      <c r="C520" s="1">
        <v>42.0</v>
      </c>
      <c r="D520" s="5" t="s">
        <v>2305</v>
      </c>
      <c r="E520" s="1" t="s">
        <v>2306</v>
      </c>
      <c r="F520" s="1">
        <v>89.0</v>
      </c>
      <c r="G520" s="1">
        <v>-0.4767</v>
      </c>
      <c r="H520" s="1" t="s">
        <v>2307</v>
      </c>
      <c r="I520" s="4" t="b">
        <f>IFERROR(__xludf.DUMMYFUNCTION("IF(H520="""",,REGEXMATCH(H520,""[א-ת]""))"),FALSE)</f>
        <v>0</v>
      </c>
      <c r="J520" s="1" t="s">
        <v>2308</v>
      </c>
      <c r="K520" s="4"/>
      <c r="L520" s="1">
        <v>-0.4767</v>
      </c>
      <c r="M520" s="1">
        <v>31.96</v>
      </c>
      <c r="N520" s="1">
        <v>47.19</v>
      </c>
      <c r="O520" s="1">
        <v>0.5302247191</v>
      </c>
      <c r="P520" s="4"/>
      <c r="Q520" s="4"/>
      <c r="R520" s="1" t="s">
        <v>96</v>
      </c>
      <c r="S520" s="1" t="s">
        <v>2306</v>
      </c>
      <c r="T520" s="1" t="s">
        <v>92</v>
      </c>
      <c r="U520" s="1">
        <v>43.0</v>
      </c>
      <c r="V520" s="5" t="s">
        <v>2305</v>
      </c>
      <c r="W520" s="1" t="s">
        <v>2306</v>
      </c>
      <c r="X520" s="1" t="s">
        <v>2309</v>
      </c>
      <c r="Y520" s="4"/>
      <c r="Z520" s="4"/>
      <c r="AA520" s="4" t="b">
        <f>IFERROR(__xludf.DUMMYFUNCTION("IF(X520="""",,REGEXMATCH(X520,""[א-ת]""))"),TRUE)</f>
        <v>1</v>
      </c>
      <c r="AB520" s="1">
        <v>17.12</v>
      </c>
      <c r="AC520" s="1">
        <v>56.18</v>
      </c>
      <c r="AD520" s="1">
        <v>0.593291759012758</v>
      </c>
      <c r="AE520" s="1">
        <v>-0.7717</v>
      </c>
      <c r="AF520" s="1">
        <v>-0.4767</v>
      </c>
      <c r="AG520" s="1">
        <v>6.337</v>
      </c>
      <c r="AH520" s="1">
        <v>6.781</v>
      </c>
      <c r="AI520" s="1" t="b">
        <v>0</v>
      </c>
      <c r="AJ520" s="1" t="b">
        <v>0</v>
      </c>
      <c r="AK520" s="1">
        <v>94.182</v>
      </c>
      <c r="AL520" s="1">
        <v>96.508</v>
      </c>
      <c r="AM520" s="1" t="b">
        <v>0</v>
      </c>
      <c r="AN520" s="1" t="b">
        <v>0</v>
      </c>
      <c r="AO520" s="1">
        <v>8.05</v>
      </c>
      <c r="AP520" s="1">
        <v>8.53399999999999</v>
      </c>
      <c r="AQ520" s="1" t="b">
        <v>0</v>
      </c>
      <c r="AR520" s="1" t="b">
        <v>0</v>
      </c>
      <c r="AS520" s="1">
        <v>86.9179999999999</v>
      </c>
      <c r="AT520" s="1">
        <v>87.152</v>
      </c>
      <c r="AU520" s="1" t="b">
        <v>0</v>
      </c>
      <c r="AV520" s="1" t="b">
        <v>0</v>
      </c>
      <c r="AW520" s="1">
        <v>9.61399999999999</v>
      </c>
      <c r="AX520" s="1">
        <v>11.026</v>
      </c>
      <c r="AY520" s="1" t="b">
        <v>0</v>
      </c>
      <c r="AZ520" s="1" t="b">
        <v>0</v>
      </c>
      <c r="BA520" s="1">
        <v>81.25</v>
      </c>
      <c r="BB520" s="1">
        <v>77.78</v>
      </c>
      <c r="BC520" s="1" t="b">
        <v>0</v>
      </c>
      <c r="BD520" s="1" t="b">
        <v>0</v>
      </c>
      <c r="BE520" s="1">
        <v>11.34</v>
      </c>
      <c r="BF520" s="1">
        <v>13.285</v>
      </c>
      <c r="BG520" s="1" t="b">
        <v>0</v>
      </c>
      <c r="BH520" s="1" t="b">
        <v>0</v>
      </c>
      <c r="BI520" s="1">
        <v>77.78</v>
      </c>
      <c r="BJ520" s="1">
        <v>75.0</v>
      </c>
      <c r="BK520" s="1" t="b">
        <v>0</v>
      </c>
      <c r="BL520" s="1" t="b">
        <v>0</v>
      </c>
      <c r="BM520" s="1">
        <v>13.121</v>
      </c>
      <c r="BN520" s="1">
        <v>14.568</v>
      </c>
      <c r="BO520" s="1" t="b">
        <v>0</v>
      </c>
      <c r="BP520" s="1" t="b">
        <v>0</v>
      </c>
      <c r="BQ520" s="1">
        <v>75.0</v>
      </c>
      <c r="BR520" s="1">
        <v>72.027</v>
      </c>
      <c r="BS520" s="1" t="b">
        <v>0</v>
      </c>
      <c r="BT520" s="1" t="b">
        <v>0</v>
      </c>
      <c r="BU520" s="1" t="s">
        <v>105</v>
      </c>
      <c r="BV520" s="1" t="s">
        <v>105</v>
      </c>
      <c r="BW520" s="1" t="s">
        <v>105</v>
      </c>
      <c r="BX520" s="1" t="s">
        <v>105</v>
      </c>
      <c r="BY520" s="1" t="s">
        <v>105</v>
      </c>
      <c r="BZ520" s="1" t="s">
        <v>105</v>
      </c>
      <c r="CA520" s="1" t="s">
        <v>105</v>
      </c>
      <c r="CB520" s="1" t="s">
        <v>105</v>
      </c>
      <c r="CC520" s="1" t="s">
        <v>105</v>
      </c>
      <c r="CD520" s="1" t="s">
        <v>105</v>
      </c>
      <c r="CE520" s="4"/>
      <c r="CF520" s="4"/>
    </row>
    <row r="521" hidden="1">
      <c r="A521" s="1" t="s">
        <v>82</v>
      </c>
      <c r="B521" s="1" t="s">
        <v>304</v>
      </c>
      <c r="C521" s="1">
        <v>19.0</v>
      </c>
      <c r="D521" s="5" t="s">
        <v>2310</v>
      </c>
      <c r="E521" s="1" t="s">
        <v>2311</v>
      </c>
      <c r="F521" s="1">
        <v>46.0</v>
      </c>
      <c r="G521" s="1">
        <v>0.0</v>
      </c>
      <c r="H521" s="1" t="s">
        <v>2312</v>
      </c>
      <c r="I521" s="4" t="b">
        <f>IFERROR(__xludf.DUMMYFUNCTION("IF(H521="""",,REGEXMATCH(H521,""[א-ת]""))"),FALSE)</f>
        <v>0</v>
      </c>
      <c r="J521" s="4"/>
      <c r="K521" s="4"/>
      <c r="L521" s="1">
        <v>0.0</v>
      </c>
      <c r="M521" s="1">
        <v>32.19</v>
      </c>
      <c r="N521" s="1">
        <v>47.83</v>
      </c>
      <c r="O521" s="1">
        <v>1.039782609</v>
      </c>
      <c r="P521" s="4"/>
      <c r="Q521" s="4"/>
      <c r="R521" s="1" t="s">
        <v>89</v>
      </c>
      <c r="S521" s="1" t="s">
        <v>2311</v>
      </c>
      <c r="T521" s="1" t="s">
        <v>304</v>
      </c>
      <c r="U521" s="1">
        <v>20.0</v>
      </c>
      <c r="V521" s="5" t="s">
        <v>2310</v>
      </c>
      <c r="W521" s="1" t="s">
        <v>2311</v>
      </c>
      <c r="X521" s="1" t="s">
        <v>2313</v>
      </c>
      <c r="Y521" s="4"/>
      <c r="Z521" s="4"/>
      <c r="AA521" s="4" t="b">
        <f>IFERROR(__xludf.DUMMYFUNCTION("IF(X521="""",,REGEXMATCH(X521,""[א-ת]""))"),FALSE)</f>
        <v>0</v>
      </c>
      <c r="AB521" s="1">
        <v>27.63</v>
      </c>
      <c r="AC521" s="1">
        <v>50.0</v>
      </c>
      <c r="AD521" s="1">
        <v>0.582630482106494</v>
      </c>
      <c r="AE521" s="1">
        <v>0.0</v>
      </c>
      <c r="AF521" s="1">
        <v>0.0</v>
      </c>
      <c r="AG521" s="1">
        <v>6.337</v>
      </c>
      <c r="AH521" s="1">
        <v>6.781</v>
      </c>
      <c r="AI521" s="1" t="b">
        <v>0</v>
      </c>
      <c r="AJ521" s="1" t="b">
        <v>0</v>
      </c>
      <c r="AK521" s="1">
        <v>94.182</v>
      </c>
      <c r="AL521" s="1">
        <v>96.508</v>
      </c>
      <c r="AM521" s="1" t="b">
        <v>0</v>
      </c>
      <c r="AN521" s="1" t="b">
        <v>0</v>
      </c>
      <c r="AO521" s="1">
        <v>8.05</v>
      </c>
      <c r="AP521" s="1">
        <v>8.53399999999999</v>
      </c>
      <c r="AQ521" s="1" t="b">
        <v>0</v>
      </c>
      <c r="AR521" s="1" t="b">
        <v>0</v>
      </c>
      <c r="AS521" s="1">
        <v>86.9179999999999</v>
      </c>
      <c r="AT521" s="1">
        <v>87.152</v>
      </c>
      <c r="AU521" s="1" t="b">
        <v>0</v>
      </c>
      <c r="AV521" s="1" t="b">
        <v>0</v>
      </c>
      <c r="AW521" s="1">
        <v>9.61399999999999</v>
      </c>
      <c r="AX521" s="1">
        <v>11.026</v>
      </c>
      <c r="AY521" s="1" t="b">
        <v>0</v>
      </c>
      <c r="AZ521" s="1" t="b">
        <v>0</v>
      </c>
      <c r="BA521" s="1">
        <v>81.25</v>
      </c>
      <c r="BB521" s="1">
        <v>77.78</v>
      </c>
      <c r="BC521" s="1" t="b">
        <v>0</v>
      </c>
      <c r="BD521" s="1" t="b">
        <v>0</v>
      </c>
      <c r="BE521" s="1">
        <v>11.34</v>
      </c>
      <c r="BF521" s="1">
        <v>13.285</v>
      </c>
      <c r="BG521" s="1" t="b">
        <v>0</v>
      </c>
      <c r="BH521" s="1" t="b">
        <v>0</v>
      </c>
      <c r="BI521" s="1">
        <v>77.78</v>
      </c>
      <c r="BJ521" s="1">
        <v>75.0</v>
      </c>
      <c r="BK521" s="1" t="b">
        <v>0</v>
      </c>
      <c r="BL521" s="1" t="b">
        <v>0</v>
      </c>
      <c r="BM521" s="1">
        <v>13.121</v>
      </c>
      <c r="BN521" s="1">
        <v>14.568</v>
      </c>
      <c r="BO521" s="1" t="b">
        <v>0</v>
      </c>
      <c r="BP521" s="1" t="b">
        <v>0</v>
      </c>
      <c r="BQ521" s="1">
        <v>75.0</v>
      </c>
      <c r="BR521" s="1">
        <v>72.027</v>
      </c>
      <c r="BS521" s="1" t="b">
        <v>0</v>
      </c>
      <c r="BT521" s="1" t="b">
        <v>0</v>
      </c>
      <c r="BU521" s="1" t="s">
        <v>105</v>
      </c>
      <c r="BV521" s="1" t="s">
        <v>105</v>
      </c>
      <c r="BW521" s="1" t="s">
        <v>105</v>
      </c>
      <c r="BX521" s="1" t="s">
        <v>105</v>
      </c>
      <c r="BY521" s="1" t="s">
        <v>105</v>
      </c>
      <c r="BZ521" s="1" t="s">
        <v>105</v>
      </c>
      <c r="CA521" s="1" t="s">
        <v>105</v>
      </c>
      <c r="CB521" s="1" t="s">
        <v>105</v>
      </c>
      <c r="CC521" s="1" t="s">
        <v>105</v>
      </c>
      <c r="CD521" s="1" t="s">
        <v>105</v>
      </c>
      <c r="CE521" s="4"/>
      <c r="CF521" s="4"/>
    </row>
    <row r="522" hidden="1">
      <c r="A522" s="1" t="s">
        <v>82</v>
      </c>
      <c r="B522" s="1" t="s">
        <v>427</v>
      </c>
      <c r="C522" s="1">
        <v>0.0</v>
      </c>
      <c r="D522" s="5" t="s">
        <v>2314</v>
      </c>
      <c r="E522" s="1" t="s">
        <v>2315</v>
      </c>
      <c r="F522" s="1">
        <v>75.0</v>
      </c>
      <c r="G522" s="1">
        <v>0.9596</v>
      </c>
      <c r="H522" s="1" t="s">
        <v>2316</v>
      </c>
      <c r="I522" s="4" t="b">
        <f>IFERROR(__xludf.DUMMYFUNCTION("IF(H522="""",,REGEXMATCH(H522,""[א-ת]""))"),FALSE)</f>
        <v>0</v>
      </c>
      <c r="J522" s="4"/>
      <c r="K522" s="4"/>
      <c r="L522" s="1">
        <v>0.9568</v>
      </c>
      <c r="M522" s="1">
        <v>32.26</v>
      </c>
      <c r="N522" s="1">
        <v>44.0</v>
      </c>
      <c r="O522" s="1">
        <v>0.5866666667</v>
      </c>
      <c r="P522" s="4"/>
      <c r="Q522" s="4"/>
      <c r="R522" s="1" t="s">
        <v>96</v>
      </c>
      <c r="S522" s="1" t="s">
        <v>2315</v>
      </c>
      <c r="T522" s="1" t="s">
        <v>427</v>
      </c>
      <c r="U522" s="1">
        <v>1.0</v>
      </c>
      <c r="V522" s="5" t="s">
        <v>2314</v>
      </c>
      <c r="W522" s="1" t="s">
        <v>2315</v>
      </c>
      <c r="X522" s="1" t="s">
        <v>2317</v>
      </c>
      <c r="Y522" s="4"/>
      <c r="Z522" s="4"/>
      <c r="AA522" s="4" t="b">
        <f>IFERROR(__xludf.DUMMYFUNCTION("IF(X522="""",,REGEXMATCH(X522,""[א-ת]""))"),FALSE)</f>
        <v>0</v>
      </c>
      <c r="AB522" s="1">
        <v>32.6</v>
      </c>
      <c r="AC522" s="1">
        <v>56.0</v>
      </c>
      <c r="AD522" s="1">
        <v>0.598982812159309</v>
      </c>
      <c r="AE522" s="1">
        <v>0.9307</v>
      </c>
      <c r="AF522" s="1">
        <v>0.9596</v>
      </c>
      <c r="AG522" s="1">
        <v>6.337</v>
      </c>
      <c r="AH522" s="1">
        <v>6.781</v>
      </c>
      <c r="AI522" s="1" t="b">
        <v>0</v>
      </c>
      <c r="AJ522" s="1" t="b">
        <v>0</v>
      </c>
      <c r="AK522" s="1">
        <v>94.182</v>
      </c>
      <c r="AL522" s="1">
        <v>96.508</v>
      </c>
      <c r="AM522" s="1" t="b">
        <v>0</v>
      </c>
      <c r="AN522" s="1" t="b">
        <v>0</v>
      </c>
      <c r="AO522" s="1">
        <v>8.05</v>
      </c>
      <c r="AP522" s="1">
        <v>8.53399999999999</v>
      </c>
      <c r="AQ522" s="1" t="b">
        <v>0</v>
      </c>
      <c r="AR522" s="1" t="b">
        <v>0</v>
      </c>
      <c r="AS522" s="1">
        <v>86.9179999999999</v>
      </c>
      <c r="AT522" s="1">
        <v>87.152</v>
      </c>
      <c r="AU522" s="1" t="b">
        <v>0</v>
      </c>
      <c r="AV522" s="1" t="b">
        <v>0</v>
      </c>
      <c r="AW522" s="1">
        <v>9.61399999999999</v>
      </c>
      <c r="AX522" s="1">
        <v>11.026</v>
      </c>
      <c r="AY522" s="1" t="b">
        <v>0</v>
      </c>
      <c r="AZ522" s="1" t="b">
        <v>0</v>
      </c>
      <c r="BA522" s="1">
        <v>81.25</v>
      </c>
      <c r="BB522" s="1">
        <v>77.78</v>
      </c>
      <c r="BC522" s="1" t="b">
        <v>0</v>
      </c>
      <c r="BD522" s="1" t="b">
        <v>0</v>
      </c>
      <c r="BE522" s="1">
        <v>11.34</v>
      </c>
      <c r="BF522" s="1">
        <v>13.285</v>
      </c>
      <c r="BG522" s="1" t="b">
        <v>0</v>
      </c>
      <c r="BH522" s="1" t="b">
        <v>0</v>
      </c>
      <c r="BI522" s="1">
        <v>77.78</v>
      </c>
      <c r="BJ522" s="1">
        <v>75.0</v>
      </c>
      <c r="BK522" s="1" t="b">
        <v>0</v>
      </c>
      <c r="BL522" s="1" t="b">
        <v>0</v>
      </c>
      <c r="BM522" s="1">
        <v>13.121</v>
      </c>
      <c r="BN522" s="1">
        <v>14.568</v>
      </c>
      <c r="BO522" s="1" t="b">
        <v>0</v>
      </c>
      <c r="BP522" s="1" t="b">
        <v>0</v>
      </c>
      <c r="BQ522" s="1">
        <v>75.0</v>
      </c>
      <c r="BR522" s="1">
        <v>72.027</v>
      </c>
      <c r="BS522" s="1" t="b">
        <v>0</v>
      </c>
      <c r="BT522" s="1" t="b">
        <v>0</v>
      </c>
      <c r="BU522" s="1" t="s">
        <v>105</v>
      </c>
      <c r="BV522" s="1" t="s">
        <v>105</v>
      </c>
      <c r="BW522" s="1" t="s">
        <v>105</v>
      </c>
      <c r="BX522" s="1" t="s">
        <v>105</v>
      </c>
      <c r="BY522" s="1" t="s">
        <v>105</v>
      </c>
      <c r="BZ522" s="1" t="s">
        <v>105</v>
      </c>
      <c r="CA522" s="1" t="s">
        <v>105</v>
      </c>
      <c r="CB522" s="1" t="s">
        <v>105</v>
      </c>
      <c r="CC522" s="1" t="s">
        <v>105</v>
      </c>
      <c r="CD522" s="1" t="s">
        <v>105</v>
      </c>
      <c r="CE522" s="4"/>
      <c r="CF522" s="4"/>
    </row>
    <row r="523" hidden="1">
      <c r="A523" s="1" t="s">
        <v>82</v>
      </c>
      <c r="B523" s="1" t="s">
        <v>98</v>
      </c>
      <c r="C523" s="1">
        <v>21.0</v>
      </c>
      <c r="D523" s="5" t="s">
        <v>2318</v>
      </c>
      <c r="E523" s="1" t="s">
        <v>2319</v>
      </c>
      <c r="F523" s="1">
        <v>68.0</v>
      </c>
      <c r="G523" s="1">
        <v>0.304</v>
      </c>
      <c r="H523" s="1" t="s">
        <v>2320</v>
      </c>
      <c r="I523" s="4" t="b">
        <f>IFERROR(__xludf.DUMMYFUNCTION("IF(H523="""",,REGEXMATCH(H523,""[א-ת]""))"),FALSE)</f>
        <v>0</v>
      </c>
      <c r="J523" s="4"/>
      <c r="K523" s="1" t="s">
        <v>2321</v>
      </c>
      <c r="L523" s="1">
        <v>-0.1813</v>
      </c>
      <c r="M523" s="1">
        <v>32.41</v>
      </c>
      <c r="N523" s="1">
        <v>57.35</v>
      </c>
      <c r="O523" s="1">
        <v>0.8433823529</v>
      </c>
      <c r="P523" s="4"/>
      <c r="Q523" s="4"/>
      <c r="R523" s="1" t="s">
        <v>89</v>
      </c>
      <c r="S523" s="1" t="s">
        <v>2319</v>
      </c>
      <c r="T523" s="1" t="s">
        <v>98</v>
      </c>
      <c r="U523" s="1">
        <v>22.0</v>
      </c>
      <c r="V523" s="5" t="s">
        <v>2318</v>
      </c>
      <c r="W523" s="1" t="s">
        <v>2319</v>
      </c>
      <c r="X523" s="1" t="s">
        <v>2322</v>
      </c>
      <c r="Y523" s="4"/>
      <c r="Z523" s="4"/>
      <c r="AA523" s="4" t="b">
        <f>IFERROR(__xludf.DUMMYFUNCTION("IF(X523="""",,REGEXMATCH(X523,""[א-ת]""))"),FALSE)</f>
        <v>0</v>
      </c>
      <c r="AB523" s="1">
        <v>40.09</v>
      </c>
      <c r="AC523" s="1">
        <v>32.35</v>
      </c>
      <c r="AD523" s="1">
        <v>0.821283847468249</v>
      </c>
      <c r="AE523" s="1">
        <v>0.0516</v>
      </c>
      <c r="AF523" s="1">
        <v>0.304</v>
      </c>
      <c r="AG523" s="1">
        <v>6.337</v>
      </c>
      <c r="AH523" s="1">
        <v>6.781</v>
      </c>
      <c r="AI523" s="1" t="b">
        <v>0</v>
      </c>
      <c r="AJ523" s="1" t="b">
        <v>0</v>
      </c>
      <c r="AK523" s="1">
        <v>94.182</v>
      </c>
      <c r="AL523" s="1">
        <v>96.508</v>
      </c>
      <c r="AM523" s="1" t="b">
        <v>0</v>
      </c>
      <c r="AN523" s="1" t="b">
        <v>0</v>
      </c>
      <c r="AO523" s="1">
        <v>8.05</v>
      </c>
      <c r="AP523" s="1">
        <v>8.53399999999999</v>
      </c>
      <c r="AQ523" s="1" t="b">
        <v>0</v>
      </c>
      <c r="AR523" s="1" t="b">
        <v>0</v>
      </c>
      <c r="AS523" s="1">
        <v>86.9179999999999</v>
      </c>
      <c r="AT523" s="1">
        <v>87.152</v>
      </c>
      <c r="AU523" s="1" t="b">
        <v>0</v>
      </c>
      <c r="AV523" s="1" t="b">
        <v>0</v>
      </c>
      <c r="AW523" s="1">
        <v>9.61399999999999</v>
      </c>
      <c r="AX523" s="1">
        <v>11.026</v>
      </c>
      <c r="AY523" s="1" t="b">
        <v>0</v>
      </c>
      <c r="AZ523" s="1" t="b">
        <v>0</v>
      </c>
      <c r="BA523" s="1">
        <v>81.25</v>
      </c>
      <c r="BB523" s="1">
        <v>77.78</v>
      </c>
      <c r="BC523" s="1" t="b">
        <v>0</v>
      </c>
      <c r="BD523" s="1" t="b">
        <v>0</v>
      </c>
      <c r="BE523" s="1">
        <v>11.34</v>
      </c>
      <c r="BF523" s="1">
        <v>13.285</v>
      </c>
      <c r="BG523" s="1" t="b">
        <v>0</v>
      </c>
      <c r="BH523" s="1" t="b">
        <v>0</v>
      </c>
      <c r="BI523" s="1">
        <v>77.78</v>
      </c>
      <c r="BJ523" s="1">
        <v>75.0</v>
      </c>
      <c r="BK523" s="1" t="b">
        <v>0</v>
      </c>
      <c r="BL523" s="1" t="b">
        <v>0</v>
      </c>
      <c r="BM523" s="1">
        <v>13.121</v>
      </c>
      <c r="BN523" s="1">
        <v>14.568</v>
      </c>
      <c r="BO523" s="1" t="b">
        <v>0</v>
      </c>
      <c r="BP523" s="1" t="b">
        <v>0</v>
      </c>
      <c r="BQ523" s="1">
        <v>75.0</v>
      </c>
      <c r="BR523" s="1">
        <v>72.027</v>
      </c>
      <c r="BS523" s="1" t="b">
        <v>0</v>
      </c>
      <c r="BT523" s="1" t="b">
        <v>0</v>
      </c>
      <c r="BU523" s="1" t="s">
        <v>105</v>
      </c>
      <c r="BV523" s="1" t="s">
        <v>105</v>
      </c>
      <c r="BW523" s="1" t="s">
        <v>105</v>
      </c>
      <c r="BX523" s="1" t="s">
        <v>105</v>
      </c>
      <c r="BY523" s="1" t="s">
        <v>105</v>
      </c>
      <c r="BZ523" s="1" t="s">
        <v>105</v>
      </c>
      <c r="CA523" s="1" t="s">
        <v>105</v>
      </c>
      <c r="CB523" s="1" t="s">
        <v>105</v>
      </c>
      <c r="CC523" s="1" t="s">
        <v>105</v>
      </c>
      <c r="CD523" s="1" t="s">
        <v>105</v>
      </c>
      <c r="CE523" s="4"/>
      <c r="CF523" s="4"/>
    </row>
    <row r="524" hidden="1">
      <c r="A524" s="1" t="s">
        <v>82</v>
      </c>
      <c r="B524" s="1" t="s">
        <v>123</v>
      </c>
      <c r="C524" s="1">
        <v>31.0</v>
      </c>
      <c r="D524" s="5" t="s">
        <v>2323</v>
      </c>
      <c r="E524" s="1" t="s">
        <v>2324</v>
      </c>
      <c r="F524" s="1">
        <v>27.0</v>
      </c>
      <c r="G524" s="1">
        <v>0.0</v>
      </c>
      <c r="H524" s="1" t="s">
        <v>2325</v>
      </c>
      <c r="I524" s="4" t="b">
        <f>IFERROR(__xludf.DUMMYFUNCTION("IF(H524="""",,REGEXMATCH(H524,""[א-ת]""))"),FALSE)</f>
        <v>0</v>
      </c>
      <c r="J524" s="4"/>
      <c r="K524" s="4"/>
      <c r="L524" s="1">
        <v>0.0</v>
      </c>
      <c r="M524" s="1">
        <v>32.53</v>
      </c>
      <c r="N524" s="1">
        <v>55.56</v>
      </c>
      <c r="O524" s="1">
        <v>2.057777778</v>
      </c>
      <c r="P524" s="4"/>
      <c r="Q524" s="4"/>
      <c r="R524" s="1" t="s">
        <v>127</v>
      </c>
      <c r="S524" s="1" t="s">
        <v>2324</v>
      </c>
      <c r="T524" s="1" t="s">
        <v>123</v>
      </c>
      <c r="U524" s="1">
        <v>32.0</v>
      </c>
      <c r="V524" s="5" t="s">
        <v>2323</v>
      </c>
      <c r="W524" s="1" t="s">
        <v>2324</v>
      </c>
      <c r="X524" s="1" t="s">
        <v>2326</v>
      </c>
      <c r="Y524" s="4"/>
      <c r="Z524" s="4"/>
      <c r="AA524" s="4" t="b">
        <f>IFERROR(__xludf.DUMMYFUNCTION("IF(X524="""",,REGEXMATCH(X524,""[א-ת]""))"),FALSE)</f>
        <v>0</v>
      </c>
      <c r="AB524" s="1">
        <v>9.86</v>
      </c>
      <c r="AC524" s="1">
        <v>70.37</v>
      </c>
      <c r="AD524" s="1">
        <v>0.297035932254363</v>
      </c>
      <c r="AE524" s="1">
        <v>0.0</v>
      </c>
      <c r="AF524" s="1">
        <v>0.0</v>
      </c>
      <c r="AG524" s="1">
        <v>6.337</v>
      </c>
      <c r="AH524" s="1">
        <v>6.781</v>
      </c>
      <c r="AI524" s="1" t="b">
        <v>0</v>
      </c>
      <c r="AJ524" s="1" t="b">
        <v>0</v>
      </c>
      <c r="AK524" s="1">
        <v>94.182</v>
      </c>
      <c r="AL524" s="1">
        <v>96.508</v>
      </c>
      <c r="AM524" s="1" t="b">
        <v>0</v>
      </c>
      <c r="AN524" s="1" t="b">
        <v>0</v>
      </c>
      <c r="AO524" s="1">
        <v>8.05</v>
      </c>
      <c r="AP524" s="1">
        <v>8.53399999999999</v>
      </c>
      <c r="AQ524" s="1" t="b">
        <v>0</v>
      </c>
      <c r="AR524" s="1" t="b">
        <v>0</v>
      </c>
      <c r="AS524" s="1">
        <v>86.9179999999999</v>
      </c>
      <c r="AT524" s="1">
        <v>87.152</v>
      </c>
      <c r="AU524" s="1" t="b">
        <v>0</v>
      </c>
      <c r="AV524" s="1" t="b">
        <v>0</v>
      </c>
      <c r="AW524" s="1">
        <v>9.61399999999999</v>
      </c>
      <c r="AX524" s="1">
        <v>11.026</v>
      </c>
      <c r="AY524" s="1" t="b">
        <v>0</v>
      </c>
      <c r="AZ524" s="1" t="b">
        <v>1</v>
      </c>
      <c r="BA524" s="1">
        <v>81.25</v>
      </c>
      <c r="BB524" s="1">
        <v>77.78</v>
      </c>
      <c r="BC524" s="1" t="b">
        <v>0</v>
      </c>
      <c r="BD524" s="1" t="b">
        <v>0</v>
      </c>
      <c r="BE524" s="1">
        <v>11.34</v>
      </c>
      <c r="BF524" s="1">
        <v>13.285</v>
      </c>
      <c r="BG524" s="1" t="b">
        <v>0</v>
      </c>
      <c r="BH524" s="1" t="b">
        <v>1</v>
      </c>
      <c r="BI524" s="1">
        <v>77.78</v>
      </c>
      <c r="BJ524" s="1">
        <v>75.0</v>
      </c>
      <c r="BK524" s="1" t="b">
        <v>0</v>
      </c>
      <c r="BL524" s="1" t="b">
        <v>0</v>
      </c>
      <c r="BM524" s="1">
        <v>13.121</v>
      </c>
      <c r="BN524" s="1">
        <v>14.568</v>
      </c>
      <c r="BO524" s="1" t="b">
        <v>0</v>
      </c>
      <c r="BP524" s="1" t="b">
        <v>1</v>
      </c>
      <c r="BQ524" s="1">
        <v>75.0</v>
      </c>
      <c r="BR524" s="1">
        <v>72.027</v>
      </c>
      <c r="BS524" s="1" t="b">
        <v>0</v>
      </c>
      <c r="BT524" s="1" t="b">
        <v>0</v>
      </c>
      <c r="BU524" s="1" t="s">
        <v>105</v>
      </c>
      <c r="BV524" s="1" t="s">
        <v>105</v>
      </c>
      <c r="BW524" s="1" t="s">
        <v>105</v>
      </c>
      <c r="BX524" s="1" t="s">
        <v>105</v>
      </c>
      <c r="BY524" s="1" t="s">
        <v>157</v>
      </c>
      <c r="BZ524" s="1" t="s">
        <v>105</v>
      </c>
      <c r="CA524" s="1" t="s">
        <v>157</v>
      </c>
      <c r="CB524" s="1" t="s">
        <v>105</v>
      </c>
      <c r="CC524" s="1" t="s">
        <v>157</v>
      </c>
      <c r="CD524" s="1" t="s">
        <v>105</v>
      </c>
      <c r="CE524" s="4"/>
      <c r="CF524" s="4"/>
    </row>
    <row r="525" hidden="1">
      <c r="A525" s="1" t="s">
        <v>82</v>
      </c>
      <c r="B525" s="1" t="s">
        <v>139</v>
      </c>
      <c r="C525" s="1">
        <v>33.0</v>
      </c>
      <c r="D525" s="5" t="s">
        <v>2327</v>
      </c>
      <c r="E525" s="1" t="s">
        <v>2328</v>
      </c>
      <c r="F525" s="1">
        <v>35.0</v>
      </c>
      <c r="G525" s="1">
        <v>0.0</v>
      </c>
      <c r="H525" s="1" t="s">
        <v>2329</v>
      </c>
      <c r="I525" s="4" t="b">
        <f>IFERROR(__xludf.DUMMYFUNCTION("IF(H525="""",,REGEXMATCH(H525,""[א-ת]""))"),FALSE)</f>
        <v>0</v>
      </c>
      <c r="J525" s="4"/>
      <c r="K525" s="4"/>
      <c r="L525" s="1">
        <v>0.3182</v>
      </c>
      <c r="M525" s="1">
        <v>32.59</v>
      </c>
      <c r="N525" s="1">
        <v>60.0</v>
      </c>
      <c r="O525" s="1">
        <v>1.714285714</v>
      </c>
      <c r="P525" s="4"/>
      <c r="Q525" s="4"/>
      <c r="R525" s="1" t="s">
        <v>96</v>
      </c>
      <c r="S525" s="1" t="s">
        <v>2328</v>
      </c>
      <c r="T525" s="1" t="s">
        <v>139</v>
      </c>
      <c r="U525" s="1">
        <v>34.0</v>
      </c>
      <c r="V525" s="5" t="s">
        <v>2327</v>
      </c>
      <c r="W525" s="1" t="s">
        <v>2328</v>
      </c>
      <c r="X525" s="1" t="s">
        <v>2330</v>
      </c>
      <c r="Y525" s="4"/>
      <c r="Z525" s="4"/>
      <c r="AA525" s="4" t="b">
        <f>IFERROR(__xludf.DUMMYFUNCTION("IF(X525="""",,REGEXMATCH(X525,""[א-ת]""))"),FALSE)</f>
        <v>0</v>
      </c>
      <c r="AB525" s="1">
        <v>16.74</v>
      </c>
      <c r="AC525" s="1">
        <v>71.43</v>
      </c>
      <c r="AD525" s="1">
        <v>0.471702979024199</v>
      </c>
      <c r="AE525" s="1">
        <v>0.0</v>
      </c>
      <c r="AF525" s="1">
        <v>0.0</v>
      </c>
      <c r="AG525" s="1">
        <v>6.337</v>
      </c>
      <c r="AH525" s="1">
        <v>6.781</v>
      </c>
      <c r="AI525" s="1" t="b">
        <v>0</v>
      </c>
      <c r="AJ525" s="1" t="b">
        <v>0</v>
      </c>
      <c r="AK525" s="1">
        <v>94.182</v>
      </c>
      <c r="AL525" s="1">
        <v>96.508</v>
      </c>
      <c r="AM525" s="1" t="b">
        <v>0</v>
      </c>
      <c r="AN525" s="1" t="b">
        <v>0</v>
      </c>
      <c r="AO525" s="1">
        <v>8.05</v>
      </c>
      <c r="AP525" s="1">
        <v>8.53399999999999</v>
      </c>
      <c r="AQ525" s="1" t="b">
        <v>0</v>
      </c>
      <c r="AR525" s="1" t="b">
        <v>0</v>
      </c>
      <c r="AS525" s="1">
        <v>86.9179999999999</v>
      </c>
      <c r="AT525" s="1">
        <v>87.152</v>
      </c>
      <c r="AU525" s="1" t="b">
        <v>0</v>
      </c>
      <c r="AV525" s="1" t="b">
        <v>0</v>
      </c>
      <c r="AW525" s="1">
        <v>9.61399999999999</v>
      </c>
      <c r="AX525" s="1">
        <v>11.026</v>
      </c>
      <c r="AY525" s="1" t="b">
        <v>0</v>
      </c>
      <c r="AZ525" s="1" t="b">
        <v>0</v>
      </c>
      <c r="BA525" s="1">
        <v>81.25</v>
      </c>
      <c r="BB525" s="1">
        <v>77.78</v>
      </c>
      <c r="BC525" s="1" t="b">
        <v>0</v>
      </c>
      <c r="BD525" s="1" t="b">
        <v>0</v>
      </c>
      <c r="BE525" s="1">
        <v>11.34</v>
      </c>
      <c r="BF525" s="1">
        <v>13.285</v>
      </c>
      <c r="BG525" s="1" t="b">
        <v>0</v>
      </c>
      <c r="BH525" s="1" t="b">
        <v>0</v>
      </c>
      <c r="BI525" s="1">
        <v>77.78</v>
      </c>
      <c r="BJ525" s="1">
        <v>75.0</v>
      </c>
      <c r="BK525" s="1" t="b">
        <v>0</v>
      </c>
      <c r="BL525" s="1" t="b">
        <v>0</v>
      </c>
      <c r="BM525" s="1">
        <v>13.121</v>
      </c>
      <c r="BN525" s="1">
        <v>14.568</v>
      </c>
      <c r="BO525" s="1" t="b">
        <v>0</v>
      </c>
      <c r="BP525" s="1" t="b">
        <v>0</v>
      </c>
      <c r="BQ525" s="1">
        <v>75.0</v>
      </c>
      <c r="BR525" s="1">
        <v>72.027</v>
      </c>
      <c r="BS525" s="1" t="b">
        <v>0</v>
      </c>
      <c r="BT525" s="1" t="b">
        <v>0</v>
      </c>
      <c r="BU525" s="1" t="s">
        <v>105</v>
      </c>
      <c r="BV525" s="1" t="s">
        <v>105</v>
      </c>
      <c r="BW525" s="1" t="s">
        <v>105</v>
      </c>
      <c r="BX525" s="1" t="s">
        <v>105</v>
      </c>
      <c r="BY525" s="1" t="s">
        <v>105</v>
      </c>
      <c r="BZ525" s="1" t="s">
        <v>105</v>
      </c>
      <c r="CA525" s="1" t="s">
        <v>105</v>
      </c>
      <c r="CB525" s="1" t="s">
        <v>105</v>
      </c>
      <c r="CC525" s="1" t="s">
        <v>105</v>
      </c>
      <c r="CD525" s="1" t="s">
        <v>105</v>
      </c>
      <c r="CE525" s="4"/>
      <c r="CF525" s="4"/>
    </row>
    <row r="526" hidden="1">
      <c r="A526" s="1" t="s">
        <v>82</v>
      </c>
      <c r="B526" s="1" t="s">
        <v>98</v>
      </c>
      <c r="C526" s="1">
        <v>5.0</v>
      </c>
      <c r="D526" s="5" t="s">
        <v>2331</v>
      </c>
      <c r="E526" s="1" t="s">
        <v>2332</v>
      </c>
      <c r="F526" s="1">
        <v>56.0</v>
      </c>
      <c r="G526" s="1">
        <v>0.09</v>
      </c>
      <c r="H526" s="1" t="s">
        <v>2333</v>
      </c>
      <c r="I526" s="4" t="b">
        <f>IFERROR(__xludf.DUMMYFUNCTION("IF(H526="""",,REGEXMATCH(H526,""[א-ת]""))"),FALSE)</f>
        <v>0</v>
      </c>
      <c r="J526" s="1" t="s">
        <v>2334</v>
      </c>
      <c r="K526" s="1" t="s">
        <v>2335</v>
      </c>
      <c r="L526" s="1">
        <v>0.0</v>
      </c>
      <c r="M526" s="1">
        <v>32.7</v>
      </c>
      <c r="N526" s="1">
        <v>55.36</v>
      </c>
      <c r="O526" s="1">
        <v>0.9885714286</v>
      </c>
      <c r="P526" s="4"/>
      <c r="Q526" s="4"/>
      <c r="R526" s="1" t="s">
        <v>89</v>
      </c>
      <c r="S526" s="1" t="s">
        <v>2332</v>
      </c>
      <c r="T526" s="1" t="s">
        <v>98</v>
      </c>
      <c r="U526" s="1">
        <v>6.0</v>
      </c>
      <c r="V526" s="5" t="s">
        <v>2331</v>
      </c>
      <c r="W526" s="1" t="s">
        <v>2332</v>
      </c>
      <c r="X526" s="1" t="s">
        <v>2336</v>
      </c>
      <c r="Y526" s="4"/>
      <c r="Z526" s="4"/>
      <c r="AA526" s="4" t="b">
        <f>IFERROR(__xludf.DUMMYFUNCTION("IF(X526="""",,REGEXMATCH(X526,""[א-ת]""))"),FALSE)</f>
        <v>0</v>
      </c>
      <c r="AB526" s="1">
        <v>19.7</v>
      </c>
      <c r="AC526" s="1">
        <v>62.5</v>
      </c>
      <c r="AD526" s="1">
        <v>0.470114083548618</v>
      </c>
      <c r="AE526" s="1">
        <v>0.0</v>
      </c>
      <c r="AF526" s="1">
        <v>0.09</v>
      </c>
      <c r="AG526" s="1">
        <v>6.337</v>
      </c>
      <c r="AH526" s="1">
        <v>6.781</v>
      </c>
      <c r="AI526" s="1" t="b">
        <v>0</v>
      </c>
      <c r="AJ526" s="1" t="b">
        <v>0</v>
      </c>
      <c r="AK526" s="1">
        <v>94.182</v>
      </c>
      <c r="AL526" s="1">
        <v>96.508</v>
      </c>
      <c r="AM526" s="1" t="b">
        <v>0</v>
      </c>
      <c r="AN526" s="1" t="b">
        <v>0</v>
      </c>
      <c r="AO526" s="1">
        <v>8.05</v>
      </c>
      <c r="AP526" s="1">
        <v>8.53399999999999</v>
      </c>
      <c r="AQ526" s="1" t="b">
        <v>0</v>
      </c>
      <c r="AR526" s="1" t="b">
        <v>0</v>
      </c>
      <c r="AS526" s="1">
        <v>86.9179999999999</v>
      </c>
      <c r="AT526" s="1">
        <v>87.152</v>
      </c>
      <c r="AU526" s="1" t="b">
        <v>0</v>
      </c>
      <c r="AV526" s="1" t="b">
        <v>0</v>
      </c>
      <c r="AW526" s="1">
        <v>9.61399999999999</v>
      </c>
      <c r="AX526" s="1">
        <v>11.026</v>
      </c>
      <c r="AY526" s="1" t="b">
        <v>0</v>
      </c>
      <c r="AZ526" s="1" t="b">
        <v>0</v>
      </c>
      <c r="BA526" s="1">
        <v>81.25</v>
      </c>
      <c r="BB526" s="1">
        <v>77.78</v>
      </c>
      <c r="BC526" s="1" t="b">
        <v>0</v>
      </c>
      <c r="BD526" s="1" t="b">
        <v>0</v>
      </c>
      <c r="BE526" s="1">
        <v>11.34</v>
      </c>
      <c r="BF526" s="1">
        <v>13.285</v>
      </c>
      <c r="BG526" s="1" t="b">
        <v>0</v>
      </c>
      <c r="BH526" s="1" t="b">
        <v>0</v>
      </c>
      <c r="BI526" s="1">
        <v>77.78</v>
      </c>
      <c r="BJ526" s="1">
        <v>75.0</v>
      </c>
      <c r="BK526" s="1" t="b">
        <v>0</v>
      </c>
      <c r="BL526" s="1" t="b">
        <v>0</v>
      </c>
      <c r="BM526" s="1">
        <v>13.121</v>
      </c>
      <c r="BN526" s="1">
        <v>14.568</v>
      </c>
      <c r="BO526" s="1" t="b">
        <v>0</v>
      </c>
      <c r="BP526" s="1" t="b">
        <v>0</v>
      </c>
      <c r="BQ526" s="1">
        <v>75.0</v>
      </c>
      <c r="BR526" s="1">
        <v>72.027</v>
      </c>
      <c r="BS526" s="1" t="b">
        <v>0</v>
      </c>
      <c r="BT526" s="1" t="b">
        <v>0</v>
      </c>
      <c r="BU526" s="1" t="s">
        <v>105</v>
      </c>
      <c r="BV526" s="1" t="s">
        <v>105</v>
      </c>
      <c r="BW526" s="1" t="s">
        <v>105</v>
      </c>
      <c r="BX526" s="1" t="s">
        <v>105</v>
      </c>
      <c r="BY526" s="1" t="s">
        <v>105</v>
      </c>
      <c r="BZ526" s="1" t="s">
        <v>105</v>
      </c>
      <c r="CA526" s="1" t="s">
        <v>105</v>
      </c>
      <c r="CB526" s="1" t="s">
        <v>105</v>
      </c>
      <c r="CC526" s="1" t="s">
        <v>105</v>
      </c>
      <c r="CD526" s="1" t="s">
        <v>105</v>
      </c>
      <c r="CE526" s="4"/>
      <c r="CF526" s="4"/>
    </row>
    <row r="527" hidden="1">
      <c r="A527" s="1" t="s">
        <v>82</v>
      </c>
      <c r="B527" s="1" t="s">
        <v>631</v>
      </c>
      <c r="C527" s="1">
        <v>18.0</v>
      </c>
      <c r="D527" s="5" t="s">
        <v>2337</v>
      </c>
      <c r="E527" s="1" t="s">
        <v>2338</v>
      </c>
      <c r="F527" s="1">
        <v>33.0</v>
      </c>
      <c r="G527" s="1">
        <v>0.2023</v>
      </c>
      <c r="H527" s="1" t="s">
        <v>2339</v>
      </c>
      <c r="I527" s="4" t="b">
        <f>IFERROR(__xludf.DUMMYFUNCTION("IF(H527="""",,REGEXMATCH(H527,""[א-ת]""))"),FALSE)</f>
        <v>0</v>
      </c>
      <c r="J527" s="4"/>
      <c r="K527" s="4"/>
      <c r="L527" s="1">
        <v>0.9186</v>
      </c>
      <c r="M527" s="1">
        <v>32.79</v>
      </c>
      <c r="N527" s="1">
        <v>78.79</v>
      </c>
      <c r="O527" s="1">
        <v>2.387575758</v>
      </c>
      <c r="P527" s="4"/>
      <c r="Q527" s="4"/>
      <c r="R527" s="1" t="s">
        <v>89</v>
      </c>
      <c r="S527" s="1" t="s">
        <v>2338</v>
      </c>
      <c r="T527" s="1" t="s">
        <v>631</v>
      </c>
      <c r="U527" s="1">
        <v>19.0</v>
      </c>
      <c r="V527" s="5" t="s">
        <v>2337</v>
      </c>
      <c r="W527" s="1" t="s">
        <v>2338</v>
      </c>
      <c r="X527" s="1" t="s">
        <v>2340</v>
      </c>
      <c r="Y527" s="4"/>
      <c r="Z527" s="4"/>
      <c r="AA527" s="4" t="b">
        <f>IFERROR(__xludf.DUMMYFUNCTION("IF(X527="""",,REGEXMATCH(X527,""[א-ת]""))"),FALSE)</f>
        <v>0</v>
      </c>
      <c r="AB527" s="1">
        <v>14.68</v>
      </c>
      <c r="AC527" s="1">
        <v>72.73</v>
      </c>
      <c r="AD527" s="1">
        <v>0.196276324939855</v>
      </c>
      <c r="AE527" s="1">
        <v>0.5106</v>
      </c>
      <c r="AF527" s="1">
        <v>0.2023</v>
      </c>
      <c r="AG527" s="1">
        <v>6.337</v>
      </c>
      <c r="AH527" s="1">
        <v>6.781</v>
      </c>
      <c r="AI527" s="1" t="b">
        <v>0</v>
      </c>
      <c r="AJ527" s="1" t="b">
        <v>0</v>
      </c>
      <c r="AK527" s="1">
        <v>94.182</v>
      </c>
      <c r="AL527" s="1">
        <v>96.508</v>
      </c>
      <c r="AM527" s="1" t="b">
        <v>0</v>
      </c>
      <c r="AN527" s="1" t="b">
        <v>0</v>
      </c>
      <c r="AO527" s="1">
        <v>8.05</v>
      </c>
      <c r="AP527" s="1">
        <v>8.53399999999999</v>
      </c>
      <c r="AQ527" s="1" t="b">
        <v>0</v>
      </c>
      <c r="AR527" s="1" t="b">
        <v>0</v>
      </c>
      <c r="AS527" s="1">
        <v>86.9179999999999</v>
      </c>
      <c r="AT527" s="1">
        <v>87.152</v>
      </c>
      <c r="AU527" s="1" t="b">
        <v>0</v>
      </c>
      <c r="AV527" s="1" t="b">
        <v>0</v>
      </c>
      <c r="AW527" s="1">
        <v>9.61399999999999</v>
      </c>
      <c r="AX527" s="1">
        <v>11.026</v>
      </c>
      <c r="AY527" s="1" t="b">
        <v>0</v>
      </c>
      <c r="AZ527" s="1" t="b">
        <v>0</v>
      </c>
      <c r="BA527" s="1">
        <v>81.25</v>
      </c>
      <c r="BB527" s="1">
        <v>77.78</v>
      </c>
      <c r="BC527" s="1" t="b">
        <v>0</v>
      </c>
      <c r="BD527" s="1" t="b">
        <v>0</v>
      </c>
      <c r="BE527" s="1">
        <v>11.34</v>
      </c>
      <c r="BF527" s="1">
        <v>13.285</v>
      </c>
      <c r="BG527" s="1" t="b">
        <v>0</v>
      </c>
      <c r="BH527" s="1" t="b">
        <v>0</v>
      </c>
      <c r="BI527" s="1">
        <v>77.78</v>
      </c>
      <c r="BJ527" s="1">
        <v>75.0</v>
      </c>
      <c r="BK527" s="1" t="b">
        <v>1</v>
      </c>
      <c r="BL527" s="1" t="b">
        <v>0</v>
      </c>
      <c r="BM527" s="1">
        <v>13.121</v>
      </c>
      <c r="BN527" s="1">
        <v>14.568</v>
      </c>
      <c r="BO527" s="1" t="b">
        <v>0</v>
      </c>
      <c r="BP527" s="1" t="b">
        <v>0</v>
      </c>
      <c r="BQ527" s="1">
        <v>75.0</v>
      </c>
      <c r="BR527" s="1">
        <v>72.027</v>
      </c>
      <c r="BS527" s="1" t="b">
        <v>1</v>
      </c>
      <c r="BT527" s="1" t="b">
        <v>1</v>
      </c>
      <c r="BU527" s="1" t="s">
        <v>105</v>
      </c>
      <c r="BV527" s="1" t="s">
        <v>105</v>
      </c>
      <c r="BW527" s="1" t="s">
        <v>105</v>
      </c>
      <c r="BX527" s="1" t="s">
        <v>105</v>
      </c>
      <c r="BY527" s="1" t="s">
        <v>105</v>
      </c>
      <c r="BZ527" s="1" t="s">
        <v>105</v>
      </c>
      <c r="CA527" s="1" t="s">
        <v>105</v>
      </c>
      <c r="CB527" s="1" t="s">
        <v>91</v>
      </c>
      <c r="CC527" s="1" t="s">
        <v>105</v>
      </c>
      <c r="CD527" s="1" t="s">
        <v>104</v>
      </c>
      <c r="CE527" s="4"/>
      <c r="CF527" s="4"/>
    </row>
    <row r="528" hidden="1">
      <c r="A528" s="1" t="s">
        <v>82</v>
      </c>
      <c r="B528" s="1" t="s">
        <v>145</v>
      </c>
      <c r="C528" s="1">
        <v>9.0</v>
      </c>
      <c r="D528" s="5" t="s">
        <v>2341</v>
      </c>
      <c r="E528" s="1" t="s">
        <v>2342</v>
      </c>
      <c r="F528" s="1">
        <v>44.0</v>
      </c>
      <c r="G528" s="1">
        <v>0.6124</v>
      </c>
      <c r="H528" s="1" t="s">
        <v>2343</v>
      </c>
      <c r="I528" s="4" t="b">
        <f>IFERROR(__xludf.DUMMYFUNCTION("IF(H528="""",,REGEXMATCH(H528,""[א-ת]""))"),FALSE)</f>
        <v>0</v>
      </c>
      <c r="J528" s="4"/>
      <c r="K528" s="4"/>
      <c r="L528" s="1">
        <v>0.6124</v>
      </c>
      <c r="M528" s="1">
        <v>32.84</v>
      </c>
      <c r="N528" s="1">
        <v>47.73</v>
      </c>
      <c r="O528" s="1">
        <v>1.084772727</v>
      </c>
      <c r="P528" s="4"/>
      <c r="Q528" s="4"/>
      <c r="R528" s="1" t="s">
        <v>89</v>
      </c>
      <c r="S528" s="1" t="s">
        <v>2342</v>
      </c>
      <c r="T528" s="1" t="s">
        <v>145</v>
      </c>
      <c r="U528" s="1">
        <v>10.0</v>
      </c>
      <c r="V528" s="5" t="s">
        <v>2341</v>
      </c>
      <c r="W528" s="1" t="s">
        <v>2342</v>
      </c>
      <c r="X528" s="1" t="s">
        <v>2344</v>
      </c>
      <c r="Y528" s="4"/>
      <c r="Z528" s="4"/>
      <c r="AA528" s="4" t="b">
        <f>IFERROR(__xludf.DUMMYFUNCTION("IF(X528="""",,REGEXMATCH(X528,""[א-ת]""))"),FALSE)</f>
        <v>0</v>
      </c>
      <c r="AB528" s="1">
        <v>29.72</v>
      </c>
      <c r="AC528" s="1">
        <v>54.55</v>
      </c>
      <c r="AD528" s="1">
        <v>0.822292057173822</v>
      </c>
      <c r="AE528" s="1">
        <v>0.6124</v>
      </c>
      <c r="AF528" s="1">
        <v>0.6124</v>
      </c>
      <c r="AG528" s="1">
        <v>6.337</v>
      </c>
      <c r="AH528" s="1">
        <v>6.781</v>
      </c>
      <c r="AI528" s="1" t="b">
        <v>0</v>
      </c>
      <c r="AJ528" s="1" t="b">
        <v>0</v>
      </c>
      <c r="AK528" s="1">
        <v>94.182</v>
      </c>
      <c r="AL528" s="1">
        <v>96.508</v>
      </c>
      <c r="AM528" s="1" t="b">
        <v>0</v>
      </c>
      <c r="AN528" s="1" t="b">
        <v>0</v>
      </c>
      <c r="AO528" s="1">
        <v>8.05</v>
      </c>
      <c r="AP528" s="1">
        <v>8.53399999999999</v>
      </c>
      <c r="AQ528" s="1" t="b">
        <v>0</v>
      </c>
      <c r="AR528" s="1" t="b">
        <v>0</v>
      </c>
      <c r="AS528" s="1">
        <v>86.9179999999999</v>
      </c>
      <c r="AT528" s="1">
        <v>87.152</v>
      </c>
      <c r="AU528" s="1" t="b">
        <v>0</v>
      </c>
      <c r="AV528" s="1" t="b">
        <v>0</v>
      </c>
      <c r="AW528" s="1">
        <v>9.61399999999999</v>
      </c>
      <c r="AX528" s="1">
        <v>11.026</v>
      </c>
      <c r="AY528" s="1" t="b">
        <v>0</v>
      </c>
      <c r="AZ528" s="1" t="b">
        <v>0</v>
      </c>
      <c r="BA528" s="1">
        <v>81.25</v>
      </c>
      <c r="BB528" s="1">
        <v>77.78</v>
      </c>
      <c r="BC528" s="1" t="b">
        <v>0</v>
      </c>
      <c r="BD528" s="1" t="b">
        <v>0</v>
      </c>
      <c r="BE528" s="1">
        <v>11.34</v>
      </c>
      <c r="BF528" s="1">
        <v>13.285</v>
      </c>
      <c r="BG528" s="1" t="b">
        <v>0</v>
      </c>
      <c r="BH528" s="1" t="b">
        <v>0</v>
      </c>
      <c r="BI528" s="1">
        <v>77.78</v>
      </c>
      <c r="BJ528" s="1">
        <v>75.0</v>
      </c>
      <c r="BK528" s="1" t="b">
        <v>0</v>
      </c>
      <c r="BL528" s="1" t="b">
        <v>0</v>
      </c>
      <c r="BM528" s="1">
        <v>13.121</v>
      </c>
      <c r="BN528" s="1">
        <v>14.568</v>
      </c>
      <c r="BO528" s="1" t="b">
        <v>0</v>
      </c>
      <c r="BP528" s="1" t="b">
        <v>0</v>
      </c>
      <c r="BQ528" s="1">
        <v>75.0</v>
      </c>
      <c r="BR528" s="1">
        <v>72.027</v>
      </c>
      <c r="BS528" s="1" t="b">
        <v>0</v>
      </c>
      <c r="BT528" s="1" t="b">
        <v>0</v>
      </c>
      <c r="BU528" s="1" t="s">
        <v>105</v>
      </c>
      <c r="BV528" s="1" t="s">
        <v>105</v>
      </c>
      <c r="BW528" s="1" t="s">
        <v>105</v>
      </c>
      <c r="BX528" s="1" t="s">
        <v>105</v>
      </c>
      <c r="BY528" s="1" t="s">
        <v>105</v>
      </c>
      <c r="BZ528" s="1" t="s">
        <v>105</v>
      </c>
      <c r="CA528" s="1" t="s">
        <v>105</v>
      </c>
      <c r="CB528" s="1" t="s">
        <v>105</v>
      </c>
      <c r="CC528" s="1" t="s">
        <v>105</v>
      </c>
      <c r="CD528" s="1" t="s">
        <v>105</v>
      </c>
      <c r="CE528" s="4"/>
      <c r="CF528" s="4"/>
    </row>
    <row r="529" hidden="1">
      <c r="A529" s="1" t="s">
        <v>82</v>
      </c>
      <c r="B529" s="1" t="s">
        <v>111</v>
      </c>
      <c r="C529" s="1">
        <v>0.0</v>
      </c>
      <c r="D529" s="5" t="s">
        <v>2345</v>
      </c>
      <c r="E529" s="1" t="s">
        <v>2346</v>
      </c>
      <c r="F529" s="1">
        <v>28.0</v>
      </c>
      <c r="G529" s="1">
        <v>0.2023</v>
      </c>
      <c r="H529" s="1" t="s">
        <v>2347</v>
      </c>
      <c r="I529" s="4" t="b">
        <f>IFERROR(__xludf.DUMMYFUNCTION("IF(H529="""",,REGEXMATCH(H529,""[א-ת]""))"),FALSE)</f>
        <v>0</v>
      </c>
      <c r="J529" s="4"/>
      <c r="K529" s="4"/>
      <c r="L529" s="1">
        <v>0.2023</v>
      </c>
      <c r="M529" s="1">
        <v>32.89</v>
      </c>
      <c r="N529" s="1">
        <v>46.43</v>
      </c>
      <c r="O529" s="1">
        <v>1.658214286</v>
      </c>
      <c r="P529" s="4"/>
      <c r="Q529" s="4"/>
      <c r="R529" s="1" t="s">
        <v>89</v>
      </c>
      <c r="S529" s="1" t="s">
        <v>2346</v>
      </c>
      <c r="T529" s="1" t="s">
        <v>111</v>
      </c>
      <c r="U529" s="1">
        <v>1.0</v>
      </c>
      <c r="V529" s="5" t="s">
        <v>2345</v>
      </c>
      <c r="W529" s="1" t="s">
        <v>2346</v>
      </c>
      <c r="X529" s="1" t="s">
        <v>2348</v>
      </c>
      <c r="Y529" s="4"/>
      <c r="Z529" s="4"/>
      <c r="AA529" s="4" t="b">
        <f>IFERROR(__xludf.DUMMYFUNCTION("IF(X529="""",,REGEXMATCH(X529,""[א-ת]""))"),FALSE)</f>
        <v>0</v>
      </c>
      <c r="AB529" s="1">
        <v>43.8</v>
      </c>
      <c r="AC529" s="1">
        <v>42.86</v>
      </c>
      <c r="AD529" s="1">
        <v>0.685154302773172</v>
      </c>
      <c r="AE529" s="1">
        <v>0.2924</v>
      </c>
      <c r="AF529" s="1">
        <v>0.2023</v>
      </c>
      <c r="AG529" s="1">
        <v>6.337</v>
      </c>
      <c r="AH529" s="1">
        <v>6.781</v>
      </c>
      <c r="AI529" s="1" t="b">
        <v>0</v>
      </c>
      <c r="AJ529" s="1" t="b">
        <v>0</v>
      </c>
      <c r="AK529" s="1">
        <v>94.182</v>
      </c>
      <c r="AL529" s="1">
        <v>96.508</v>
      </c>
      <c r="AM529" s="1" t="b">
        <v>0</v>
      </c>
      <c r="AN529" s="1" t="b">
        <v>0</v>
      </c>
      <c r="AO529" s="1">
        <v>8.05</v>
      </c>
      <c r="AP529" s="1">
        <v>8.53399999999999</v>
      </c>
      <c r="AQ529" s="1" t="b">
        <v>0</v>
      </c>
      <c r="AR529" s="1" t="b">
        <v>0</v>
      </c>
      <c r="AS529" s="1">
        <v>86.9179999999999</v>
      </c>
      <c r="AT529" s="1">
        <v>87.152</v>
      </c>
      <c r="AU529" s="1" t="b">
        <v>0</v>
      </c>
      <c r="AV529" s="1" t="b">
        <v>0</v>
      </c>
      <c r="AW529" s="1">
        <v>9.61399999999999</v>
      </c>
      <c r="AX529" s="1">
        <v>11.026</v>
      </c>
      <c r="AY529" s="1" t="b">
        <v>0</v>
      </c>
      <c r="AZ529" s="1" t="b">
        <v>0</v>
      </c>
      <c r="BA529" s="1">
        <v>81.25</v>
      </c>
      <c r="BB529" s="1">
        <v>77.78</v>
      </c>
      <c r="BC529" s="1" t="b">
        <v>0</v>
      </c>
      <c r="BD529" s="1" t="b">
        <v>0</v>
      </c>
      <c r="BE529" s="1">
        <v>11.34</v>
      </c>
      <c r="BF529" s="1">
        <v>13.285</v>
      </c>
      <c r="BG529" s="1" t="b">
        <v>0</v>
      </c>
      <c r="BH529" s="1" t="b">
        <v>0</v>
      </c>
      <c r="BI529" s="1">
        <v>77.78</v>
      </c>
      <c r="BJ529" s="1">
        <v>75.0</v>
      </c>
      <c r="BK529" s="1" t="b">
        <v>0</v>
      </c>
      <c r="BL529" s="1" t="b">
        <v>0</v>
      </c>
      <c r="BM529" s="1">
        <v>13.121</v>
      </c>
      <c r="BN529" s="1">
        <v>14.568</v>
      </c>
      <c r="BO529" s="1" t="b">
        <v>0</v>
      </c>
      <c r="BP529" s="1" t="b">
        <v>0</v>
      </c>
      <c r="BQ529" s="1">
        <v>75.0</v>
      </c>
      <c r="BR529" s="1">
        <v>72.027</v>
      </c>
      <c r="BS529" s="1" t="b">
        <v>0</v>
      </c>
      <c r="BT529" s="1" t="b">
        <v>0</v>
      </c>
      <c r="BU529" s="1" t="s">
        <v>105</v>
      </c>
      <c r="BV529" s="1" t="s">
        <v>105</v>
      </c>
      <c r="BW529" s="1" t="s">
        <v>105</v>
      </c>
      <c r="BX529" s="1" t="s">
        <v>105</v>
      </c>
      <c r="BY529" s="1" t="s">
        <v>105</v>
      </c>
      <c r="BZ529" s="1" t="s">
        <v>105</v>
      </c>
      <c r="CA529" s="1" t="s">
        <v>105</v>
      </c>
      <c r="CB529" s="1" t="s">
        <v>105</v>
      </c>
      <c r="CC529" s="1" t="s">
        <v>105</v>
      </c>
      <c r="CD529" s="1" t="s">
        <v>105</v>
      </c>
      <c r="CE529" s="4"/>
      <c r="CF529" s="4"/>
    </row>
    <row r="530">
      <c r="A530" s="1" t="s">
        <v>82</v>
      </c>
      <c r="B530" s="1" t="s">
        <v>98</v>
      </c>
      <c r="C530" s="1">
        <v>2.0</v>
      </c>
      <c r="D530" s="5" t="s">
        <v>2285</v>
      </c>
      <c r="E530" s="1" t="s">
        <v>2349</v>
      </c>
      <c r="F530" s="1">
        <v>18.0</v>
      </c>
      <c r="G530" s="1">
        <v>0.0772</v>
      </c>
      <c r="H530" s="1" t="s">
        <v>2350</v>
      </c>
      <c r="I530" s="4" t="b">
        <f>IFERROR(__xludf.DUMMYFUNCTION("IF(H530="""",,REGEXMATCH(H530,""[א-ת]""))"),FALSE)</f>
        <v>0</v>
      </c>
      <c r="J530" s="4"/>
      <c r="K530" s="4"/>
      <c r="L530" s="1">
        <v>0.0</v>
      </c>
      <c r="M530" s="1">
        <v>33.0</v>
      </c>
      <c r="N530" s="1">
        <v>55.56</v>
      </c>
      <c r="O530" s="1">
        <v>3.086666667</v>
      </c>
      <c r="P530" s="4"/>
      <c r="Q530" s="4"/>
      <c r="R530" s="1" t="s">
        <v>89</v>
      </c>
      <c r="S530" s="1" t="s">
        <v>2349</v>
      </c>
      <c r="T530" s="1" t="s">
        <v>98</v>
      </c>
      <c r="U530" s="1">
        <v>3.0</v>
      </c>
      <c r="V530" s="5" t="s">
        <v>2285</v>
      </c>
      <c r="W530" s="1" t="s">
        <v>2349</v>
      </c>
      <c r="X530" s="1" t="s">
        <v>2351</v>
      </c>
      <c r="Y530" s="1" t="s">
        <v>2352</v>
      </c>
      <c r="Z530" s="1" t="s">
        <v>2353</v>
      </c>
      <c r="AA530" s="4" t="b">
        <f>IFERROR(__xludf.DUMMYFUNCTION("IF(X530="""",,REGEXMATCH(X530,""[א-ת]""))"),FALSE)</f>
        <v>0</v>
      </c>
      <c r="AB530" s="1">
        <v>6.44</v>
      </c>
      <c r="AC530" s="1">
        <v>72.22</v>
      </c>
      <c r="AD530" s="1">
        <v>0.12603750314428</v>
      </c>
      <c r="AE530" s="1">
        <v>0.0</v>
      </c>
      <c r="AF530" s="1">
        <v>0.0772</v>
      </c>
      <c r="AG530" s="1">
        <v>6.337</v>
      </c>
      <c r="AH530" s="1">
        <v>6.781</v>
      </c>
      <c r="AI530" s="1" t="b">
        <v>0</v>
      </c>
      <c r="AJ530" s="1" t="b">
        <v>1</v>
      </c>
      <c r="AK530" s="1">
        <v>94.182</v>
      </c>
      <c r="AL530" s="1">
        <v>96.508</v>
      </c>
      <c r="AM530" s="1" t="b">
        <v>0</v>
      </c>
      <c r="AN530" s="1" t="b">
        <v>0</v>
      </c>
      <c r="AO530" s="1">
        <v>8.05</v>
      </c>
      <c r="AP530" s="1">
        <v>8.53399999999999</v>
      </c>
      <c r="AQ530" s="1" t="b">
        <v>0</v>
      </c>
      <c r="AR530" s="1" t="b">
        <v>1</v>
      </c>
      <c r="AS530" s="1">
        <v>86.9179999999999</v>
      </c>
      <c r="AT530" s="1">
        <v>87.152</v>
      </c>
      <c r="AU530" s="1" t="b">
        <v>0</v>
      </c>
      <c r="AV530" s="1" t="b">
        <v>0</v>
      </c>
      <c r="AW530" s="1">
        <v>9.61399999999999</v>
      </c>
      <c r="AX530" s="1">
        <v>11.026</v>
      </c>
      <c r="AY530" s="1" t="b">
        <v>0</v>
      </c>
      <c r="AZ530" s="1" t="b">
        <v>1</v>
      </c>
      <c r="BA530" s="1">
        <v>81.25</v>
      </c>
      <c r="BB530" s="1">
        <v>77.78</v>
      </c>
      <c r="BC530" s="1" t="b">
        <v>0</v>
      </c>
      <c r="BD530" s="1" t="b">
        <v>0</v>
      </c>
      <c r="BE530" s="1">
        <v>11.34</v>
      </c>
      <c r="BF530" s="1">
        <v>13.285</v>
      </c>
      <c r="BG530" s="1" t="b">
        <v>0</v>
      </c>
      <c r="BH530" s="1" t="b">
        <v>1</v>
      </c>
      <c r="BI530" s="1">
        <v>77.78</v>
      </c>
      <c r="BJ530" s="1">
        <v>75.0</v>
      </c>
      <c r="BK530" s="1" t="b">
        <v>0</v>
      </c>
      <c r="BL530" s="1" t="b">
        <v>0</v>
      </c>
      <c r="BM530" s="1">
        <v>13.121</v>
      </c>
      <c r="BN530" s="1">
        <v>14.568</v>
      </c>
      <c r="BO530" s="1" t="b">
        <v>0</v>
      </c>
      <c r="BP530" s="1" t="b">
        <v>1</v>
      </c>
      <c r="BQ530" s="1">
        <v>75.0</v>
      </c>
      <c r="BR530" s="1">
        <v>72.027</v>
      </c>
      <c r="BS530" s="1" t="b">
        <v>0</v>
      </c>
      <c r="BT530" s="1" t="b">
        <v>1</v>
      </c>
      <c r="BU530" s="1" t="s">
        <v>157</v>
      </c>
      <c r="BV530" s="1" t="s">
        <v>105</v>
      </c>
      <c r="BW530" s="1" t="s">
        <v>157</v>
      </c>
      <c r="BX530" s="1" t="s">
        <v>105</v>
      </c>
      <c r="BY530" s="1" t="s">
        <v>157</v>
      </c>
      <c r="BZ530" s="1" t="s">
        <v>105</v>
      </c>
      <c r="CA530" s="1" t="s">
        <v>157</v>
      </c>
      <c r="CB530" s="1" t="s">
        <v>105</v>
      </c>
      <c r="CC530" s="1" t="s">
        <v>157</v>
      </c>
      <c r="CD530" s="1" t="s">
        <v>157</v>
      </c>
      <c r="CE530" s="4"/>
      <c r="CF530" s="4"/>
    </row>
    <row r="531" hidden="1">
      <c r="A531" s="1" t="s">
        <v>82</v>
      </c>
      <c r="B531" s="1" t="s">
        <v>197</v>
      </c>
      <c r="C531" s="1">
        <v>16.0</v>
      </c>
      <c r="D531" s="5" t="s">
        <v>2354</v>
      </c>
      <c r="E531" s="1" t="s">
        <v>2355</v>
      </c>
      <c r="F531" s="1">
        <v>77.0</v>
      </c>
      <c r="G531" s="1">
        <v>-0.8468</v>
      </c>
      <c r="H531" s="1" t="s">
        <v>2356</v>
      </c>
      <c r="I531" s="4" t="b">
        <f>IFERROR(__xludf.DUMMYFUNCTION("IF(H531="""",,REGEXMATCH(H531,""[א-ת]""))"),FALSE)</f>
        <v>0</v>
      </c>
      <c r="J531" s="4"/>
      <c r="K531" s="4"/>
      <c r="L531" s="1">
        <v>-0.7096</v>
      </c>
      <c r="M531" s="1">
        <v>33.07</v>
      </c>
      <c r="N531" s="1">
        <v>44.16</v>
      </c>
      <c r="O531" s="1">
        <v>0.5735064935</v>
      </c>
      <c r="P531" s="4"/>
      <c r="Q531" s="4"/>
      <c r="R531" s="1" t="s">
        <v>89</v>
      </c>
      <c r="S531" s="1" t="s">
        <v>2355</v>
      </c>
      <c r="T531" s="1" t="s">
        <v>197</v>
      </c>
      <c r="U531" s="1">
        <v>17.0</v>
      </c>
      <c r="V531" s="5" t="s">
        <v>2354</v>
      </c>
      <c r="W531" s="1" t="s">
        <v>2355</v>
      </c>
      <c r="X531" s="1" t="s">
        <v>2357</v>
      </c>
      <c r="Y531" s="4"/>
      <c r="Z531" s="4"/>
      <c r="AA531" s="4" t="b">
        <f>IFERROR(__xludf.DUMMYFUNCTION("IF(X531="""",,REGEXMATCH(X531,""[א-ת]""))"),TRUE)</f>
        <v>1</v>
      </c>
      <c r="AB531" s="1">
        <v>15.95</v>
      </c>
      <c r="AC531" s="1">
        <v>64.94</v>
      </c>
      <c r="AD531" s="1">
        <v>0.588201291847809</v>
      </c>
      <c r="AE531" s="1">
        <v>-0.7469</v>
      </c>
      <c r="AF531" s="1">
        <v>-0.8468</v>
      </c>
      <c r="AG531" s="1">
        <v>6.337</v>
      </c>
      <c r="AH531" s="1">
        <v>6.781</v>
      </c>
      <c r="AI531" s="1" t="b">
        <v>0</v>
      </c>
      <c r="AJ531" s="1" t="b">
        <v>0</v>
      </c>
      <c r="AK531" s="1">
        <v>94.182</v>
      </c>
      <c r="AL531" s="1">
        <v>96.508</v>
      </c>
      <c r="AM531" s="1" t="b">
        <v>0</v>
      </c>
      <c r="AN531" s="1" t="b">
        <v>0</v>
      </c>
      <c r="AO531" s="1">
        <v>8.05</v>
      </c>
      <c r="AP531" s="1">
        <v>8.53399999999999</v>
      </c>
      <c r="AQ531" s="1" t="b">
        <v>0</v>
      </c>
      <c r="AR531" s="1" t="b">
        <v>0</v>
      </c>
      <c r="AS531" s="1">
        <v>86.9179999999999</v>
      </c>
      <c r="AT531" s="1">
        <v>87.152</v>
      </c>
      <c r="AU531" s="1" t="b">
        <v>0</v>
      </c>
      <c r="AV531" s="1" t="b">
        <v>0</v>
      </c>
      <c r="AW531" s="1">
        <v>9.61399999999999</v>
      </c>
      <c r="AX531" s="1">
        <v>11.026</v>
      </c>
      <c r="AY531" s="1" t="b">
        <v>0</v>
      </c>
      <c r="AZ531" s="1" t="b">
        <v>0</v>
      </c>
      <c r="BA531" s="1">
        <v>81.25</v>
      </c>
      <c r="BB531" s="1">
        <v>77.78</v>
      </c>
      <c r="BC531" s="1" t="b">
        <v>0</v>
      </c>
      <c r="BD531" s="1" t="b">
        <v>0</v>
      </c>
      <c r="BE531" s="1">
        <v>11.34</v>
      </c>
      <c r="BF531" s="1">
        <v>13.285</v>
      </c>
      <c r="BG531" s="1" t="b">
        <v>0</v>
      </c>
      <c r="BH531" s="1" t="b">
        <v>0</v>
      </c>
      <c r="BI531" s="1">
        <v>77.78</v>
      </c>
      <c r="BJ531" s="1">
        <v>75.0</v>
      </c>
      <c r="BK531" s="1" t="b">
        <v>0</v>
      </c>
      <c r="BL531" s="1" t="b">
        <v>0</v>
      </c>
      <c r="BM531" s="1">
        <v>13.121</v>
      </c>
      <c r="BN531" s="1">
        <v>14.568</v>
      </c>
      <c r="BO531" s="1" t="b">
        <v>0</v>
      </c>
      <c r="BP531" s="1" t="b">
        <v>0</v>
      </c>
      <c r="BQ531" s="1">
        <v>75.0</v>
      </c>
      <c r="BR531" s="1">
        <v>72.027</v>
      </c>
      <c r="BS531" s="1" t="b">
        <v>0</v>
      </c>
      <c r="BT531" s="1" t="b">
        <v>0</v>
      </c>
      <c r="BU531" s="1" t="s">
        <v>105</v>
      </c>
      <c r="BV531" s="1" t="s">
        <v>105</v>
      </c>
      <c r="BW531" s="1" t="s">
        <v>105</v>
      </c>
      <c r="BX531" s="1" t="s">
        <v>105</v>
      </c>
      <c r="BY531" s="1" t="s">
        <v>105</v>
      </c>
      <c r="BZ531" s="1" t="s">
        <v>105</v>
      </c>
      <c r="CA531" s="1" t="s">
        <v>105</v>
      </c>
      <c r="CB531" s="1" t="s">
        <v>105</v>
      </c>
      <c r="CC531" s="1" t="s">
        <v>105</v>
      </c>
      <c r="CD531" s="1" t="s">
        <v>105</v>
      </c>
      <c r="CE531" s="4"/>
      <c r="CF531" s="4"/>
    </row>
    <row r="532" hidden="1">
      <c r="A532" s="1" t="s">
        <v>82</v>
      </c>
      <c r="B532" s="1" t="s">
        <v>333</v>
      </c>
      <c r="C532" s="1">
        <v>28.0</v>
      </c>
      <c r="D532" s="5" t="s">
        <v>2358</v>
      </c>
      <c r="E532" s="1" t="s">
        <v>2359</v>
      </c>
      <c r="F532" s="1">
        <v>40.0</v>
      </c>
      <c r="G532" s="1">
        <v>0.0516</v>
      </c>
      <c r="H532" s="1" t="s">
        <v>2360</v>
      </c>
      <c r="I532" s="4" t="b">
        <f>IFERROR(__xludf.DUMMYFUNCTION("IF(H532="""",,REGEXMATCH(H532,""[א-ת]""))"),FALSE)</f>
        <v>0</v>
      </c>
      <c r="J532" s="4"/>
      <c r="K532" s="4"/>
      <c r="L532" s="1">
        <v>0.0</v>
      </c>
      <c r="M532" s="1">
        <v>33.11</v>
      </c>
      <c r="N532" s="1">
        <v>62.5</v>
      </c>
      <c r="O532" s="1">
        <v>1.5625</v>
      </c>
      <c r="P532" s="4"/>
      <c r="Q532" s="4"/>
      <c r="R532" s="1" t="s">
        <v>89</v>
      </c>
      <c r="S532" s="1" t="s">
        <v>2359</v>
      </c>
      <c r="T532" s="1" t="s">
        <v>333</v>
      </c>
      <c r="U532" s="1">
        <v>29.0</v>
      </c>
      <c r="V532" s="5" t="s">
        <v>2358</v>
      </c>
      <c r="W532" s="1" t="s">
        <v>2359</v>
      </c>
      <c r="X532" s="1" t="s">
        <v>2361</v>
      </c>
      <c r="Y532" s="4"/>
      <c r="Z532" s="4"/>
      <c r="AA532" s="4" t="b">
        <f>IFERROR(__xludf.DUMMYFUNCTION("IF(X532="""",,REGEXMATCH(X532,""[א-ת]""))"),FALSE)</f>
        <v>0</v>
      </c>
      <c r="AB532" s="1">
        <v>29.93</v>
      </c>
      <c r="AC532" s="1">
        <v>57.5</v>
      </c>
      <c r="AD532" s="1">
        <v>0.660083319839217</v>
      </c>
      <c r="AE532" s="1">
        <v>0.0516</v>
      </c>
      <c r="AF532" s="1">
        <v>0.0516</v>
      </c>
      <c r="AG532" s="1">
        <v>6.337</v>
      </c>
      <c r="AH532" s="1">
        <v>6.781</v>
      </c>
      <c r="AI532" s="1" t="b">
        <v>0</v>
      </c>
      <c r="AJ532" s="1" t="b">
        <v>0</v>
      </c>
      <c r="AK532" s="1">
        <v>94.182</v>
      </c>
      <c r="AL532" s="1">
        <v>96.508</v>
      </c>
      <c r="AM532" s="1" t="b">
        <v>0</v>
      </c>
      <c r="AN532" s="1" t="b">
        <v>0</v>
      </c>
      <c r="AO532" s="1">
        <v>8.05</v>
      </c>
      <c r="AP532" s="1">
        <v>8.53399999999999</v>
      </c>
      <c r="AQ532" s="1" t="b">
        <v>0</v>
      </c>
      <c r="AR532" s="1" t="b">
        <v>0</v>
      </c>
      <c r="AS532" s="1">
        <v>86.9179999999999</v>
      </c>
      <c r="AT532" s="1">
        <v>87.152</v>
      </c>
      <c r="AU532" s="1" t="b">
        <v>0</v>
      </c>
      <c r="AV532" s="1" t="b">
        <v>0</v>
      </c>
      <c r="AW532" s="1">
        <v>9.61399999999999</v>
      </c>
      <c r="AX532" s="1">
        <v>11.026</v>
      </c>
      <c r="AY532" s="1" t="b">
        <v>0</v>
      </c>
      <c r="AZ532" s="1" t="b">
        <v>0</v>
      </c>
      <c r="BA532" s="1">
        <v>81.25</v>
      </c>
      <c r="BB532" s="1">
        <v>77.78</v>
      </c>
      <c r="BC532" s="1" t="b">
        <v>0</v>
      </c>
      <c r="BD532" s="1" t="b">
        <v>0</v>
      </c>
      <c r="BE532" s="1">
        <v>11.34</v>
      </c>
      <c r="BF532" s="1">
        <v>13.285</v>
      </c>
      <c r="BG532" s="1" t="b">
        <v>0</v>
      </c>
      <c r="BH532" s="1" t="b">
        <v>0</v>
      </c>
      <c r="BI532" s="1">
        <v>77.78</v>
      </c>
      <c r="BJ532" s="1">
        <v>75.0</v>
      </c>
      <c r="BK532" s="1" t="b">
        <v>0</v>
      </c>
      <c r="BL532" s="1" t="b">
        <v>0</v>
      </c>
      <c r="BM532" s="1">
        <v>13.121</v>
      </c>
      <c r="BN532" s="1">
        <v>14.568</v>
      </c>
      <c r="BO532" s="1" t="b">
        <v>0</v>
      </c>
      <c r="BP532" s="1" t="b">
        <v>0</v>
      </c>
      <c r="BQ532" s="1">
        <v>75.0</v>
      </c>
      <c r="BR532" s="1">
        <v>72.027</v>
      </c>
      <c r="BS532" s="1" t="b">
        <v>0</v>
      </c>
      <c r="BT532" s="1" t="b">
        <v>0</v>
      </c>
      <c r="BU532" s="1" t="s">
        <v>105</v>
      </c>
      <c r="BV532" s="1" t="s">
        <v>105</v>
      </c>
      <c r="BW532" s="1" t="s">
        <v>105</v>
      </c>
      <c r="BX532" s="1" t="s">
        <v>105</v>
      </c>
      <c r="BY532" s="1" t="s">
        <v>105</v>
      </c>
      <c r="BZ532" s="1" t="s">
        <v>105</v>
      </c>
      <c r="CA532" s="1" t="s">
        <v>105</v>
      </c>
      <c r="CB532" s="1" t="s">
        <v>105</v>
      </c>
      <c r="CC532" s="1" t="s">
        <v>105</v>
      </c>
      <c r="CD532" s="1" t="s">
        <v>105</v>
      </c>
      <c r="CE532" s="4"/>
      <c r="CF532" s="4"/>
    </row>
    <row r="533" hidden="1">
      <c r="A533" s="1" t="s">
        <v>82</v>
      </c>
      <c r="B533" s="1" t="s">
        <v>111</v>
      </c>
      <c r="C533" s="1">
        <v>12.0</v>
      </c>
      <c r="D533" s="5" t="s">
        <v>2362</v>
      </c>
      <c r="E533" s="1" t="s">
        <v>2363</v>
      </c>
      <c r="F533" s="1">
        <v>28.0</v>
      </c>
      <c r="G533" s="1">
        <v>0.0</v>
      </c>
      <c r="H533" s="1" t="s">
        <v>2364</v>
      </c>
      <c r="I533" s="4" t="b">
        <f>IFERROR(__xludf.DUMMYFUNCTION("IF(H533="""",,REGEXMATCH(H533,""[א-ת]""))"),FALSE)</f>
        <v>0</v>
      </c>
      <c r="J533" s="4"/>
      <c r="K533" s="4"/>
      <c r="L533" s="1">
        <v>0.0</v>
      </c>
      <c r="M533" s="1">
        <v>33.12</v>
      </c>
      <c r="N533" s="1">
        <v>57.14</v>
      </c>
      <c r="O533" s="1">
        <v>2.040714286</v>
      </c>
      <c r="P533" s="4"/>
      <c r="Q533" s="4"/>
      <c r="R533" s="1" t="s">
        <v>89</v>
      </c>
      <c r="S533" s="1" t="s">
        <v>2363</v>
      </c>
      <c r="T533" s="1" t="s">
        <v>111</v>
      </c>
      <c r="U533" s="1">
        <v>13.0</v>
      </c>
      <c r="V533" s="5" t="s">
        <v>2362</v>
      </c>
      <c r="W533" s="1" t="s">
        <v>2363</v>
      </c>
      <c r="X533" s="1" t="s">
        <v>2365</v>
      </c>
      <c r="Y533" s="4"/>
      <c r="Z533" s="4"/>
      <c r="AA533" s="4" t="b">
        <f>IFERROR(__xludf.DUMMYFUNCTION("IF(X533="""",,REGEXMATCH(X533,""[א-ת]""))"),FALSE)</f>
        <v>0</v>
      </c>
      <c r="AB533" s="1">
        <v>12.48</v>
      </c>
      <c r="AC533" s="1">
        <v>57.14</v>
      </c>
      <c r="AD533" s="1">
        <v>0.53068989971266</v>
      </c>
      <c r="AE533" s="1">
        <v>0.0</v>
      </c>
      <c r="AF533" s="1">
        <v>0.0</v>
      </c>
      <c r="AG533" s="1">
        <v>6.337</v>
      </c>
      <c r="AH533" s="1">
        <v>6.781</v>
      </c>
      <c r="AI533" s="1" t="b">
        <v>0</v>
      </c>
      <c r="AJ533" s="1" t="b">
        <v>0</v>
      </c>
      <c r="AK533" s="1">
        <v>94.182</v>
      </c>
      <c r="AL533" s="1">
        <v>96.508</v>
      </c>
      <c r="AM533" s="1" t="b">
        <v>0</v>
      </c>
      <c r="AN533" s="1" t="b">
        <v>0</v>
      </c>
      <c r="AO533" s="1">
        <v>8.05</v>
      </c>
      <c r="AP533" s="1">
        <v>8.53399999999999</v>
      </c>
      <c r="AQ533" s="1" t="b">
        <v>0</v>
      </c>
      <c r="AR533" s="1" t="b">
        <v>0</v>
      </c>
      <c r="AS533" s="1">
        <v>86.9179999999999</v>
      </c>
      <c r="AT533" s="1">
        <v>87.152</v>
      </c>
      <c r="AU533" s="1" t="b">
        <v>0</v>
      </c>
      <c r="AV533" s="1" t="b">
        <v>0</v>
      </c>
      <c r="AW533" s="1">
        <v>9.61399999999999</v>
      </c>
      <c r="AX533" s="1">
        <v>11.026</v>
      </c>
      <c r="AY533" s="1" t="b">
        <v>0</v>
      </c>
      <c r="AZ533" s="1" t="b">
        <v>0</v>
      </c>
      <c r="BA533" s="1">
        <v>81.25</v>
      </c>
      <c r="BB533" s="1">
        <v>77.78</v>
      </c>
      <c r="BC533" s="1" t="b">
        <v>0</v>
      </c>
      <c r="BD533" s="1" t="b">
        <v>0</v>
      </c>
      <c r="BE533" s="1">
        <v>11.34</v>
      </c>
      <c r="BF533" s="1">
        <v>13.285</v>
      </c>
      <c r="BG533" s="1" t="b">
        <v>0</v>
      </c>
      <c r="BH533" s="1" t="b">
        <v>1</v>
      </c>
      <c r="BI533" s="1">
        <v>77.78</v>
      </c>
      <c r="BJ533" s="1">
        <v>75.0</v>
      </c>
      <c r="BK533" s="1" t="b">
        <v>0</v>
      </c>
      <c r="BL533" s="1" t="b">
        <v>0</v>
      </c>
      <c r="BM533" s="1">
        <v>13.121</v>
      </c>
      <c r="BN533" s="1">
        <v>14.568</v>
      </c>
      <c r="BO533" s="1" t="b">
        <v>0</v>
      </c>
      <c r="BP533" s="1" t="b">
        <v>1</v>
      </c>
      <c r="BQ533" s="1">
        <v>75.0</v>
      </c>
      <c r="BR533" s="1">
        <v>72.027</v>
      </c>
      <c r="BS533" s="1" t="b">
        <v>0</v>
      </c>
      <c r="BT533" s="1" t="b">
        <v>0</v>
      </c>
      <c r="BU533" s="1" t="s">
        <v>105</v>
      </c>
      <c r="BV533" s="1" t="s">
        <v>105</v>
      </c>
      <c r="BW533" s="1" t="s">
        <v>105</v>
      </c>
      <c r="BX533" s="1" t="s">
        <v>105</v>
      </c>
      <c r="BY533" s="1" t="s">
        <v>105</v>
      </c>
      <c r="BZ533" s="1" t="s">
        <v>105</v>
      </c>
      <c r="CA533" s="1" t="s">
        <v>157</v>
      </c>
      <c r="CB533" s="1" t="s">
        <v>105</v>
      </c>
      <c r="CC533" s="1" t="s">
        <v>157</v>
      </c>
      <c r="CD533" s="1" t="s">
        <v>105</v>
      </c>
      <c r="CE533" s="4"/>
      <c r="CF533" s="4"/>
    </row>
    <row r="534" hidden="1">
      <c r="A534" s="1" t="s">
        <v>82</v>
      </c>
      <c r="B534" s="1" t="s">
        <v>98</v>
      </c>
      <c r="C534" s="1">
        <v>18.0</v>
      </c>
      <c r="D534" s="5" t="s">
        <v>2366</v>
      </c>
      <c r="E534" s="1" t="s">
        <v>2367</v>
      </c>
      <c r="F534" s="1">
        <v>59.0</v>
      </c>
      <c r="G534" s="1">
        <v>0.0516</v>
      </c>
      <c r="H534" s="1" t="s">
        <v>2368</v>
      </c>
      <c r="I534" s="4" t="b">
        <f>IFERROR(__xludf.DUMMYFUNCTION("IF(H534="""",,REGEXMATCH(H534,""[א-ת]""))"),FALSE)</f>
        <v>0</v>
      </c>
      <c r="J534" s="4"/>
      <c r="K534" s="4"/>
      <c r="L534" s="1">
        <v>0.0258</v>
      </c>
      <c r="M534" s="1">
        <v>33.15</v>
      </c>
      <c r="N534" s="1">
        <v>49.15</v>
      </c>
      <c r="O534" s="1">
        <v>0.8330508475</v>
      </c>
      <c r="P534" s="4"/>
      <c r="Q534" s="4"/>
      <c r="R534" s="1" t="s">
        <v>89</v>
      </c>
      <c r="S534" s="1" t="s">
        <v>2367</v>
      </c>
      <c r="T534" s="1" t="s">
        <v>98</v>
      </c>
      <c r="U534" s="1">
        <v>19.0</v>
      </c>
      <c r="V534" s="5" t="s">
        <v>2366</v>
      </c>
      <c r="W534" s="1" t="s">
        <v>2367</v>
      </c>
      <c r="X534" s="1" t="s">
        <v>2369</v>
      </c>
      <c r="Y534" s="4"/>
      <c r="Z534" s="4"/>
      <c r="AA534" s="4" t="b">
        <f>IFERROR(__xludf.DUMMYFUNCTION("IF(X534="""",,REGEXMATCH(X534,""[א-ת]""))"),FALSE)</f>
        <v>0</v>
      </c>
      <c r="AB534" s="1">
        <v>43.26</v>
      </c>
      <c r="AC534" s="1">
        <v>42.37</v>
      </c>
      <c r="AD534" s="1">
        <v>0.865225001365078</v>
      </c>
      <c r="AE534" s="1">
        <v>0.0258</v>
      </c>
      <c r="AF534" s="1">
        <v>0.0516</v>
      </c>
      <c r="AG534" s="1">
        <v>6.337</v>
      </c>
      <c r="AH534" s="1">
        <v>6.781</v>
      </c>
      <c r="AI534" s="1" t="b">
        <v>0</v>
      </c>
      <c r="AJ534" s="1" t="b">
        <v>0</v>
      </c>
      <c r="AK534" s="1">
        <v>94.182</v>
      </c>
      <c r="AL534" s="1">
        <v>96.508</v>
      </c>
      <c r="AM534" s="1" t="b">
        <v>0</v>
      </c>
      <c r="AN534" s="1" t="b">
        <v>0</v>
      </c>
      <c r="AO534" s="1">
        <v>8.05</v>
      </c>
      <c r="AP534" s="1">
        <v>8.53399999999999</v>
      </c>
      <c r="AQ534" s="1" t="b">
        <v>0</v>
      </c>
      <c r="AR534" s="1" t="b">
        <v>0</v>
      </c>
      <c r="AS534" s="1">
        <v>86.9179999999999</v>
      </c>
      <c r="AT534" s="1">
        <v>87.152</v>
      </c>
      <c r="AU534" s="1" t="b">
        <v>0</v>
      </c>
      <c r="AV534" s="1" t="b">
        <v>0</v>
      </c>
      <c r="AW534" s="1">
        <v>9.61399999999999</v>
      </c>
      <c r="AX534" s="1">
        <v>11.026</v>
      </c>
      <c r="AY534" s="1" t="b">
        <v>0</v>
      </c>
      <c r="AZ534" s="1" t="b">
        <v>0</v>
      </c>
      <c r="BA534" s="1">
        <v>81.25</v>
      </c>
      <c r="BB534" s="1">
        <v>77.78</v>
      </c>
      <c r="BC534" s="1" t="b">
        <v>0</v>
      </c>
      <c r="BD534" s="1" t="b">
        <v>0</v>
      </c>
      <c r="BE534" s="1">
        <v>11.34</v>
      </c>
      <c r="BF534" s="1">
        <v>13.285</v>
      </c>
      <c r="BG534" s="1" t="b">
        <v>0</v>
      </c>
      <c r="BH534" s="1" t="b">
        <v>0</v>
      </c>
      <c r="BI534" s="1">
        <v>77.78</v>
      </c>
      <c r="BJ534" s="1">
        <v>75.0</v>
      </c>
      <c r="BK534" s="1" t="b">
        <v>0</v>
      </c>
      <c r="BL534" s="1" t="b">
        <v>0</v>
      </c>
      <c r="BM534" s="1">
        <v>13.121</v>
      </c>
      <c r="BN534" s="1">
        <v>14.568</v>
      </c>
      <c r="BO534" s="1" t="b">
        <v>0</v>
      </c>
      <c r="BP534" s="1" t="b">
        <v>0</v>
      </c>
      <c r="BQ534" s="1">
        <v>75.0</v>
      </c>
      <c r="BR534" s="1">
        <v>72.027</v>
      </c>
      <c r="BS534" s="1" t="b">
        <v>0</v>
      </c>
      <c r="BT534" s="1" t="b">
        <v>0</v>
      </c>
      <c r="BU534" s="1" t="s">
        <v>105</v>
      </c>
      <c r="BV534" s="1" t="s">
        <v>105</v>
      </c>
      <c r="BW534" s="1" t="s">
        <v>105</v>
      </c>
      <c r="BX534" s="1" t="s">
        <v>105</v>
      </c>
      <c r="BY534" s="1" t="s">
        <v>105</v>
      </c>
      <c r="BZ534" s="1" t="s">
        <v>105</v>
      </c>
      <c r="CA534" s="1" t="s">
        <v>105</v>
      </c>
      <c r="CB534" s="1" t="s">
        <v>105</v>
      </c>
      <c r="CC534" s="1" t="s">
        <v>105</v>
      </c>
      <c r="CD534" s="1" t="s">
        <v>105</v>
      </c>
      <c r="CE534" s="4"/>
      <c r="CF534" s="4"/>
    </row>
    <row r="535" hidden="1">
      <c r="A535" s="1" t="s">
        <v>82</v>
      </c>
      <c r="B535" s="1" t="s">
        <v>152</v>
      </c>
      <c r="C535" s="1">
        <v>29.0</v>
      </c>
      <c r="D535" s="5" t="s">
        <v>2370</v>
      </c>
      <c r="E535" s="1" t="s">
        <v>2371</v>
      </c>
      <c r="F535" s="1">
        <v>23.0</v>
      </c>
      <c r="G535" s="1">
        <v>0.0</v>
      </c>
      <c r="H535" s="1" t="s">
        <v>2372</v>
      </c>
      <c r="I535" s="4" t="b">
        <f>IFERROR(__xludf.DUMMYFUNCTION("IF(H535="""",,REGEXMATCH(H535,""[א-ת]""))"),FALSE)</f>
        <v>0</v>
      </c>
      <c r="J535" s="4"/>
      <c r="K535" s="4"/>
      <c r="L535" s="1">
        <v>-0.4215</v>
      </c>
      <c r="M535" s="1">
        <v>33.43</v>
      </c>
      <c r="N535" s="1">
        <v>39.13</v>
      </c>
      <c r="O535" s="1">
        <v>1.701304348</v>
      </c>
      <c r="P535" s="4"/>
      <c r="Q535" s="4"/>
      <c r="R535" s="1" t="s">
        <v>89</v>
      </c>
      <c r="S535" s="1" t="s">
        <v>2371</v>
      </c>
      <c r="T535" s="1" t="s">
        <v>152</v>
      </c>
      <c r="U535" s="1">
        <v>30.0</v>
      </c>
      <c r="V535" s="5" t="s">
        <v>2370</v>
      </c>
      <c r="W535" s="1" t="s">
        <v>2371</v>
      </c>
      <c r="X535" s="1" t="s">
        <v>2373</v>
      </c>
      <c r="Y535" s="4"/>
      <c r="Z535" s="4"/>
      <c r="AA535" s="4" t="b">
        <f>IFERROR(__xludf.DUMMYFUNCTION("IF(X535="""",,REGEXMATCH(X535,""[א-ת]""))"),FALSE)</f>
        <v>0</v>
      </c>
      <c r="AB535" s="1">
        <v>56.42</v>
      </c>
      <c r="AC535" s="1">
        <v>26.09</v>
      </c>
      <c r="AD535" s="1">
        <v>0.772828043384647</v>
      </c>
      <c r="AE535" s="1">
        <v>0.0</v>
      </c>
      <c r="AF535" s="1">
        <v>0.0</v>
      </c>
      <c r="AG535" s="1">
        <v>6.337</v>
      </c>
      <c r="AH535" s="1">
        <v>6.781</v>
      </c>
      <c r="AI535" s="1" t="b">
        <v>0</v>
      </c>
      <c r="AJ535" s="1" t="b">
        <v>0</v>
      </c>
      <c r="AK535" s="1">
        <v>94.182</v>
      </c>
      <c r="AL535" s="1">
        <v>96.508</v>
      </c>
      <c r="AM535" s="1" t="b">
        <v>0</v>
      </c>
      <c r="AN535" s="1" t="b">
        <v>0</v>
      </c>
      <c r="AO535" s="1">
        <v>8.05</v>
      </c>
      <c r="AP535" s="1">
        <v>8.53399999999999</v>
      </c>
      <c r="AQ535" s="1" t="b">
        <v>0</v>
      </c>
      <c r="AR535" s="1" t="b">
        <v>0</v>
      </c>
      <c r="AS535" s="1">
        <v>86.9179999999999</v>
      </c>
      <c r="AT535" s="1">
        <v>87.152</v>
      </c>
      <c r="AU535" s="1" t="b">
        <v>0</v>
      </c>
      <c r="AV535" s="1" t="b">
        <v>0</v>
      </c>
      <c r="AW535" s="1">
        <v>9.61399999999999</v>
      </c>
      <c r="AX535" s="1">
        <v>11.026</v>
      </c>
      <c r="AY535" s="1" t="b">
        <v>0</v>
      </c>
      <c r="AZ535" s="1" t="b">
        <v>0</v>
      </c>
      <c r="BA535" s="1">
        <v>81.25</v>
      </c>
      <c r="BB535" s="1">
        <v>77.78</v>
      </c>
      <c r="BC535" s="1" t="b">
        <v>0</v>
      </c>
      <c r="BD535" s="1" t="b">
        <v>0</v>
      </c>
      <c r="BE535" s="1">
        <v>11.34</v>
      </c>
      <c r="BF535" s="1">
        <v>13.285</v>
      </c>
      <c r="BG535" s="1" t="b">
        <v>0</v>
      </c>
      <c r="BH535" s="1" t="b">
        <v>0</v>
      </c>
      <c r="BI535" s="1">
        <v>77.78</v>
      </c>
      <c r="BJ535" s="1">
        <v>75.0</v>
      </c>
      <c r="BK535" s="1" t="b">
        <v>0</v>
      </c>
      <c r="BL535" s="1" t="b">
        <v>0</v>
      </c>
      <c r="BM535" s="1">
        <v>13.121</v>
      </c>
      <c r="BN535" s="1">
        <v>14.568</v>
      </c>
      <c r="BO535" s="1" t="b">
        <v>0</v>
      </c>
      <c r="BP535" s="1" t="b">
        <v>0</v>
      </c>
      <c r="BQ535" s="1">
        <v>75.0</v>
      </c>
      <c r="BR535" s="1">
        <v>72.027</v>
      </c>
      <c r="BS535" s="1" t="b">
        <v>0</v>
      </c>
      <c r="BT535" s="1" t="b">
        <v>0</v>
      </c>
      <c r="BU535" s="1" t="s">
        <v>105</v>
      </c>
      <c r="BV535" s="1" t="s">
        <v>105</v>
      </c>
      <c r="BW535" s="1" t="s">
        <v>105</v>
      </c>
      <c r="BX535" s="1" t="s">
        <v>105</v>
      </c>
      <c r="BY535" s="1" t="s">
        <v>105</v>
      </c>
      <c r="BZ535" s="1" t="s">
        <v>105</v>
      </c>
      <c r="CA535" s="1" t="s">
        <v>105</v>
      </c>
      <c r="CB535" s="1" t="s">
        <v>105</v>
      </c>
      <c r="CC535" s="1" t="s">
        <v>105</v>
      </c>
      <c r="CD535" s="1" t="s">
        <v>105</v>
      </c>
      <c r="CE535" s="4"/>
      <c r="CF535" s="4"/>
    </row>
    <row r="536" hidden="1">
      <c r="A536" s="1" t="s">
        <v>82</v>
      </c>
      <c r="B536" s="1" t="s">
        <v>427</v>
      </c>
      <c r="C536" s="1">
        <v>2.0</v>
      </c>
      <c r="D536" s="5" t="s">
        <v>2374</v>
      </c>
      <c r="E536" s="1" t="s">
        <v>2375</v>
      </c>
      <c r="F536" s="1">
        <v>81.0</v>
      </c>
      <c r="G536" s="1">
        <v>0.5859</v>
      </c>
      <c r="H536" s="1" t="s">
        <v>2376</v>
      </c>
      <c r="I536" s="4" t="b">
        <f>IFERROR(__xludf.DUMMYFUNCTION("IF(H536="""",,REGEXMATCH(H536,""[א-ת]""))"),FALSE)</f>
        <v>0</v>
      </c>
      <c r="J536" s="4"/>
      <c r="K536" s="4"/>
      <c r="L536" s="1">
        <v>0.5859</v>
      </c>
      <c r="M536" s="1">
        <v>33.84</v>
      </c>
      <c r="N536" s="1">
        <v>44.44</v>
      </c>
      <c r="O536" s="1">
        <v>0.5486419753</v>
      </c>
      <c r="P536" s="4"/>
      <c r="Q536" s="4"/>
      <c r="R536" s="1" t="s">
        <v>96</v>
      </c>
      <c r="S536" s="1" t="s">
        <v>2375</v>
      </c>
      <c r="T536" s="1" t="s">
        <v>427</v>
      </c>
      <c r="U536" s="1">
        <v>3.0</v>
      </c>
      <c r="V536" s="5" t="s">
        <v>2374</v>
      </c>
      <c r="W536" s="1" t="s">
        <v>2375</v>
      </c>
      <c r="X536" s="1" t="s">
        <v>2377</v>
      </c>
      <c r="Y536" s="4"/>
      <c r="Z536" s="4"/>
      <c r="AA536" s="4" t="b">
        <f>IFERROR(__xludf.DUMMYFUNCTION("IF(X536="""",,REGEXMATCH(X536,""[א-ת]""))"),TRUE)</f>
        <v>1</v>
      </c>
      <c r="AB536" s="1">
        <v>18.01</v>
      </c>
      <c r="AC536" s="1">
        <v>101.23</v>
      </c>
      <c r="AD536" s="1">
        <v>0.497243503851621</v>
      </c>
      <c r="AE536" s="1">
        <v>0.6514</v>
      </c>
      <c r="AF536" s="1">
        <v>0.5859</v>
      </c>
      <c r="AG536" s="1">
        <v>6.337</v>
      </c>
      <c r="AH536" s="1">
        <v>6.781</v>
      </c>
      <c r="AI536" s="1" t="b">
        <v>0</v>
      </c>
      <c r="AJ536" s="1" t="b">
        <v>0</v>
      </c>
      <c r="AK536" s="1">
        <v>94.182</v>
      </c>
      <c r="AL536" s="1">
        <v>96.508</v>
      </c>
      <c r="AM536" s="1" t="b">
        <v>0</v>
      </c>
      <c r="AN536" s="1" t="b">
        <v>1</v>
      </c>
      <c r="AO536" s="1">
        <v>8.05</v>
      </c>
      <c r="AP536" s="1">
        <v>8.53399999999999</v>
      </c>
      <c r="AQ536" s="1" t="b">
        <v>0</v>
      </c>
      <c r="AR536" s="1" t="b">
        <v>0</v>
      </c>
      <c r="AS536" s="1">
        <v>86.9179999999999</v>
      </c>
      <c r="AT536" s="1">
        <v>87.152</v>
      </c>
      <c r="AU536" s="1" t="b">
        <v>0</v>
      </c>
      <c r="AV536" s="1" t="b">
        <v>1</v>
      </c>
      <c r="AW536" s="1">
        <v>9.61399999999999</v>
      </c>
      <c r="AX536" s="1">
        <v>11.026</v>
      </c>
      <c r="AY536" s="1" t="b">
        <v>0</v>
      </c>
      <c r="AZ536" s="1" t="b">
        <v>0</v>
      </c>
      <c r="BA536" s="1">
        <v>81.25</v>
      </c>
      <c r="BB536" s="1">
        <v>77.78</v>
      </c>
      <c r="BC536" s="1" t="b">
        <v>0</v>
      </c>
      <c r="BD536" s="1" t="b">
        <v>1</v>
      </c>
      <c r="BE536" s="1">
        <v>11.34</v>
      </c>
      <c r="BF536" s="1">
        <v>13.285</v>
      </c>
      <c r="BG536" s="1" t="b">
        <v>0</v>
      </c>
      <c r="BH536" s="1" t="b">
        <v>0</v>
      </c>
      <c r="BI536" s="1">
        <v>77.78</v>
      </c>
      <c r="BJ536" s="1">
        <v>75.0</v>
      </c>
      <c r="BK536" s="1" t="b">
        <v>0</v>
      </c>
      <c r="BL536" s="1" t="b">
        <v>1</v>
      </c>
      <c r="BM536" s="1">
        <v>13.121</v>
      </c>
      <c r="BN536" s="1">
        <v>14.568</v>
      </c>
      <c r="BO536" s="1" t="b">
        <v>0</v>
      </c>
      <c r="BP536" s="1" t="b">
        <v>0</v>
      </c>
      <c r="BQ536" s="1">
        <v>75.0</v>
      </c>
      <c r="BR536" s="1">
        <v>72.027</v>
      </c>
      <c r="BS536" s="1" t="b">
        <v>0</v>
      </c>
      <c r="BT536" s="1" t="b">
        <v>1</v>
      </c>
      <c r="BU536" s="1" t="s">
        <v>105</v>
      </c>
      <c r="BV536" s="1" t="s">
        <v>157</v>
      </c>
      <c r="BW536" s="1" t="s">
        <v>105</v>
      </c>
      <c r="BX536" s="1" t="s">
        <v>157</v>
      </c>
      <c r="BY536" s="1" t="s">
        <v>105</v>
      </c>
      <c r="BZ536" s="1" t="s">
        <v>157</v>
      </c>
      <c r="CA536" s="1" t="s">
        <v>105</v>
      </c>
      <c r="CB536" s="1" t="s">
        <v>157</v>
      </c>
      <c r="CC536" s="1" t="s">
        <v>105</v>
      </c>
      <c r="CD536" s="1" t="s">
        <v>157</v>
      </c>
      <c r="CE536" s="4"/>
      <c r="CF536" s="4"/>
    </row>
    <row r="537" hidden="1">
      <c r="A537" s="1" t="s">
        <v>82</v>
      </c>
      <c r="B537" s="1" t="s">
        <v>197</v>
      </c>
      <c r="C537" s="1">
        <v>5.0</v>
      </c>
      <c r="D537" s="5" t="s">
        <v>2378</v>
      </c>
      <c r="E537" s="1" t="s">
        <v>2379</v>
      </c>
      <c r="F537" s="1">
        <v>39.0</v>
      </c>
      <c r="G537" s="1">
        <v>0.5346</v>
      </c>
      <c r="H537" s="1" t="s">
        <v>2380</v>
      </c>
      <c r="I537" s="4" t="b">
        <f>IFERROR(__xludf.DUMMYFUNCTION("IF(H537="""",,REGEXMATCH(H537,""[א-ת]""))"),FALSE)</f>
        <v>0</v>
      </c>
      <c r="J537" s="4"/>
      <c r="K537" s="4"/>
      <c r="L537" s="1">
        <v>0.3818</v>
      </c>
      <c r="M537" s="1">
        <v>33.91</v>
      </c>
      <c r="N537" s="1">
        <v>48.72</v>
      </c>
      <c r="O537" s="1">
        <v>1.249230769</v>
      </c>
      <c r="P537" s="4"/>
      <c r="Q537" s="4"/>
      <c r="R537" s="1" t="s">
        <v>89</v>
      </c>
      <c r="S537" s="1" t="s">
        <v>2379</v>
      </c>
      <c r="T537" s="1" t="s">
        <v>197</v>
      </c>
      <c r="U537" s="1">
        <v>6.0</v>
      </c>
      <c r="V537" s="5" t="s">
        <v>2378</v>
      </c>
      <c r="W537" s="1" t="s">
        <v>2379</v>
      </c>
      <c r="X537" s="1" t="s">
        <v>2381</v>
      </c>
      <c r="Y537" s="4"/>
      <c r="Z537" s="4"/>
      <c r="AA537" s="4" t="b">
        <f>IFERROR(__xludf.DUMMYFUNCTION("IF(X537="""",,REGEXMATCH(X537,""[א-ת]""))"),TRUE)</f>
        <v>1</v>
      </c>
      <c r="AB537" s="1">
        <v>24.15</v>
      </c>
      <c r="AC537" s="1">
        <v>87.18</v>
      </c>
      <c r="AD537" s="1">
        <v>0.477218177010754</v>
      </c>
      <c r="AE537" s="1">
        <v>0.3818</v>
      </c>
      <c r="AF537" s="1">
        <v>0.5346</v>
      </c>
      <c r="AG537" s="1">
        <v>6.337</v>
      </c>
      <c r="AH537" s="1">
        <v>6.781</v>
      </c>
      <c r="AI537" s="1" t="b">
        <v>0</v>
      </c>
      <c r="AJ537" s="1" t="b">
        <v>0</v>
      </c>
      <c r="AK537" s="1">
        <v>94.182</v>
      </c>
      <c r="AL537" s="1">
        <v>96.508</v>
      </c>
      <c r="AM537" s="1" t="b">
        <v>0</v>
      </c>
      <c r="AN537" s="1" t="b">
        <v>0</v>
      </c>
      <c r="AO537" s="1">
        <v>8.05</v>
      </c>
      <c r="AP537" s="1">
        <v>8.53399999999999</v>
      </c>
      <c r="AQ537" s="1" t="b">
        <v>0</v>
      </c>
      <c r="AR537" s="1" t="b">
        <v>0</v>
      </c>
      <c r="AS537" s="1">
        <v>86.9179999999999</v>
      </c>
      <c r="AT537" s="1">
        <v>87.152</v>
      </c>
      <c r="AU537" s="1" t="b">
        <v>0</v>
      </c>
      <c r="AV537" s="1" t="b">
        <v>1</v>
      </c>
      <c r="AW537" s="1">
        <v>9.61399999999999</v>
      </c>
      <c r="AX537" s="1">
        <v>11.026</v>
      </c>
      <c r="AY537" s="1" t="b">
        <v>0</v>
      </c>
      <c r="AZ537" s="1" t="b">
        <v>0</v>
      </c>
      <c r="BA537" s="1">
        <v>81.25</v>
      </c>
      <c r="BB537" s="1">
        <v>77.78</v>
      </c>
      <c r="BC537" s="1" t="b">
        <v>0</v>
      </c>
      <c r="BD537" s="1" t="b">
        <v>1</v>
      </c>
      <c r="BE537" s="1">
        <v>11.34</v>
      </c>
      <c r="BF537" s="1">
        <v>13.285</v>
      </c>
      <c r="BG537" s="1" t="b">
        <v>0</v>
      </c>
      <c r="BH537" s="1" t="b">
        <v>0</v>
      </c>
      <c r="BI537" s="1">
        <v>77.78</v>
      </c>
      <c r="BJ537" s="1">
        <v>75.0</v>
      </c>
      <c r="BK537" s="1" t="b">
        <v>0</v>
      </c>
      <c r="BL537" s="1" t="b">
        <v>1</v>
      </c>
      <c r="BM537" s="1">
        <v>13.121</v>
      </c>
      <c r="BN537" s="1">
        <v>14.568</v>
      </c>
      <c r="BO537" s="1" t="b">
        <v>0</v>
      </c>
      <c r="BP537" s="1" t="b">
        <v>0</v>
      </c>
      <c r="BQ537" s="1">
        <v>75.0</v>
      </c>
      <c r="BR537" s="1">
        <v>72.027</v>
      </c>
      <c r="BS537" s="1" t="b">
        <v>0</v>
      </c>
      <c r="BT537" s="1" t="b">
        <v>1</v>
      </c>
      <c r="BU537" s="1" t="s">
        <v>105</v>
      </c>
      <c r="BV537" s="1" t="s">
        <v>105</v>
      </c>
      <c r="BW537" s="1" t="s">
        <v>105</v>
      </c>
      <c r="BX537" s="1" t="s">
        <v>157</v>
      </c>
      <c r="BY537" s="1" t="s">
        <v>105</v>
      </c>
      <c r="BZ537" s="1" t="s">
        <v>157</v>
      </c>
      <c r="CA537" s="1" t="s">
        <v>105</v>
      </c>
      <c r="CB537" s="1" t="s">
        <v>157</v>
      </c>
      <c r="CC537" s="1" t="s">
        <v>105</v>
      </c>
      <c r="CD537" s="1" t="s">
        <v>157</v>
      </c>
      <c r="CE537" s="4"/>
      <c r="CF537" s="4"/>
    </row>
    <row r="538" hidden="1">
      <c r="A538" s="1" t="s">
        <v>82</v>
      </c>
      <c r="B538" s="1" t="s">
        <v>251</v>
      </c>
      <c r="C538" s="1">
        <v>9.0</v>
      </c>
      <c r="D538" s="5" t="s">
        <v>2382</v>
      </c>
      <c r="E538" s="1" t="s">
        <v>2383</v>
      </c>
      <c r="F538" s="1">
        <v>90.0</v>
      </c>
      <c r="G538" s="1">
        <v>-0.1144</v>
      </c>
      <c r="H538" s="1" t="s">
        <v>2384</v>
      </c>
      <c r="I538" s="4" t="b">
        <f>IFERROR(__xludf.DUMMYFUNCTION("IF(H538="""",,REGEXMATCH(H538,""[א-ת]""))"),FALSE)</f>
        <v>0</v>
      </c>
      <c r="J538" s="4"/>
      <c r="K538" s="4"/>
      <c r="L538" s="1">
        <v>-0.4238</v>
      </c>
      <c r="M538" s="1">
        <v>33.97</v>
      </c>
      <c r="N538" s="1">
        <v>51.11</v>
      </c>
      <c r="O538" s="1">
        <v>0.5678888889</v>
      </c>
      <c r="P538" s="4"/>
      <c r="Q538" s="4"/>
      <c r="R538" s="1" t="s">
        <v>89</v>
      </c>
      <c r="S538" s="1" t="s">
        <v>2383</v>
      </c>
      <c r="T538" s="1" t="s">
        <v>251</v>
      </c>
      <c r="U538" s="1">
        <v>10.0</v>
      </c>
      <c r="V538" s="5" t="s">
        <v>2382</v>
      </c>
      <c r="W538" s="1" t="s">
        <v>2383</v>
      </c>
      <c r="X538" s="1" t="s">
        <v>2385</v>
      </c>
      <c r="Y538" s="4"/>
      <c r="Z538" s="4"/>
      <c r="AA538" s="4" t="b">
        <f>IFERROR(__xludf.DUMMYFUNCTION("IF(X538="""",,REGEXMATCH(X538,""[א-ת]""))"),FALSE)</f>
        <v>0</v>
      </c>
      <c r="AB538" s="1">
        <v>22.99</v>
      </c>
      <c r="AC538" s="1">
        <v>60.0</v>
      </c>
      <c r="AD538" s="1">
        <v>0.593711076669977</v>
      </c>
      <c r="AE538" s="1">
        <v>-0.8542</v>
      </c>
      <c r="AF538" s="1">
        <v>-0.1144</v>
      </c>
      <c r="AG538" s="1">
        <v>6.337</v>
      </c>
      <c r="AH538" s="1">
        <v>6.781</v>
      </c>
      <c r="AI538" s="1" t="b">
        <v>0</v>
      </c>
      <c r="AJ538" s="1" t="b">
        <v>0</v>
      </c>
      <c r="AK538" s="1">
        <v>94.182</v>
      </c>
      <c r="AL538" s="1">
        <v>96.508</v>
      </c>
      <c r="AM538" s="1" t="b">
        <v>0</v>
      </c>
      <c r="AN538" s="1" t="b">
        <v>0</v>
      </c>
      <c r="AO538" s="1">
        <v>8.05</v>
      </c>
      <c r="AP538" s="1">
        <v>8.53399999999999</v>
      </c>
      <c r="AQ538" s="1" t="b">
        <v>0</v>
      </c>
      <c r="AR538" s="1" t="b">
        <v>0</v>
      </c>
      <c r="AS538" s="1">
        <v>86.9179999999999</v>
      </c>
      <c r="AT538" s="1">
        <v>87.152</v>
      </c>
      <c r="AU538" s="1" t="b">
        <v>0</v>
      </c>
      <c r="AV538" s="1" t="b">
        <v>0</v>
      </c>
      <c r="AW538" s="1">
        <v>9.61399999999999</v>
      </c>
      <c r="AX538" s="1">
        <v>11.026</v>
      </c>
      <c r="AY538" s="1" t="b">
        <v>0</v>
      </c>
      <c r="AZ538" s="1" t="b">
        <v>0</v>
      </c>
      <c r="BA538" s="1">
        <v>81.25</v>
      </c>
      <c r="BB538" s="1">
        <v>77.78</v>
      </c>
      <c r="BC538" s="1" t="b">
        <v>0</v>
      </c>
      <c r="BD538" s="1" t="b">
        <v>0</v>
      </c>
      <c r="BE538" s="1">
        <v>11.34</v>
      </c>
      <c r="BF538" s="1">
        <v>13.285</v>
      </c>
      <c r="BG538" s="1" t="b">
        <v>0</v>
      </c>
      <c r="BH538" s="1" t="b">
        <v>0</v>
      </c>
      <c r="BI538" s="1">
        <v>77.78</v>
      </c>
      <c r="BJ538" s="1">
        <v>75.0</v>
      </c>
      <c r="BK538" s="1" t="b">
        <v>0</v>
      </c>
      <c r="BL538" s="1" t="b">
        <v>0</v>
      </c>
      <c r="BM538" s="1">
        <v>13.121</v>
      </c>
      <c r="BN538" s="1">
        <v>14.568</v>
      </c>
      <c r="BO538" s="1" t="b">
        <v>0</v>
      </c>
      <c r="BP538" s="1" t="b">
        <v>0</v>
      </c>
      <c r="BQ538" s="1">
        <v>75.0</v>
      </c>
      <c r="BR538" s="1">
        <v>72.027</v>
      </c>
      <c r="BS538" s="1" t="b">
        <v>0</v>
      </c>
      <c r="BT538" s="1" t="b">
        <v>0</v>
      </c>
      <c r="BU538" s="1" t="s">
        <v>105</v>
      </c>
      <c r="BV538" s="1" t="s">
        <v>105</v>
      </c>
      <c r="BW538" s="1" t="s">
        <v>105</v>
      </c>
      <c r="BX538" s="1" t="s">
        <v>105</v>
      </c>
      <c r="BY538" s="1" t="s">
        <v>105</v>
      </c>
      <c r="BZ538" s="1" t="s">
        <v>105</v>
      </c>
      <c r="CA538" s="1" t="s">
        <v>105</v>
      </c>
      <c r="CB538" s="1" t="s">
        <v>105</v>
      </c>
      <c r="CC538" s="1" t="s">
        <v>105</v>
      </c>
      <c r="CD538" s="1" t="s">
        <v>105</v>
      </c>
      <c r="CE538" s="4"/>
      <c r="CF538" s="4"/>
    </row>
    <row r="539" hidden="1">
      <c r="A539" s="1" t="s">
        <v>82</v>
      </c>
      <c r="B539" s="1" t="s">
        <v>176</v>
      </c>
      <c r="C539" s="1">
        <v>13.0</v>
      </c>
      <c r="D539" s="5" t="s">
        <v>2386</v>
      </c>
      <c r="E539" s="1" t="s">
        <v>2387</v>
      </c>
      <c r="F539" s="1">
        <v>75.0</v>
      </c>
      <c r="G539" s="1">
        <v>0.9638</v>
      </c>
      <c r="H539" s="1" t="s">
        <v>2388</v>
      </c>
      <c r="I539" s="4" t="b">
        <f>IFERROR(__xludf.DUMMYFUNCTION("IF(H539="""",,REGEXMATCH(H539,""[א-ת]""))"),FALSE)</f>
        <v>0</v>
      </c>
      <c r="J539" s="4"/>
      <c r="K539" s="4"/>
      <c r="L539" s="1">
        <v>0.9687</v>
      </c>
      <c r="M539" s="1">
        <v>34.08</v>
      </c>
      <c r="N539" s="1">
        <v>48.0</v>
      </c>
      <c r="O539" s="1">
        <v>0.64</v>
      </c>
      <c r="P539" s="4"/>
      <c r="Q539" s="4"/>
      <c r="R539" s="1" t="s">
        <v>89</v>
      </c>
      <c r="S539" s="1" t="s">
        <v>2387</v>
      </c>
      <c r="T539" s="1" t="s">
        <v>176</v>
      </c>
      <c r="U539" s="1">
        <v>14.0</v>
      </c>
      <c r="V539" s="5" t="s">
        <v>2386</v>
      </c>
      <c r="W539" s="1" t="s">
        <v>2387</v>
      </c>
      <c r="X539" s="1" t="s">
        <v>2389</v>
      </c>
      <c r="Y539" s="4"/>
      <c r="Z539" s="4"/>
      <c r="AA539" s="4" t="b">
        <f>IFERROR(__xludf.DUMMYFUNCTION("IF(X539="""",,REGEXMATCH(X539,""[א-ת]""))"),FALSE)</f>
        <v>0</v>
      </c>
      <c r="AB539" s="1">
        <v>33.93</v>
      </c>
      <c r="AC539" s="1">
        <v>40.0</v>
      </c>
      <c r="AD539" s="1">
        <v>0.628646014085074</v>
      </c>
      <c r="AE539" s="1">
        <v>0.9661</v>
      </c>
      <c r="AF539" s="1">
        <v>0.9638</v>
      </c>
      <c r="AG539" s="1">
        <v>6.337</v>
      </c>
      <c r="AH539" s="1">
        <v>6.781</v>
      </c>
      <c r="AI539" s="1" t="b">
        <v>0</v>
      </c>
      <c r="AJ539" s="1" t="b">
        <v>0</v>
      </c>
      <c r="AK539" s="1">
        <v>94.182</v>
      </c>
      <c r="AL539" s="1">
        <v>96.508</v>
      </c>
      <c r="AM539" s="1" t="b">
        <v>0</v>
      </c>
      <c r="AN539" s="1" t="b">
        <v>0</v>
      </c>
      <c r="AO539" s="1">
        <v>8.05</v>
      </c>
      <c r="AP539" s="1">
        <v>8.53399999999999</v>
      </c>
      <c r="AQ539" s="1" t="b">
        <v>0</v>
      </c>
      <c r="AR539" s="1" t="b">
        <v>0</v>
      </c>
      <c r="AS539" s="1">
        <v>86.9179999999999</v>
      </c>
      <c r="AT539" s="1">
        <v>87.152</v>
      </c>
      <c r="AU539" s="1" t="b">
        <v>0</v>
      </c>
      <c r="AV539" s="1" t="b">
        <v>0</v>
      </c>
      <c r="AW539" s="1">
        <v>9.61399999999999</v>
      </c>
      <c r="AX539" s="1">
        <v>11.026</v>
      </c>
      <c r="AY539" s="1" t="b">
        <v>0</v>
      </c>
      <c r="AZ539" s="1" t="b">
        <v>0</v>
      </c>
      <c r="BA539" s="1">
        <v>81.25</v>
      </c>
      <c r="BB539" s="1">
        <v>77.78</v>
      </c>
      <c r="BC539" s="1" t="b">
        <v>0</v>
      </c>
      <c r="BD539" s="1" t="b">
        <v>0</v>
      </c>
      <c r="BE539" s="1">
        <v>11.34</v>
      </c>
      <c r="BF539" s="1">
        <v>13.285</v>
      </c>
      <c r="BG539" s="1" t="b">
        <v>0</v>
      </c>
      <c r="BH539" s="1" t="b">
        <v>0</v>
      </c>
      <c r="BI539" s="1">
        <v>77.78</v>
      </c>
      <c r="BJ539" s="1">
        <v>75.0</v>
      </c>
      <c r="BK539" s="1" t="b">
        <v>0</v>
      </c>
      <c r="BL539" s="1" t="b">
        <v>0</v>
      </c>
      <c r="BM539" s="1">
        <v>13.121</v>
      </c>
      <c r="BN539" s="1">
        <v>14.568</v>
      </c>
      <c r="BO539" s="1" t="b">
        <v>0</v>
      </c>
      <c r="BP539" s="1" t="b">
        <v>0</v>
      </c>
      <c r="BQ539" s="1">
        <v>75.0</v>
      </c>
      <c r="BR539" s="1">
        <v>72.027</v>
      </c>
      <c r="BS539" s="1" t="b">
        <v>0</v>
      </c>
      <c r="BT539" s="1" t="b">
        <v>0</v>
      </c>
      <c r="BU539" s="1" t="s">
        <v>105</v>
      </c>
      <c r="BV539" s="1" t="s">
        <v>105</v>
      </c>
      <c r="BW539" s="1" t="s">
        <v>105</v>
      </c>
      <c r="BX539" s="1" t="s">
        <v>105</v>
      </c>
      <c r="BY539" s="1" t="s">
        <v>105</v>
      </c>
      <c r="BZ539" s="1" t="s">
        <v>105</v>
      </c>
      <c r="CA539" s="1" t="s">
        <v>105</v>
      </c>
      <c r="CB539" s="1" t="s">
        <v>105</v>
      </c>
      <c r="CC539" s="1" t="s">
        <v>105</v>
      </c>
      <c r="CD539" s="1" t="s">
        <v>105</v>
      </c>
      <c r="CE539" s="4"/>
      <c r="CF539" s="4"/>
    </row>
    <row r="540" hidden="1">
      <c r="A540" s="1" t="s">
        <v>82</v>
      </c>
      <c r="B540" s="1" t="s">
        <v>83</v>
      </c>
      <c r="C540" s="1">
        <v>7.0</v>
      </c>
      <c r="D540" s="5" t="s">
        <v>2390</v>
      </c>
      <c r="E540" s="1" t="s">
        <v>2391</v>
      </c>
      <c r="F540" s="1">
        <v>48.0</v>
      </c>
      <c r="G540" s="1">
        <v>0.0</v>
      </c>
      <c r="H540" s="1" t="s">
        <v>2392</v>
      </c>
      <c r="I540" s="4" t="b">
        <f>IFERROR(__xludf.DUMMYFUNCTION("IF(H540="""",,REGEXMATCH(H540,""[א-ת]""))"),FALSE)</f>
        <v>0</v>
      </c>
      <c r="J540" s="4"/>
      <c r="K540" s="4"/>
      <c r="L540" s="1">
        <v>0.0</v>
      </c>
      <c r="M540" s="1">
        <v>34.12</v>
      </c>
      <c r="N540" s="1">
        <v>50.0</v>
      </c>
      <c r="O540" s="1">
        <v>1.041666667</v>
      </c>
      <c r="P540" s="4"/>
      <c r="Q540" s="4"/>
      <c r="R540" s="1" t="s">
        <v>89</v>
      </c>
      <c r="S540" s="1" t="s">
        <v>2391</v>
      </c>
      <c r="T540" s="1" t="s">
        <v>83</v>
      </c>
      <c r="U540" s="1">
        <v>8.0</v>
      </c>
      <c r="V540" s="5" t="s">
        <v>2390</v>
      </c>
      <c r="W540" s="1" t="s">
        <v>2391</v>
      </c>
      <c r="X540" s="1" t="s">
        <v>2393</v>
      </c>
      <c r="Y540" s="4"/>
      <c r="Z540" s="4"/>
      <c r="AA540" s="4" t="b">
        <f>IFERROR(__xludf.DUMMYFUNCTION("IF(X540="""",,REGEXMATCH(X540,""[א-ת]""))"),FALSE)</f>
        <v>0</v>
      </c>
      <c r="AB540" s="1">
        <v>30.03</v>
      </c>
      <c r="AC540" s="1">
        <v>50.0</v>
      </c>
      <c r="AD540" s="1">
        <v>0.686986801559932</v>
      </c>
      <c r="AE540" s="1">
        <v>0.0</v>
      </c>
      <c r="AF540" s="1">
        <v>0.0</v>
      </c>
      <c r="AG540" s="1">
        <v>6.337</v>
      </c>
      <c r="AH540" s="1">
        <v>6.781</v>
      </c>
      <c r="AI540" s="1" t="b">
        <v>0</v>
      </c>
      <c r="AJ540" s="1" t="b">
        <v>0</v>
      </c>
      <c r="AK540" s="1">
        <v>94.182</v>
      </c>
      <c r="AL540" s="1">
        <v>96.508</v>
      </c>
      <c r="AM540" s="1" t="b">
        <v>0</v>
      </c>
      <c r="AN540" s="1" t="b">
        <v>0</v>
      </c>
      <c r="AO540" s="1">
        <v>8.05</v>
      </c>
      <c r="AP540" s="1">
        <v>8.53399999999999</v>
      </c>
      <c r="AQ540" s="1" t="b">
        <v>0</v>
      </c>
      <c r="AR540" s="1" t="b">
        <v>0</v>
      </c>
      <c r="AS540" s="1">
        <v>86.9179999999999</v>
      </c>
      <c r="AT540" s="1">
        <v>87.152</v>
      </c>
      <c r="AU540" s="1" t="b">
        <v>0</v>
      </c>
      <c r="AV540" s="1" t="b">
        <v>0</v>
      </c>
      <c r="AW540" s="1">
        <v>9.61399999999999</v>
      </c>
      <c r="AX540" s="1">
        <v>11.026</v>
      </c>
      <c r="AY540" s="1" t="b">
        <v>0</v>
      </c>
      <c r="AZ540" s="1" t="b">
        <v>0</v>
      </c>
      <c r="BA540" s="1">
        <v>81.25</v>
      </c>
      <c r="BB540" s="1">
        <v>77.78</v>
      </c>
      <c r="BC540" s="1" t="b">
        <v>0</v>
      </c>
      <c r="BD540" s="1" t="b">
        <v>0</v>
      </c>
      <c r="BE540" s="1">
        <v>11.34</v>
      </c>
      <c r="BF540" s="1">
        <v>13.285</v>
      </c>
      <c r="BG540" s="1" t="b">
        <v>0</v>
      </c>
      <c r="BH540" s="1" t="b">
        <v>0</v>
      </c>
      <c r="BI540" s="1">
        <v>77.78</v>
      </c>
      <c r="BJ540" s="1">
        <v>75.0</v>
      </c>
      <c r="BK540" s="1" t="b">
        <v>0</v>
      </c>
      <c r="BL540" s="1" t="b">
        <v>0</v>
      </c>
      <c r="BM540" s="1">
        <v>13.121</v>
      </c>
      <c r="BN540" s="1">
        <v>14.568</v>
      </c>
      <c r="BO540" s="1" t="b">
        <v>0</v>
      </c>
      <c r="BP540" s="1" t="b">
        <v>0</v>
      </c>
      <c r="BQ540" s="1">
        <v>75.0</v>
      </c>
      <c r="BR540" s="1">
        <v>72.027</v>
      </c>
      <c r="BS540" s="1" t="b">
        <v>0</v>
      </c>
      <c r="BT540" s="1" t="b">
        <v>0</v>
      </c>
      <c r="BU540" s="1" t="s">
        <v>105</v>
      </c>
      <c r="BV540" s="1" t="s">
        <v>105</v>
      </c>
      <c r="BW540" s="1" t="s">
        <v>105</v>
      </c>
      <c r="BX540" s="1" t="s">
        <v>105</v>
      </c>
      <c r="BY540" s="1" t="s">
        <v>105</v>
      </c>
      <c r="BZ540" s="1" t="s">
        <v>105</v>
      </c>
      <c r="CA540" s="1" t="s">
        <v>105</v>
      </c>
      <c r="CB540" s="1" t="s">
        <v>105</v>
      </c>
      <c r="CC540" s="1" t="s">
        <v>105</v>
      </c>
      <c r="CD540" s="1" t="s">
        <v>105</v>
      </c>
      <c r="CE540" s="4"/>
      <c r="CF540" s="4"/>
    </row>
    <row r="541" hidden="1">
      <c r="A541" s="1" t="s">
        <v>82</v>
      </c>
      <c r="B541" s="1" t="s">
        <v>111</v>
      </c>
      <c r="C541" s="1">
        <v>6.0</v>
      </c>
      <c r="D541" s="5" t="s">
        <v>2394</v>
      </c>
      <c r="E541" s="1" t="s">
        <v>2395</v>
      </c>
      <c r="F541" s="1">
        <v>51.0</v>
      </c>
      <c r="G541" s="1">
        <v>0.7506</v>
      </c>
      <c r="H541" s="1" t="s">
        <v>2396</v>
      </c>
      <c r="I541" s="4" t="b">
        <f>IFERROR(__xludf.DUMMYFUNCTION("IF(H541="""",,REGEXMATCH(H541,""[א-ת]""))"),FALSE)</f>
        <v>0</v>
      </c>
      <c r="J541" s="4"/>
      <c r="K541" s="4"/>
      <c r="L541" s="1">
        <v>0.7506</v>
      </c>
      <c r="M541" s="1">
        <v>34.28</v>
      </c>
      <c r="N541" s="1">
        <v>50.98</v>
      </c>
      <c r="O541" s="1">
        <v>0.9996078431</v>
      </c>
      <c r="P541" s="4"/>
      <c r="Q541" s="4"/>
      <c r="R541" s="1" t="s">
        <v>89</v>
      </c>
      <c r="S541" s="1" t="s">
        <v>2395</v>
      </c>
      <c r="T541" s="1" t="s">
        <v>111</v>
      </c>
      <c r="U541" s="1">
        <v>7.0</v>
      </c>
      <c r="V541" s="5" t="s">
        <v>2394</v>
      </c>
      <c r="W541" s="1" t="s">
        <v>2395</v>
      </c>
      <c r="X541" s="1" t="s">
        <v>2397</v>
      </c>
      <c r="Y541" s="4"/>
      <c r="Z541" s="4"/>
      <c r="AA541" s="4" t="b">
        <f>IFERROR(__xludf.DUMMYFUNCTION("IF(X541="""",,REGEXMATCH(X541,""[א-ת]""))"),FALSE)</f>
        <v>0</v>
      </c>
      <c r="AB541" s="1">
        <v>8.35</v>
      </c>
      <c r="AC541" s="1">
        <v>56.86</v>
      </c>
      <c r="AD541" s="1">
        <v>0.452624922268036</v>
      </c>
      <c r="AE541" s="1">
        <v>0.7506</v>
      </c>
      <c r="AF541" s="1">
        <v>0.7506</v>
      </c>
      <c r="AG541" s="1">
        <v>6.337</v>
      </c>
      <c r="AH541" s="1">
        <v>6.781</v>
      </c>
      <c r="AI541" s="1" t="b">
        <v>0</v>
      </c>
      <c r="AJ541" s="1" t="b">
        <v>0</v>
      </c>
      <c r="AK541" s="1">
        <v>94.182</v>
      </c>
      <c r="AL541" s="1">
        <v>96.508</v>
      </c>
      <c r="AM541" s="1" t="b">
        <v>0</v>
      </c>
      <c r="AN541" s="1" t="b">
        <v>0</v>
      </c>
      <c r="AO541" s="1">
        <v>8.05</v>
      </c>
      <c r="AP541" s="1">
        <v>8.53399999999999</v>
      </c>
      <c r="AQ541" s="1" t="b">
        <v>0</v>
      </c>
      <c r="AR541" s="1" t="b">
        <v>1</v>
      </c>
      <c r="AS541" s="1">
        <v>86.9179999999999</v>
      </c>
      <c r="AT541" s="1">
        <v>87.152</v>
      </c>
      <c r="AU541" s="1" t="b">
        <v>0</v>
      </c>
      <c r="AV541" s="1" t="b">
        <v>0</v>
      </c>
      <c r="AW541" s="1">
        <v>9.61399999999999</v>
      </c>
      <c r="AX541" s="1">
        <v>11.026</v>
      </c>
      <c r="AY541" s="1" t="b">
        <v>0</v>
      </c>
      <c r="AZ541" s="1" t="b">
        <v>1</v>
      </c>
      <c r="BA541" s="1">
        <v>81.25</v>
      </c>
      <c r="BB541" s="1">
        <v>77.78</v>
      </c>
      <c r="BC541" s="1" t="b">
        <v>0</v>
      </c>
      <c r="BD541" s="1" t="b">
        <v>0</v>
      </c>
      <c r="BE541" s="1">
        <v>11.34</v>
      </c>
      <c r="BF541" s="1">
        <v>13.285</v>
      </c>
      <c r="BG541" s="1" t="b">
        <v>0</v>
      </c>
      <c r="BH541" s="1" t="b">
        <v>1</v>
      </c>
      <c r="BI541" s="1">
        <v>77.78</v>
      </c>
      <c r="BJ541" s="1">
        <v>75.0</v>
      </c>
      <c r="BK541" s="1" t="b">
        <v>0</v>
      </c>
      <c r="BL541" s="1" t="b">
        <v>0</v>
      </c>
      <c r="BM541" s="1">
        <v>13.121</v>
      </c>
      <c r="BN541" s="1">
        <v>14.568</v>
      </c>
      <c r="BO541" s="1" t="b">
        <v>0</v>
      </c>
      <c r="BP541" s="1" t="b">
        <v>1</v>
      </c>
      <c r="BQ541" s="1">
        <v>75.0</v>
      </c>
      <c r="BR541" s="1">
        <v>72.027</v>
      </c>
      <c r="BS541" s="1" t="b">
        <v>0</v>
      </c>
      <c r="BT541" s="1" t="b">
        <v>0</v>
      </c>
      <c r="BU541" s="1" t="s">
        <v>105</v>
      </c>
      <c r="BV541" s="1" t="s">
        <v>105</v>
      </c>
      <c r="BW541" s="1" t="s">
        <v>157</v>
      </c>
      <c r="BX541" s="1" t="s">
        <v>105</v>
      </c>
      <c r="BY541" s="1" t="s">
        <v>157</v>
      </c>
      <c r="BZ541" s="1" t="s">
        <v>105</v>
      </c>
      <c r="CA541" s="1" t="s">
        <v>157</v>
      </c>
      <c r="CB541" s="1" t="s">
        <v>105</v>
      </c>
      <c r="CC541" s="1" t="s">
        <v>157</v>
      </c>
      <c r="CD541" s="1" t="s">
        <v>105</v>
      </c>
      <c r="CE541" s="4"/>
      <c r="CF541" s="4"/>
    </row>
    <row r="542" hidden="1">
      <c r="A542" s="1" t="s">
        <v>82</v>
      </c>
      <c r="B542" s="1" t="s">
        <v>92</v>
      </c>
      <c r="C542" s="1">
        <v>35.0</v>
      </c>
      <c r="D542" s="5" t="s">
        <v>2398</v>
      </c>
      <c r="E542" s="1" t="s">
        <v>2399</v>
      </c>
      <c r="F542" s="1">
        <v>63.0</v>
      </c>
      <c r="G542" s="1">
        <v>-0.4404</v>
      </c>
      <c r="H542" s="1" t="s">
        <v>2400</v>
      </c>
      <c r="I542" s="4" t="b">
        <f>IFERROR(__xludf.DUMMYFUNCTION("IF(H542="""",,REGEXMATCH(H542,""[א-ת]""))"),FALSE)</f>
        <v>0</v>
      </c>
      <c r="J542" s="4"/>
      <c r="K542" s="4"/>
      <c r="L542" s="1">
        <v>0.0</v>
      </c>
      <c r="M542" s="1">
        <v>34.31</v>
      </c>
      <c r="N542" s="1">
        <v>49.21</v>
      </c>
      <c r="O542" s="1">
        <v>0.7811111111</v>
      </c>
      <c r="P542" s="4"/>
      <c r="Q542" s="4"/>
      <c r="R542" s="1" t="s">
        <v>96</v>
      </c>
      <c r="S542" s="1" t="s">
        <v>2399</v>
      </c>
      <c r="T542" s="1" t="s">
        <v>92</v>
      </c>
      <c r="U542" s="1">
        <v>36.0</v>
      </c>
      <c r="V542" s="5" t="s">
        <v>2398</v>
      </c>
      <c r="W542" s="1" t="s">
        <v>2399</v>
      </c>
      <c r="X542" s="1" t="s">
        <v>2401</v>
      </c>
      <c r="Y542" s="4"/>
      <c r="Z542" s="4"/>
      <c r="AA542" s="4" t="b">
        <f>IFERROR(__xludf.DUMMYFUNCTION("IF(X542="""",,REGEXMATCH(X542,""[א-ת]""))"),FALSE)</f>
        <v>0</v>
      </c>
      <c r="AB542" s="1">
        <v>27.89</v>
      </c>
      <c r="AC542" s="1">
        <v>46.03</v>
      </c>
      <c r="AD542" s="1">
        <v>0.785538449349731</v>
      </c>
      <c r="AE542" s="1">
        <v>0.0</v>
      </c>
      <c r="AF542" s="1">
        <v>-0.4404</v>
      </c>
      <c r="AG542" s="1">
        <v>6.337</v>
      </c>
      <c r="AH542" s="1">
        <v>6.781</v>
      </c>
      <c r="AI542" s="1" t="b">
        <v>0</v>
      </c>
      <c r="AJ542" s="1" t="b">
        <v>0</v>
      </c>
      <c r="AK542" s="1">
        <v>94.182</v>
      </c>
      <c r="AL542" s="1">
        <v>96.508</v>
      </c>
      <c r="AM542" s="1" t="b">
        <v>0</v>
      </c>
      <c r="AN542" s="1" t="b">
        <v>0</v>
      </c>
      <c r="AO542" s="1">
        <v>8.05</v>
      </c>
      <c r="AP542" s="1">
        <v>8.53399999999999</v>
      </c>
      <c r="AQ542" s="1" t="b">
        <v>0</v>
      </c>
      <c r="AR542" s="1" t="b">
        <v>0</v>
      </c>
      <c r="AS542" s="1">
        <v>86.9179999999999</v>
      </c>
      <c r="AT542" s="1">
        <v>87.152</v>
      </c>
      <c r="AU542" s="1" t="b">
        <v>0</v>
      </c>
      <c r="AV542" s="1" t="b">
        <v>0</v>
      </c>
      <c r="AW542" s="1">
        <v>9.61399999999999</v>
      </c>
      <c r="AX542" s="1">
        <v>11.026</v>
      </c>
      <c r="AY542" s="1" t="b">
        <v>0</v>
      </c>
      <c r="AZ542" s="1" t="b">
        <v>0</v>
      </c>
      <c r="BA542" s="1">
        <v>81.25</v>
      </c>
      <c r="BB542" s="1">
        <v>77.78</v>
      </c>
      <c r="BC542" s="1" t="b">
        <v>0</v>
      </c>
      <c r="BD542" s="1" t="b">
        <v>0</v>
      </c>
      <c r="BE542" s="1">
        <v>11.34</v>
      </c>
      <c r="BF542" s="1">
        <v>13.285</v>
      </c>
      <c r="BG542" s="1" t="b">
        <v>0</v>
      </c>
      <c r="BH542" s="1" t="b">
        <v>0</v>
      </c>
      <c r="BI542" s="1">
        <v>77.78</v>
      </c>
      <c r="BJ542" s="1">
        <v>75.0</v>
      </c>
      <c r="BK542" s="1" t="b">
        <v>0</v>
      </c>
      <c r="BL542" s="1" t="b">
        <v>0</v>
      </c>
      <c r="BM542" s="1">
        <v>13.121</v>
      </c>
      <c r="BN542" s="1">
        <v>14.568</v>
      </c>
      <c r="BO542" s="1" t="b">
        <v>0</v>
      </c>
      <c r="BP542" s="1" t="b">
        <v>0</v>
      </c>
      <c r="BQ542" s="1">
        <v>75.0</v>
      </c>
      <c r="BR542" s="1">
        <v>72.027</v>
      </c>
      <c r="BS542" s="1" t="b">
        <v>0</v>
      </c>
      <c r="BT542" s="1" t="b">
        <v>0</v>
      </c>
      <c r="BU542" s="1" t="s">
        <v>105</v>
      </c>
      <c r="BV542" s="1" t="s">
        <v>105</v>
      </c>
      <c r="BW542" s="1" t="s">
        <v>105</v>
      </c>
      <c r="BX542" s="1" t="s">
        <v>105</v>
      </c>
      <c r="BY542" s="1" t="s">
        <v>105</v>
      </c>
      <c r="BZ542" s="1" t="s">
        <v>105</v>
      </c>
      <c r="CA542" s="1" t="s">
        <v>105</v>
      </c>
      <c r="CB542" s="1" t="s">
        <v>105</v>
      </c>
      <c r="CC542" s="1" t="s">
        <v>105</v>
      </c>
      <c r="CD542" s="1" t="s">
        <v>105</v>
      </c>
      <c r="CE542" s="4"/>
      <c r="CF542" s="4"/>
    </row>
    <row r="543" hidden="1">
      <c r="A543" s="1" t="s">
        <v>82</v>
      </c>
      <c r="B543" s="1" t="s">
        <v>83</v>
      </c>
      <c r="C543" s="1">
        <v>20.0</v>
      </c>
      <c r="D543" s="5" t="s">
        <v>2402</v>
      </c>
      <c r="E543" s="1" t="s">
        <v>2403</v>
      </c>
      <c r="F543" s="1">
        <v>27.0</v>
      </c>
      <c r="G543" s="1">
        <v>0.0</v>
      </c>
      <c r="H543" s="1" t="s">
        <v>2404</v>
      </c>
      <c r="I543" s="4" t="b">
        <f>IFERROR(__xludf.DUMMYFUNCTION("IF(H543="""",,REGEXMATCH(H543,""[א-ת]""))"),FALSE)</f>
        <v>0</v>
      </c>
      <c r="J543" s="1" t="s">
        <v>1233</v>
      </c>
      <c r="K543" s="4"/>
      <c r="L543" s="1">
        <v>0.0</v>
      </c>
      <c r="M543" s="1">
        <v>34.42</v>
      </c>
      <c r="N543" s="1">
        <v>59.26</v>
      </c>
      <c r="O543" s="1">
        <v>2.194814815</v>
      </c>
      <c r="P543" s="4"/>
      <c r="Q543" s="4"/>
      <c r="R543" s="1" t="s">
        <v>89</v>
      </c>
      <c r="S543" s="1" t="s">
        <v>2403</v>
      </c>
      <c r="T543" s="1" t="s">
        <v>83</v>
      </c>
      <c r="U543" s="1">
        <v>21.0</v>
      </c>
      <c r="V543" s="5" t="s">
        <v>2402</v>
      </c>
      <c r="W543" s="1" t="s">
        <v>2403</v>
      </c>
      <c r="X543" s="1" t="s">
        <v>2405</v>
      </c>
      <c r="Y543" s="4"/>
      <c r="Z543" s="4"/>
      <c r="AA543" s="4" t="b">
        <f>IFERROR(__xludf.DUMMYFUNCTION("IF(X543="""",,REGEXMATCH(X543,""[א-ת]""))"),FALSE)</f>
        <v>0</v>
      </c>
      <c r="AB543" s="1">
        <v>35.51</v>
      </c>
      <c r="AC543" s="1">
        <v>51.85</v>
      </c>
      <c r="AD543" s="1">
        <v>0.55158251259777</v>
      </c>
      <c r="AE543" s="1">
        <v>0.0</v>
      </c>
      <c r="AF543" s="1">
        <v>0.0</v>
      </c>
      <c r="AG543" s="1">
        <v>6.337</v>
      </c>
      <c r="AH543" s="1">
        <v>6.781</v>
      </c>
      <c r="AI543" s="1" t="b">
        <v>0</v>
      </c>
      <c r="AJ543" s="1" t="b">
        <v>0</v>
      </c>
      <c r="AK543" s="1">
        <v>94.182</v>
      </c>
      <c r="AL543" s="1">
        <v>96.508</v>
      </c>
      <c r="AM543" s="1" t="b">
        <v>0</v>
      </c>
      <c r="AN543" s="1" t="b">
        <v>0</v>
      </c>
      <c r="AO543" s="1">
        <v>8.05</v>
      </c>
      <c r="AP543" s="1">
        <v>8.53399999999999</v>
      </c>
      <c r="AQ543" s="1" t="b">
        <v>0</v>
      </c>
      <c r="AR543" s="1" t="b">
        <v>0</v>
      </c>
      <c r="AS543" s="1">
        <v>86.9179999999999</v>
      </c>
      <c r="AT543" s="1">
        <v>87.152</v>
      </c>
      <c r="AU543" s="1" t="b">
        <v>0</v>
      </c>
      <c r="AV543" s="1" t="b">
        <v>0</v>
      </c>
      <c r="AW543" s="1">
        <v>9.61399999999999</v>
      </c>
      <c r="AX543" s="1">
        <v>11.026</v>
      </c>
      <c r="AY543" s="1" t="b">
        <v>0</v>
      </c>
      <c r="AZ543" s="1" t="b">
        <v>0</v>
      </c>
      <c r="BA543" s="1">
        <v>81.25</v>
      </c>
      <c r="BB543" s="1">
        <v>77.78</v>
      </c>
      <c r="BC543" s="1" t="b">
        <v>0</v>
      </c>
      <c r="BD543" s="1" t="b">
        <v>0</v>
      </c>
      <c r="BE543" s="1">
        <v>11.34</v>
      </c>
      <c r="BF543" s="1">
        <v>13.285</v>
      </c>
      <c r="BG543" s="1" t="b">
        <v>0</v>
      </c>
      <c r="BH543" s="1" t="b">
        <v>0</v>
      </c>
      <c r="BI543" s="1">
        <v>77.78</v>
      </c>
      <c r="BJ543" s="1">
        <v>75.0</v>
      </c>
      <c r="BK543" s="1" t="b">
        <v>0</v>
      </c>
      <c r="BL543" s="1" t="b">
        <v>0</v>
      </c>
      <c r="BM543" s="1">
        <v>13.121</v>
      </c>
      <c r="BN543" s="1">
        <v>14.568</v>
      </c>
      <c r="BO543" s="1" t="b">
        <v>0</v>
      </c>
      <c r="BP543" s="1" t="b">
        <v>0</v>
      </c>
      <c r="BQ543" s="1">
        <v>75.0</v>
      </c>
      <c r="BR543" s="1">
        <v>72.027</v>
      </c>
      <c r="BS543" s="1" t="b">
        <v>0</v>
      </c>
      <c r="BT543" s="1" t="b">
        <v>0</v>
      </c>
      <c r="BU543" s="1" t="s">
        <v>105</v>
      </c>
      <c r="BV543" s="1" t="s">
        <v>105</v>
      </c>
      <c r="BW543" s="1" t="s">
        <v>105</v>
      </c>
      <c r="BX543" s="1" t="s">
        <v>105</v>
      </c>
      <c r="BY543" s="1" t="s">
        <v>105</v>
      </c>
      <c r="BZ543" s="1" t="s">
        <v>105</v>
      </c>
      <c r="CA543" s="1" t="s">
        <v>105</v>
      </c>
      <c r="CB543" s="1" t="s">
        <v>105</v>
      </c>
      <c r="CC543" s="1" t="s">
        <v>105</v>
      </c>
      <c r="CD543" s="1" t="s">
        <v>105</v>
      </c>
      <c r="CE543" s="4"/>
      <c r="CF543" s="4"/>
    </row>
    <row r="544" hidden="1">
      <c r="A544" s="1" t="s">
        <v>82</v>
      </c>
      <c r="B544" s="1" t="s">
        <v>111</v>
      </c>
      <c r="C544" s="1">
        <v>7.0</v>
      </c>
      <c r="D544" s="5" t="s">
        <v>2406</v>
      </c>
      <c r="E544" s="1" t="s">
        <v>2407</v>
      </c>
      <c r="F544" s="1">
        <v>50.0</v>
      </c>
      <c r="G544" s="1">
        <v>-0.4588</v>
      </c>
      <c r="H544" s="1" t="s">
        <v>2408</v>
      </c>
      <c r="I544" s="4" t="b">
        <f>IFERROR(__xludf.DUMMYFUNCTION("IF(H544="""",,REGEXMATCH(H544,""[א-ת]""))"),FALSE)</f>
        <v>0</v>
      </c>
      <c r="J544" s="4"/>
      <c r="K544" s="4"/>
      <c r="L544" s="1">
        <v>0.0</v>
      </c>
      <c r="M544" s="1">
        <v>34.43</v>
      </c>
      <c r="N544" s="1">
        <v>48.0</v>
      </c>
      <c r="O544" s="1">
        <v>0.96</v>
      </c>
      <c r="P544" s="4"/>
      <c r="Q544" s="4"/>
      <c r="R544" s="1" t="s">
        <v>89</v>
      </c>
      <c r="S544" s="1" t="s">
        <v>2407</v>
      </c>
      <c r="T544" s="1" t="s">
        <v>111</v>
      </c>
      <c r="U544" s="1">
        <v>8.0</v>
      </c>
      <c r="V544" s="5" t="s">
        <v>2406</v>
      </c>
      <c r="W544" s="1" t="s">
        <v>2407</v>
      </c>
      <c r="X544" s="1" t="s">
        <v>2409</v>
      </c>
      <c r="Y544" s="4"/>
      <c r="Z544" s="4"/>
      <c r="AA544" s="4" t="b">
        <f>IFERROR(__xludf.DUMMYFUNCTION("IF(X544="""",,REGEXMATCH(X544,""[א-ת]""))"),FALSE)</f>
        <v>0</v>
      </c>
      <c r="AB544" s="1">
        <v>31.18</v>
      </c>
      <c r="AC544" s="1">
        <v>50.0</v>
      </c>
      <c r="AD544" s="1">
        <v>0.56818677085198</v>
      </c>
      <c r="AE544" s="1">
        <v>0.0</v>
      </c>
      <c r="AF544" s="1">
        <v>-0.4588</v>
      </c>
      <c r="AG544" s="1">
        <v>6.337</v>
      </c>
      <c r="AH544" s="1">
        <v>6.781</v>
      </c>
      <c r="AI544" s="1" t="b">
        <v>0</v>
      </c>
      <c r="AJ544" s="1" t="b">
        <v>0</v>
      </c>
      <c r="AK544" s="1">
        <v>94.182</v>
      </c>
      <c r="AL544" s="1">
        <v>96.508</v>
      </c>
      <c r="AM544" s="1" t="b">
        <v>0</v>
      </c>
      <c r="AN544" s="1" t="b">
        <v>0</v>
      </c>
      <c r="AO544" s="1">
        <v>8.05</v>
      </c>
      <c r="AP544" s="1">
        <v>8.53399999999999</v>
      </c>
      <c r="AQ544" s="1" t="b">
        <v>0</v>
      </c>
      <c r="AR544" s="1" t="b">
        <v>0</v>
      </c>
      <c r="AS544" s="1">
        <v>86.9179999999999</v>
      </c>
      <c r="AT544" s="1">
        <v>87.152</v>
      </c>
      <c r="AU544" s="1" t="b">
        <v>0</v>
      </c>
      <c r="AV544" s="1" t="b">
        <v>0</v>
      </c>
      <c r="AW544" s="1">
        <v>9.61399999999999</v>
      </c>
      <c r="AX544" s="1">
        <v>11.026</v>
      </c>
      <c r="AY544" s="1" t="b">
        <v>0</v>
      </c>
      <c r="AZ544" s="1" t="b">
        <v>0</v>
      </c>
      <c r="BA544" s="1">
        <v>81.25</v>
      </c>
      <c r="BB544" s="1">
        <v>77.78</v>
      </c>
      <c r="BC544" s="1" t="b">
        <v>0</v>
      </c>
      <c r="BD544" s="1" t="b">
        <v>0</v>
      </c>
      <c r="BE544" s="1">
        <v>11.34</v>
      </c>
      <c r="BF544" s="1">
        <v>13.285</v>
      </c>
      <c r="BG544" s="1" t="b">
        <v>0</v>
      </c>
      <c r="BH544" s="1" t="b">
        <v>0</v>
      </c>
      <c r="BI544" s="1">
        <v>77.78</v>
      </c>
      <c r="BJ544" s="1">
        <v>75.0</v>
      </c>
      <c r="BK544" s="1" t="b">
        <v>0</v>
      </c>
      <c r="BL544" s="1" t="b">
        <v>0</v>
      </c>
      <c r="BM544" s="1">
        <v>13.121</v>
      </c>
      <c r="BN544" s="1">
        <v>14.568</v>
      </c>
      <c r="BO544" s="1" t="b">
        <v>0</v>
      </c>
      <c r="BP544" s="1" t="b">
        <v>0</v>
      </c>
      <c r="BQ544" s="1">
        <v>75.0</v>
      </c>
      <c r="BR544" s="1">
        <v>72.027</v>
      </c>
      <c r="BS544" s="1" t="b">
        <v>0</v>
      </c>
      <c r="BT544" s="1" t="b">
        <v>0</v>
      </c>
      <c r="BU544" s="1" t="s">
        <v>105</v>
      </c>
      <c r="BV544" s="1" t="s">
        <v>105</v>
      </c>
      <c r="BW544" s="1" t="s">
        <v>105</v>
      </c>
      <c r="BX544" s="1" t="s">
        <v>105</v>
      </c>
      <c r="BY544" s="1" t="s">
        <v>105</v>
      </c>
      <c r="BZ544" s="1" t="s">
        <v>105</v>
      </c>
      <c r="CA544" s="1" t="s">
        <v>105</v>
      </c>
      <c r="CB544" s="1" t="s">
        <v>105</v>
      </c>
      <c r="CC544" s="1" t="s">
        <v>105</v>
      </c>
      <c r="CD544" s="1" t="s">
        <v>105</v>
      </c>
      <c r="CE544" s="4"/>
      <c r="CF544" s="4"/>
    </row>
    <row r="545" hidden="1">
      <c r="A545" s="1" t="s">
        <v>82</v>
      </c>
      <c r="B545" s="1" t="s">
        <v>92</v>
      </c>
      <c r="C545" s="1">
        <v>31.0</v>
      </c>
      <c r="D545" s="5" t="s">
        <v>2410</v>
      </c>
      <c r="E545" s="1" t="s">
        <v>2411</v>
      </c>
      <c r="F545" s="1">
        <v>51.0</v>
      </c>
      <c r="G545" s="1">
        <v>0.0</v>
      </c>
      <c r="H545" s="1" t="s">
        <v>2412</v>
      </c>
      <c r="I545" s="4" t="b">
        <f>IFERROR(__xludf.DUMMYFUNCTION("IF(H545="""",,REGEXMATCH(H545,""[א-ת]""))"),FALSE)</f>
        <v>0</v>
      </c>
      <c r="J545" s="4"/>
      <c r="K545" s="4"/>
      <c r="L545" s="1">
        <v>0.0</v>
      </c>
      <c r="M545" s="1">
        <v>34.43</v>
      </c>
      <c r="N545" s="1">
        <v>39.22</v>
      </c>
      <c r="O545" s="1">
        <v>0.7690196078</v>
      </c>
      <c r="P545" s="4"/>
      <c r="Q545" s="4"/>
      <c r="R545" s="1" t="s">
        <v>96</v>
      </c>
      <c r="S545" s="1" t="s">
        <v>2411</v>
      </c>
      <c r="T545" s="1" t="s">
        <v>92</v>
      </c>
      <c r="U545" s="1">
        <v>32.0</v>
      </c>
      <c r="V545" s="5" t="s">
        <v>2410</v>
      </c>
      <c r="W545" s="1" t="s">
        <v>2411</v>
      </c>
      <c r="X545" s="1" t="s">
        <v>2413</v>
      </c>
      <c r="Y545" s="4"/>
      <c r="Z545" s="4"/>
      <c r="AA545" s="4" t="b">
        <f>IFERROR(__xludf.DUMMYFUNCTION("IF(X545="""",,REGEXMATCH(X545,""[א-ת]""))"),FALSE)</f>
        <v>0</v>
      </c>
      <c r="AB545" s="1">
        <v>39.21</v>
      </c>
      <c r="AC545" s="1">
        <v>33.33</v>
      </c>
      <c r="AD545" s="1">
        <v>0.768103734180511</v>
      </c>
      <c r="AE545" s="1">
        <v>0.0</v>
      </c>
      <c r="AF545" s="1">
        <v>0.0</v>
      </c>
      <c r="AG545" s="1">
        <v>6.337</v>
      </c>
      <c r="AH545" s="1">
        <v>6.781</v>
      </c>
      <c r="AI545" s="1" t="b">
        <v>0</v>
      </c>
      <c r="AJ545" s="1" t="b">
        <v>0</v>
      </c>
      <c r="AK545" s="1">
        <v>94.182</v>
      </c>
      <c r="AL545" s="1">
        <v>96.508</v>
      </c>
      <c r="AM545" s="1" t="b">
        <v>0</v>
      </c>
      <c r="AN545" s="1" t="b">
        <v>0</v>
      </c>
      <c r="AO545" s="1">
        <v>8.05</v>
      </c>
      <c r="AP545" s="1">
        <v>8.53399999999999</v>
      </c>
      <c r="AQ545" s="1" t="b">
        <v>0</v>
      </c>
      <c r="AR545" s="1" t="b">
        <v>0</v>
      </c>
      <c r="AS545" s="1">
        <v>86.9179999999999</v>
      </c>
      <c r="AT545" s="1">
        <v>87.152</v>
      </c>
      <c r="AU545" s="1" t="b">
        <v>0</v>
      </c>
      <c r="AV545" s="1" t="b">
        <v>0</v>
      </c>
      <c r="AW545" s="1">
        <v>9.61399999999999</v>
      </c>
      <c r="AX545" s="1">
        <v>11.026</v>
      </c>
      <c r="AY545" s="1" t="b">
        <v>0</v>
      </c>
      <c r="AZ545" s="1" t="b">
        <v>0</v>
      </c>
      <c r="BA545" s="1">
        <v>81.25</v>
      </c>
      <c r="BB545" s="1">
        <v>77.78</v>
      </c>
      <c r="BC545" s="1" t="b">
        <v>0</v>
      </c>
      <c r="BD545" s="1" t="b">
        <v>0</v>
      </c>
      <c r="BE545" s="1">
        <v>11.34</v>
      </c>
      <c r="BF545" s="1">
        <v>13.285</v>
      </c>
      <c r="BG545" s="1" t="b">
        <v>0</v>
      </c>
      <c r="BH545" s="1" t="b">
        <v>0</v>
      </c>
      <c r="BI545" s="1">
        <v>77.78</v>
      </c>
      <c r="BJ545" s="1">
        <v>75.0</v>
      </c>
      <c r="BK545" s="1" t="b">
        <v>0</v>
      </c>
      <c r="BL545" s="1" t="b">
        <v>0</v>
      </c>
      <c r="BM545" s="1">
        <v>13.121</v>
      </c>
      <c r="BN545" s="1">
        <v>14.568</v>
      </c>
      <c r="BO545" s="1" t="b">
        <v>0</v>
      </c>
      <c r="BP545" s="1" t="b">
        <v>0</v>
      </c>
      <c r="BQ545" s="1">
        <v>75.0</v>
      </c>
      <c r="BR545" s="1">
        <v>72.027</v>
      </c>
      <c r="BS545" s="1" t="b">
        <v>0</v>
      </c>
      <c r="BT545" s="1" t="b">
        <v>0</v>
      </c>
      <c r="BU545" s="1" t="s">
        <v>105</v>
      </c>
      <c r="BV545" s="1" t="s">
        <v>105</v>
      </c>
      <c r="BW545" s="1" t="s">
        <v>105</v>
      </c>
      <c r="BX545" s="1" t="s">
        <v>105</v>
      </c>
      <c r="BY545" s="1" t="s">
        <v>105</v>
      </c>
      <c r="BZ545" s="1" t="s">
        <v>105</v>
      </c>
      <c r="CA545" s="1" t="s">
        <v>105</v>
      </c>
      <c r="CB545" s="1" t="s">
        <v>105</v>
      </c>
      <c r="CC545" s="1" t="s">
        <v>105</v>
      </c>
      <c r="CD545" s="1" t="s">
        <v>105</v>
      </c>
      <c r="CE545" s="4"/>
      <c r="CF545" s="4"/>
    </row>
    <row r="546" hidden="1">
      <c r="A546" s="1" t="s">
        <v>82</v>
      </c>
      <c r="B546" s="1" t="s">
        <v>631</v>
      </c>
      <c r="C546" s="1">
        <v>17.0</v>
      </c>
      <c r="D546" s="5" t="s">
        <v>2414</v>
      </c>
      <c r="E546" s="1" t="s">
        <v>2415</v>
      </c>
      <c r="F546" s="1">
        <v>11.0</v>
      </c>
      <c r="G546" s="1">
        <v>0.5106</v>
      </c>
      <c r="H546" s="1" t="s">
        <v>2416</v>
      </c>
      <c r="I546" s="4" t="b">
        <f>IFERROR(__xludf.DUMMYFUNCTION("IF(H546="""",,REGEXMATCH(H546,""[א-ת]""))"),FALSE)</f>
        <v>0</v>
      </c>
      <c r="J546" s="4"/>
      <c r="K546" s="4"/>
      <c r="L546" s="1">
        <v>0.5106</v>
      </c>
      <c r="M546" s="1">
        <v>34.69</v>
      </c>
      <c r="N546" s="1">
        <v>45.45</v>
      </c>
      <c r="O546" s="1">
        <v>4.131818182</v>
      </c>
      <c r="P546" s="4"/>
      <c r="Q546" s="4"/>
      <c r="R546" s="1" t="s">
        <v>89</v>
      </c>
      <c r="S546" s="1" t="s">
        <v>2415</v>
      </c>
      <c r="T546" s="1" t="s">
        <v>631</v>
      </c>
      <c r="U546" s="1">
        <v>18.0</v>
      </c>
      <c r="V546" s="5" t="s">
        <v>2414</v>
      </c>
      <c r="W546" s="1" t="s">
        <v>2415</v>
      </c>
      <c r="X546" s="1" t="s">
        <v>2417</v>
      </c>
      <c r="Y546" s="4"/>
      <c r="Z546" s="4"/>
      <c r="AA546" s="4" t="b">
        <f>IFERROR(__xludf.DUMMYFUNCTION("IF(X546="""",,REGEXMATCH(X546,""[א-ת]""))"),FALSE)</f>
        <v>0</v>
      </c>
      <c r="AB546" s="1">
        <v>15.31</v>
      </c>
      <c r="AC546" s="1">
        <v>54.55</v>
      </c>
      <c r="AD546" s="1">
        <v>0.544401585515995</v>
      </c>
      <c r="AE546" s="1">
        <v>0.0</v>
      </c>
      <c r="AF546" s="1">
        <v>0.5106</v>
      </c>
      <c r="AG546" s="1">
        <v>6.337</v>
      </c>
      <c r="AH546" s="1">
        <v>6.781</v>
      </c>
      <c r="AI546" s="1" t="b">
        <v>0</v>
      </c>
      <c r="AJ546" s="1" t="b">
        <v>0</v>
      </c>
      <c r="AK546" s="1">
        <v>94.182</v>
      </c>
      <c r="AL546" s="1">
        <v>96.508</v>
      </c>
      <c r="AM546" s="1" t="b">
        <v>0</v>
      </c>
      <c r="AN546" s="1" t="b">
        <v>0</v>
      </c>
      <c r="AO546" s="1">
        <v>8.05</v>
      </c>
      <c r="AP546" s="1">
        <v>8.53399999999999</v>
      </c>
      <c r="AQ546" s="1" t="b">
        <v>0</v>
      </c>
      <c r="AR546" s="1" t="b">
        <v>0</v>
      </c>
      <c r="AS546" s="1">
        <v>86.9179999999999</v>
      </c>
      <c r="AT546" s="1">
        <v>87.152</v>
      </c>
      <c r="AU546" s="1" t="b">
        <v>0</v>
      </c>
      <c r="AV546" s="1" t="b">
        <v>0</v>
      </c>
      <c r="AW546" s="1">
        <v>9.61399999999999</v>
      </c>
      <c r="AX546" s="1">
        <v>11.026</v>
      </c>
      <c r="AY546" s="1" t="b">
        <v>0</v>
      </c>
      <c r="AZ546" s="1" t="b">
        <v>0</v>
      </c>
      <c r="BA546" s="1">
        <v>81.25</v>
      </c>
      <c r="BB546" s="1">
        <v>77.78</v>
      </c>
      <c r="BC546" s="1" t="b">
        <v>0</v>
      </c>
      <c r="BD546" s="1" t="b">
        <v>0</v>
      </c>
      <c r="BE546" s="1">
        <v>11.34</v>
      </c>
      <c r="BF546" s="1">
        <v>13.285</v>
      </c>
      <c r="BG546" s="1" t="b">
        <v>0</v>
      </c>
      <c r="BH546" s="1" t="b">
        <v>0</v>
      </c>
      <c r="BI546" s="1">
        <v>77.78</v>
      </c>
      <c r="BJ546" s="1">
        <v>75.0</v>
      </c>
      <c r="BK546" s="1" t="b">
        <v>0</v>
      </c>
      <c r="BL546" s="1" t="b">
        <v>0</v>
      </c>
      <c r="BM546" s="1">
        <v>13.121</v>
      </c>
      <c r="BN546" s="1">
        <v>14.568</v>
      </c>
      <c r="BO546" s="1" t="b">
        <v>0</v>
      </c>
      <c r="BP546" s="1" t="b">
        <v>0</v>
      </c>
      <c r="BQ546" s="1">
        <v>75.0</v>
      </c>
      <c r="BR546" s="1">
        <v>72.027</v>
      </c>
      <c r="BS546" s="1" t="b">
        <v>0</v>
      </c>
      <c r="BT546" s="1" t="b">
        <v>0</v>
      </c>
      <c r="BU546" s="1" t="s">
        <v>105</v>
      </c>
      <c r="BV546" s="1" t="s">
        <v>105</v>
      </c>
      <c r="BW546" s="1" t="s">
        <v>105</v>
      </c>
      <c r="BX546" s="1" t="s">
        <v>105</v>
      </c>
      <c r="BY546" s="1" t="s">
        <v>105</v>
      </c>
      <c r="BZ546" s="1" t="s">
        <v>105</v>
      </c>
      <c r="CA546" s="1" t="s">
        <v>105</v>
      </c>
      <c r="CB546" s="1" t="s">
        <v>105</v>
      </c>
      <c r="CC546" s="1" t="s">
        <v>105</v>
      </c>
      <c r="CD546" s="1" t="s">
        <v>105</v>
      </c>
      <c r="CE546" s="4"/>
      <c r="CF546" s="4"/>
    </row>
    <row r="547" hidden="1">
      <c r="A547" s="1" t="s">
        <v>82</v>
      </c>
      <c r="B547" s="1" t="s">
        <v>251</v>
      </c>
      <c r="C547" s="1">
        <v>18.0</v>
      </c>
      <c r="D547" s="5" t="s">
        <v>2418</v>
      </c>
      <c r="E547" s="1" t="s">
        <v>2419</v>
      </c>
      <c r="F547" s="1">
        <v>72.0</v>
      </c>
      <c r="G547" s="1">
        <v>0.2023</v>
      </c>
      <c r="H547" s="1" t="s">
        <v>2420</v>
      </c>
      <c r="I547" s="4" t="b">
        <f>IFERROR(__xludf.DUMMYFUNCTION("IF(H547="""",,REGEXMATCH(H547,""[א-ת]""))"),FALSE)</f>
        <v>0</v>
      </c>
      <c r="J547" s="4"/>
      <c r="K547" s="4"/>
      <c r="L547" s="1">
        <v>0.2023</v>
      </c>
      <c r="M547" s="1">
        <v>34.7</v>
      </c>
      <c r="N547" s="1">
        <v>36.11</v>
      </c>
      <c r="O547" s="1">
        <v>0.5015277778</v>
      </c>
      <c r="P547" s="4"/>
      <c r="Q547" s="4"/>
      <c r="R547" s="1" t="s">
        <v>89</v>
      </c>
      <c r="S547" s="1" t="s">
        <v>2419</v>
      </c>
      <c r="T547" s="1" t="s">
        <v>251</v>
      </c>
      <c r="U547" s="1">
        <v>19.0</v>
      </c>
      <c r="V547" s="5" t="s">
        <v>2418</v>
      </c>
      <c r="W547" s="1" t="s">
        <v>2419</v>
      </c>
      <c r="X547" s="1" t="s">
        <v>2421</v>
      </c>
      <c r="Y547" s="4"/>
      <c r="Z547" s="4"/>
      <c r="AA547" s="4" t="b">
        <f>IFERROR(__xludf.DUMMYFUNCTION("IF(X547="""",,REGEXMATCH(X547,""[א-ת]""))"),FALSE)</f>
        <v>0</v>
      </c>
      <c r="AB547" s="1">
        <v>24.66</v>
      </c>
      <c r="AC547" s="1">
        <v>45.83</v>
      </c>
      <c r="AD547" s="1">
        <v>0.556799487429375</v>
      </c>
      <c r="AE547" s="1">
        <v>0.4404</v>
      </c>
      <c r="AF547" s="1">
        <v>0.2023</v>
      </c>
      <c r="AG547" s="1">
        <v>6.337</v>
      </c>
      <c r="AH547" s="1">
        <v>6.781</v>
      </c>
      <c r="AI547" s="1" t="b">
        <v>0</v>
      </c>
      <c r="AJ547" s="1" t="b">
        <v>0</v>
      </c>
      <c r="AK547" s="1">
        <v>94.182</v>
      </c>
      <c r="AL547" s="1">
        <v>96.508</v>
      </c>
      <c r="AM547" s="1" t="b">
        <v>0</v>
      </c>
      <c r="AN547" s="1" t="b">
        <v>0</v>
      </c>
      <c r="AO547" s="1">
        <v>8.05</v>
      </c>
      <c r="AP547" s="1">
        <v>8.53399999999999</v>
      </c>
      <c r="AQ547" s="1" t="b">
        <v>0</v>
      </c>
      <c r="AR547" s="1" t="b">
        <v>0</v>
      </c>
      <c r="AS547" s="1">
        <v>86.9179999999999</v>
      </c>
      <c r="AT547" s="1">
        <v>87.152</v>
      </c>
      <c r="AU547" s="1" t="b">
        <v>0</v>
      </c>
      <c r="AV547" s="1" t="b">
        <v>0</v>
      </c>
      <c r="AW547" s="1">
        <v>9.61399999999999</v>
      </c>
      <c r="AX547" s="1">
        <v>11.026</v>
      </c>
      <c r="AY547" s="1" t="b">
        <v>0</v>
      </c>
      <c r="AZ547" s="1" t="b">
        <v>0</v>
      </c>
      <c r="BA547" s="1">
        <v>81.25</v>
      </c>
      <c r="BB547" s="1">
        <v>77.78</v>
      </c>
      <c r="BC547" s="1" t="b">
        <v>0</v>
      </c>
      <c r="BD547" s="1" t="b">
        <v>0</v>
      </c>
      <c r="BE547" s="1">
        <v>11.34</v>
      </c>
      <c r="BF547" s="1">
        <v>13.285</v>
      </c>
      <c r="BG547" s="1" t="b">
        <v>0</v>
      </c>
      <c r="BH547" s="1" t="b">
        <v>0</v>
      </c>
      <c r="BI547" s="1">
        <v>77.78</v>
      </c>
      <c r="BJ547" s="1">
        <v>75.0</v>
      </c>
      <c r="BK547" s="1" t="b">
        <v>0</v>
      </c>
      <c r="BL547" s="1" t="b">
        <v>0</v>
      </c>
      <c r="BM547" s="1">
        <v>13.121</v>
      </c>
      <c r="BN547" s="1">
        <v>14.568</v>
      </c>
      <c r="BO547" s="1" t="b">
        <v>0</v>
      </c>
      <c r="BP547" s="1" t="b">
        <v>0</v>
      </c>
      <c r="BQ547" s="1">
        <v>75.0</v>
      </c>
      <c r="BR547" s="1">
        <v>72.027</v>
      </c>
      <c r="BS547" s="1" t="b">
        <v>0</v>
      </c>
      <c r="BT547" s="1" t="b">
        <v>0</v>
      </c>
      <c r="BU547" s="1" t="s">
        <v>105</v>
      </c>
      <c r="BV547" s="1" t="s">
        <v>105</v>
      </c>
      <c r="BW547" s="1" t="s">
        <v>105</v>
      </c>
      <c r="BX547" s="1" t="s">
        <v>105</v>
      </c>
      <c r="BY547" s="1" t="s">
        <v>105</v>
      </c>
      <c r="BZ547" s="1" t="s">
        <v>105</v>
      </c>
      <c r="CA547" s="1" t="s">
        <v>105</v>
      </c>
      <c r="CB547" s="1" t="s">
        <v>105</v>
      </c>
      <c r="CC547" s="1" t="s">
        <v>105</v>
      </c>
      <c r="CD547" s="1" t="s">
        <v>105</v>
      </c>
      <c r="CE547" s="4"/>
      <c r="CF547" s="4"/>
    </row>
    <row r="548" hidden="1">
      <c r="A548" s="1" t="s">
        <v>82</v>
      </c>
      <c r="B548" s="1" t="s">
        <v>262</v>
      </c>
      <c r="C548" s="1">
        <v>29.0</v>
      </c>
      <c r="D548" s="5" t="s">
        <v>2422</v>
      </c>
      <c r="E548" s="1" t="s">
        <v>2423</v>
      </c>
      <c r="F548" s="1">
        <v>57.0</v>
      </c>
      <c r="G548" s="1">
        <v>0.0772</v>
      </c>
      <c r="H548" s="1" t="s">
        <v>2424</v>
      </c>
      <c r="I548" s="4" t="b">
        <f>IFERROR(__xludf.DUMMYFUNCTION("IF(H548="""",,REGEXMATCH(H548,""[א-ת]""))"),FALSE)</f>
        <v>0</v>
      </c>
      <c r="J548" s="4"/>
      <c r="K548" s="4"/>
      <c r="L548" s="1">
        <v>-0.5574</v>
      </c>
      <c r="M548" s="1">
        <v>34.92</v>
      </c>
      <c r="N548" s="1">
        <v>59.65</v>
      </c>
      <c r="O548" s="1">
        <v>1.046491228</v>
      </c>
      <c r="P548" s="4"/>
      <c r="Q548" s="4"/>
      <c r="R548" s="1" t="s">
        <v>96</v>
      </c>
      <c r="S548" s="1" t="s">
        <v>2423</v>
      </c>
      <c r="T548" s="1" t="s">
        <v>262</v>
      </c>
      <c r="U548" s="1">
        <v>30.0</v>
      </c>
      <c r="V548" s="5" t="s">
        <v>2422</v>
      </c>
      <c r="W548" s="1" t="s">
        <v>2423</v>
      </c>
      <c r="X548" s="1" t="s">
        <v>2425</v>
      </c>
      <c r="Y548" s="4"/>
      <c r="Z548" s="4"/>
      <c r="AA548" s="4" t="b">
        <f>IFERROR(__xludf.DUMMYFUNCTION("IF(X548="""",,REGEXMATCH(X548,""[א-ת]""))"),FALSE)</f>
        <v>0</v>
      </c>
      <c r="AB548" s="1">
        <v>15.43</v>
      </c>
      <c r="AC548" s="1">
        <v>61.4</v>
      </c>
      <c r="AD548" s="1">
        <v>0.586248642669269</v>
      </c>
      <c r="AE548" s="1">
        <v>0.0</v>
      </c>
      <c r="AF548" s="1">
        <v>0.0772</v>
      </c>
      <c r="AG548" s="1">
        <v>6.337</v>
      </c>
      <c r="AH548" s="1">
        <v>6.781</v>
      </c>
      <c r="AI548" s="1" t="b">
        <v>0</v>
      </c>
      <c r="AJ548" s="1" t="b">
        <v>0</v>
      </c>
      <c r="AK548" s="1">
        <v>94.182</v>
      </c>
      <c r="AL548" s="1">
        <v>96.508</v>
      </c>
      <c r="AM548" s="1" t="b">
        <v>0</v>
      </c>
      <c r="AN548" s="1" t="b">
        <v>0</v>
      </c>
      <c r="AO548" s="1">
        <v>8.05</v>
      </c>
      <c r="AP548" s="1">
        <v>8.53399999999999</v>
      </c>
      <c r="AQ548" s="1" t="b">
        <v>0</v>
      </c>
      <c r="AR548" s="1" t="b">
        <v>0</v>
      </c>
      <c r="AS548" s="1">
        <v>86.9179999999999</v>
      </c>
      <c r="AT548" s="1">
        <v>87.152</v>
      </c>
      <c r="AU548" s="1" t="b">
        <v>0</v>
      </c>
      <c r="AV548" s="1" t="b">
        <v>0</v>
      </c>
      <c r="AW548" s="1">
        <v>9.61399999999999</v>
      </c>
      <c r="AX548" s="1">
        <v>11.026</v>
      </c>
      <c r="AY548" s="1" t="b">
        <v>0</v>
      </c>
      <c r="AZ548" s="1" t="b">
        <v>0</v>
      </c>
      <c r="BA548" s="1">
        <v>81.25</v>
      </c>
      <c r="BB548" s="1">
        <v>77.78</v>
      </c>
      <c r="BC548" s="1" t="b">
        <v>0</v>
      </c>
      <c r="BD548" s="1" t="b">
        <v>0</v>
      </c>
      <c r="BE548" s="1">
        <v>11.34</v>
      </c>
      <c r="BF548" s="1">
        <v>13.285</v>
      </c>
      <c r="BG548" s="1" t="b">
        <v>0</v>
      </c>
      <c r="BH548" s="1" t="b">
        <v>0</v>
      </c>
      <c r="BI548" s="1">
        <v>77.78</v>
      </c>
      <c r="BJ548" s="1">
        <v>75.0</v>
      </c>
      <c r="BK548" s="1" t="b">
        <v>0</v>
      </c>
      <c r="BL548" s="1" t="b">
        <v>0</v>
      </c>
      <c r="BM548" s="1">
        <v>13.121</v>
      </c>
      <c r="BN548" s="1">
        <v>14.568</v>
      </c>
      <c r="BO548" s="1" t="b">
        <v>0</v>
      </c>
      <c r="BP548" s="1" t="b">
        <v>0</v>
      </c>
      <c r="BQ548" s="1">
        <v>75.0</v>
      </c>
      <c r="BR548" s="1">
        <v>72.027</v>
      </c>
      <c r="BS548" s="1" t="b">
        <v>0</v>
      </c>
      <c r="BT548" s="1" t="b">
        <v>0</v>
      </c>
      <c r="BU548" s="1" t="s">
        <v>105</v>
      </c>
      <c r="BV548" s="1" t="s">
        <v>105</v>
      </c>
      <c r="BW548" s="1" t="s">
        <v>105</v>
      </c>
      <c r="BX548" s="1" t="s">
        <v>105</v>
      </c>
      <c r="BY548" s="1" t="s">
        <v>105</v>
      </c>
      <c r="BZ548" s="1" t="s">
        <v>105</v>
      </c>
      <c r="CA548" s="1" t="s">
        <v>105</v>
      </c>
      <c r="CB548" s="1" t="s">
        <v>105</v>
      </c>
      <c r="CC548" s="1" t="s">
        <v>105</v>
      </c>
      <c r="CD548" s="1" t="s">
        <v>105</v>
      </c>
      <c r="CE548" s="4"/>
      <c r="CF548" s="4"/>
    </row>
    <row r="549" hidden="1">
      <c r="A549" s="1" t="s">
        <v>82</v>
      </c>
      <c r="B549" s="1" t="s">
        <v>251</v>
      </c>
      <c r="C549" s="1">
        <v>11.0</v>
      </c>
      <c r="D549" s="5" t="s">
        <v>2426</v>
      </c>
      <c r="E549" s="1" t="s">
        <v>2427</v>
      </c>
      <c r="F549" s="1">
        <v>20.0</v>
      </c>
      <c r="G549" s="1">
        <v>-0.25</v>
      </c>
      <c r="H549" s="1" t="s">
        <v>2428</v>
      </c>
      <c r="I549" s="4" t="b">
        <f>IFERROR(__xludf.DUMMYFUNCTION("IF(H549="""",,REGEXMATCH(H549,""[א-ת]""))"),FALSE)</f>
        <v>0</v>
      </c>
      <c r="J549" s="4"/>
      <c r="K549" s="4"/>
      <c r="L549" s="1">
        <v>0.0</v>
      </c>
      <c r="M549" s="1">
        <v>35.02</v>
      </c>
      <c r="N549" s="1">
        <v>40.0</v>
      </c>
      <c r="O549" s="1">
        <v>2.0</v>
      </c>
      <c r="P549" s="4"/>
      <c r="Q549" s="4"/>
      <c r="R549" s="1" t="s">
        <v>89</v>
      </c>
      <c r="S549" s="1" t="s">
        <v>2427</v>
      </c>
      <c r="T549" s="1" t="s">
        <v>251</v>
      </c>
      <c r="U549" s="1">
        <v>12.0</v>
      </c>
      <c r="V549" s="5" t="s">
        <v>2426</v>
      </c>
      <c r="W549" s="1" t="s">
        <v>2427</v>
      </c>
      <c r="X549" s="1" t="s">
        <v>2429</v>
      </c>
      <c r="Y549" s="4"/>
      <c r="Z549" s="4"/>
      <c r="AA549" s="4" t="b">
        <f>IFERROR(__xludf.DUMMYFUNCTION("IF(X549="""",,REGEXMATCH(X549,""[א-ת]""))"),FALSE)</f>
        <v>0</v>
      </c>
      <c r="AB549" s="1">
        <v>11.86</v>
      </c>
      <c r="AC549" s="1">
        <v>55.0</v>
      </c>
      <c r="AD549" s="1">
        <v>0.622361610263706</v>
      </c>
      <c r="AE549" s="1">
        <v>-0.2732</v>
      </c>
      <c r="AF549" s="1">
        <v>-0.25</v>
      </c>
      <c r="AG549" s="1">
        <v>6.337</v>
      </c>
      <c r="AH549" s="1">
        <v>6.781</v>
      </c>
      <c r="AI549" s="1" t="b">
        <v>0</v>
      </c>
      <c r="AJ549" s="1" t="b">
        <v>0</v>
      </c>
      <c r="AK549" s="1">
        <v>94.182</v>
      </c>
      <c r="AL549" s="1">
        <v>96.508</v>
      </c>
      <c r="AM549" s="1" t="b">
        <v>0</v>
      </c>
      <c r="AN549" s="1" t="b">
        <v>0</v>
      </c>
      <c r="AO549" s="1">
        <v>8.05</v>
      </c>
      <c r="AP549" s="1">
        <v>8.53399999999999</v>
      </c>
      <c r="AQ549" s="1" t="b">
        <v>0</v>
      </c>
      <c r="AR549" s="1" t="b">
        <v>0</v>
      </c>
      <c r="AS549" s="1">
        <v>86.9179999999999</v>
      </c>
      <c r="AT549" s="1">
        <v>87.152</v>
      </c>
      <c r="AU549" s="1" t="b">
        <v>0</v>
      </c>
      <c r="AV549" s="1" t="b">
        <v>0</v>
      </c>
      <c r="AW549" s="1">
        <v>9.61399999999999</v>
      </c>
      <c r="AX549" s="1">
        <v>11.026</v>
      </c>
      <c r="AY549" s="1" t="b">
        <v>0</v>
      </c>
      <c r="AZ549" s="1" t="b">
        <v>0</v>
      </c>
      <c r="BA549" s="1">
        <v>81.25</v>
      </c>
      <c r="BB549" s="1">
        <v>77.78</v>
      </c>
      <c r="BC549" s="1" t="b">
        <v>0</v>
      </c>
      <c r="BD549" s="1" t="b">
        <v>0</v>
      </c>
      <c r="BE549" s="1">
        <v>11.34</v>
      </c>
      <c r="BF549" s="1">
        <v>13.285</v>
      </c>
      <c r="BG549" s="1" t="b">
        <v>0</v>
      </c>
      <c r="BH549" s="1" t="b">
        <v>1</v>
      </c>
      <c r="BI549" s="1">
        <v>77.78</v>
      </c>
      <c r="BJ549" s="1">
        <v>75.0</v>
      </c>
      <c r="BK549" s="1" t="b">
        <v>0</v>
      </c>
      <c r="BL549" s="1" t="b">
        <v>0</v>
      </c>
      <c r="BM549" s="1">
        <v>13.121</v>
      </c>
      <c r="BN549" s="1">
        <v>14.568</v>
      </c>
      <c r="BO549" s="1" t="b">
        <v>0</v>
      </c>
      <c r="BP549" s="1" t="b">
        <v>1</v>
      </c>
      <c r="BQ549" s="1">
        <v>75.0</v>
      </c>
      <c r="BR549" s="1">
        <v>72.027</v>
      </c>
      <c r="BS549" s="1" t="b">
        <v>0</v>
      </c>
      <c r="BT549" s="1" t="b">
        <v>0</v>
      </c>
      <c r="BU549" s="1" t="s">
        <v>105</v>
      </c>
      <c r="BV549" s="1" t="s">
        <v>105</v>
      </c>
      <c r="BW549" s="1" t="s">
        <v>105</v>
      </c>
      <c r="BX549" s="1" t="s">
        <v>105</v>
      </c>
      <c r="BY549" s="1" t="s">
        <v>105</v>
      </c>
      <c r="BZ549" s="1" t="s">
        <v>105</v>
      </c>
      <c r="CA549" s="1" t="s">
        <v>157</v>
      </c>
      <c r="CB549" s="1" t="s">
        <v>105</v>
      </c>
      <c r="CC549" s="1" t="s">
        <v>157</v>
      </c>
      <c r="CD549" s="1" t="s">
        <v>105</v>
      </c>
      <c r="CE549" s="4"/>
      <c r="CF549" s="4"/>
    </row>
    <row r="550" hidden="1">
      <c r="A550" s="1" t="s">
        <v>82</v>
      </c>
      <c r="B550" s="1" t="s">
        <v>92</v>
      </c>
      <c r="C550" s="1">
        <v>27.0</v>
      </c>
      <c r="D550" s="5" t="s">
        <v>2430</v>
      </c>
      <c r="E550" s="1" t="s">
        <v>2431</v>
      </c>
      <c r="F550" s="1">
        <v>83.0</v>
      </c>
      <c r="G550" s="1">
        <v>0.8783</v>
      </c>
      <c r="H550" s="1" t="s">
        <v>2432</v>
      </c>
      <c r="I550" s="4" t="b">
        <f>IFERROR(__xludf.DUMMYFUNCTION("IF(H550="""",,REGEXMATCH(H550,""[א-ת]""))"),FALSE)</f>
        <v>0</v>
      </c>
      <c r="J550" s="4"/>
      <c r="K550" s="4"/>
      <c r="L550" s="1">
        <v>0.9443</v>
      </c>
      <c r="M550" s="1">
        <v>35.07</v>
      </c>
      <c r="N550" s="1">
        <v>49.4</v>
      </c>
      <c r="O550" s="1">
        <v>0.5951807229</v>
      </c>
      <c r="P550" s="4"/>
      <c r="Q550" s="4"/>
      <c r="R550" s="1" t="s">
        <v>96</v>
      </c>
      <c r="S550" s="1" t="s">
        <v>2431</v>
      </c>
      <c r="T550" s="1" t="s">
        <v>92</v>
      </c>
      <c r="U550" s="1">
        <v>28.0</v>
      </c>
      <c r="V550" s="5" t="s">
        <v>2430</v>
      </c>
      <c r="W550" s="1" t="s">
        <v>2431</v>
      </c>
      <c r="X550" s="1" t="s">
        <v>2433</v>
      </c>
      <c r="Y550" s="4"/>
      <c r="Z550" s="4"/>
      <c r="AA550" s="4" t="b">
        <f>IFERROR(__xludf.DUMMYFUNCTION("IF(X550="""",,REGEXMATCH(X550,""[א-ת]""))"),FALSE)</f>
        <v>0</v>
      </c>
      <c r="AB550" s="1">
        <v>33.45</v>
      </c>
      <c r="AC550" s="1">
        <v>53.01</v>
      </c>
      <c r="AD550" s="1">
        <v>0.572399880806124</v>
      </c>
      <c r="AE550" s="1">
        <v>0.8278</v>
      </c>
      <c r="AF550" s="1">
        <v>0.8783</v>
      </c>
      <c r="AG550" s="1">
        <v>6.337</v>
      </c>
      <c r="AH550" s="1">
        <v>6.781</v>
      </c>
      <c r="AI550" s="1" t="b">
        <v>0</v>
      </c>
      <c r="AJ550" s="1" t="b">
        <v>0</v>
      </c>
      <c r="AK550" s="1">
        <v>94.182</v>
      </c>
      <c r="AL550" s="1">
        <v>96.508</v>
      </c>
      <c r="AM550" s="1" t="b">
        <v>0</v>
      </c>
      <c r="AN550" s="1" t="b">
        <v>0</v>
      </c>
      <c r="AO550" s="1">
        <v>8.05</v>
      </c>
      <c r="AP550" s="1">
        <v>8.53399999999999</v>
      </c>
      <c r="AQ550" s="1" t="b">
        <v>0</v>
      </c>
      <c r="AR550" s="1" t="b">
        <v>0</v>
      </c>
      <c r="AS550" s="1">
        <v>86.9179999999999</v>
      </c>
      <c r="AT550" s="1">
        <v>87.152</v>
      </c>
      <c r="AU550" s="1" t="b">
        <v>0</v>
      </c>
      <c r="AV550" s="1" t="b">
        <v>0</v>
      </c>
      <c r="AW550" s="1">
        <v>9.61399999999999</v>
      </c>
      <c r="AX550" s="1">
        <v>11.026</v>
      </c>
      <c r="AY550" s="1" t="b">
        <v>0</v>
      </c>
      <c r="AZ550" s="1" t="b">
        <v>0</v>
      </c>
      <c r="BA550" s="1">
        <v>81.25</v>
      </c>
      <c r="BB550" s="1">
        <v>77.78</v>
      </c>
      <c r="BC550" s="1" t="b">
        <v>0</v>
      </c>
      <c r="BD550" s="1" t="b">
        <v>0</v>
      </c>
      <c r="BE550" s="1">
        <v>11.34</v>
      </c>
      <c r="BF550" s="1">
        <v>13.285</v>
      </c>
      <c r="BG550" s="1" t="b">
        <v>0</v>
      </c>
      <c r="BH550" s="1" t="b">
        <v>0</v>
      </c>
      <c r="BI550" s="1">
        <v>77.78</v>
      </c>
      <c r="BJ550" s="1">
        <v>75.0</v>
      </c>
      <c r="BK550" s="1" t="b">
        <v>0</v>
      </c>
      <c r="BL550" s="1" t="b">
        <v>0</v>
      </c>
      <c r="BM550" s="1">
        <v>13.121</v>
      </c>
      <c r="BN550" s="1">
        <v>14.568</v>
      </c>
      <c r="BO550" s="1" t="b">
        <v>0</v>
      </c>
      <c r="BP550" s="1" t="b">
        <v>0</v>
      </c>
      <c r="BQ550" s="1">
        <v>75.0</v>
      </c>
      <c r="BR550" s="1">
        <v>72.027</v>
      </c>
      <c r="BS550" s="1" t="b">
        <v>0</v>
      </c>
      <c r="BT550" s="1" t="b">
        <v>0</v>
      </c>
      <c r="BU550" s="1" t="s">
        <v>105</v>
      </c>
      <c r="BV550" s="1" t="s">
        <v>105</v>
      </c>
      <c r="BW550" s="1" t="s">
        <v>105</v>
      </c>
      <c r="BX550" s="1" t="s">
        <v>105</v>
      </c>
      <c r="BY550" s="1" t="s">
        <v>105</v>
      </c>
      <c r="BZ550" s="1" t="s">
        <v>105</v>
      </c>
      <c r="CA550" s="1" t="s">
        <v>105</v>
      </c>
      <c r="CB550" s="1" t="s">
        <v>105</v>
      </c>
      <c r="CC550" s="1" t="s">
        <v>105</v>
      </c>
      <c r="CD550" s="1" t="s">
        <v>105</v>
      </c>
      <c r="CE550" s="4"/>
      <c r="CF550" s="4"/>
    </row>
    <row r="551" hidden="1">
      <c r="A551" s="1" t="s">
        <v>82</v>
      </c>
      <c r="B551" s="1" t="s">
        <v>333</v>
      </c>
      <c r="C551" s="1">
        <v>13.0</v>
      </c>
      <c r="D551" s="5" t="s">
        <v>2434</v>
      </c>
      <c r="E551" s="1" t="s">
        <v>2435</v>
      </c>
      <c r="F551" s="1">
        <v>31.0</v>
      </c>
      <c r="G551" s="1">
        <v>-0.7579</v>
      </c>
      <c r="H551" s="1" t="s">
        <v>2436</v>
      </c>
      <c r="I551" s="4" t="b">
        <f>IFERROR(__xludf.DUMMYFUNCTION("IF(H551="""",,REGEXMATCH(H551,""[א-ת]""))"),FALSE)</f>
        <v>0</v>
      </c>
      <c r="J551" s="4"/>
      <c r="K551" s="4"/>
      <c r="L551" s="1">
        <v>-0.7579</v>
      </c>
      <c r="M551" s="1">
        <v>35.1</v>
      </c>
      <c r="N551" s="1">
        <v>54.84</v>
      </c>
      <c r="O551" s="1">
        <v>1.769032258</v>
      </c>
      <c r="P551" s="4"/>
      <c r="Q551" s="4"/>
      <c r="R551" s="1" t="s">
        <v>89</v>
      </c>
      <c r="S551" s="1" t="s">
        <v>2435</v>
      </c>
      <c r="T551" s="1" t="s">
        <v>333</v>
      </c>
      <c r="U551" s="1">
        <v>14.0</v>
      </c>
      <c r="V551" s="5" t="s">
        <v>2434</v>
      </c>
      <c r="W551" s="1" t="s">
        <v>2435</v>
      </c>
      <c r="X551" s="1" t="s">
        <v>2437</v>
      </c>
      <c r="Y551" s="4"/>
      <c r="Z551" s="4"/>
      <c r="AA551" s="4" t="b">
        <f>IFERROR(__xludf.DUMMYFUNCTION("IF(X551="""",,REGEXMATCH(X551,""[א-ת]""))"),TRUE)</f>
        <v>1</v>
      </c>
      <c r="AB551" s="1">
        <v>14.91</v>
      </c>
      <c r="AC551" s="1">
        <v>106.45</v>
      </c>
      <c r="AD551" s="1">
        <v>0.654434831364085</v>
      </c>
      <c r="AE551" s="1">
        <v>-0.782</v>
      </c>
      <c r="AF551" s="1">
        <v>-0.7579</v>
      </c>
      <c r="AG551" s="1">
        <v>6.337</v>
      </c>
      <c r="AH551" s="1">
        <v>6.781</v>
      </c>
      <c r="AI551" s="1" t="b">
        <v>0</v>
      </c>
      <c r="AJ551" s="1" t="b">
        <v>0</v>
      </c>
      <c r="AK551" s="1">
        <v>94.182</v>
      </c>
      <c r="AL551" s="1">
        <v>96.508</v>
      </c>
      <c r="AM551" s="1" t="b">
        <v>0</v>
      </c>
      <c r="AN551" s="1" t="b">
        <v>1</v>
      </c>
      <c r="AO551" s="1">
        <v>8.05</v>
      </c>
      <c r="AP551" s="1">
        <v>8.53399999999999</v>
      </c>
      <c r="AQ551" s="1" t="b">
        <v>0</v>
      </c>
      <c r="AR551" s="1" t="b">
        <v>0</v>
      </c>
      <c r="AS551" s="1">
        <v>86.9179999999999</v>
      </c>
      <c r="AT551" s="1">
        <v>87.152</v>
      </c>
      <c r="AU551" s="1" t="b">
        <v>0</v>
      </c>
      <c r="AV551" s="1" t="b">
        <v>1</v>
      </c>
      <c r="AW551" s="1">
        <v>9.61399999999999</v>
      </c>
      <c r="AX551" s="1">
        <v>11.026</v>
      </c>
      <c r="AY551" s="1" t="b">
        <v>0</v>
      </c>
      <c r="AZ551" s="1" t="b">
        <v>0</v>
      </c>
      <c r="BA551" s="1">
        <v>81.25</v>
      </c>
      <c r="BB551" s="1">
        <v>77.78</v>
      </c>
      <c r="BC551" s="1" t="b">
        <v>0</v>
      </c>
      <c r="BD551" s="1" t="b">
        <v>1</v>
      </c>
      <c r="BE551" s="1">
        <v>11.34</v>
      </c>
      <c r="BF551" s="1">
        <v>13.285</v>
      </c>
      <c r="BG551" s="1" t="b">
        <v>0</v>
      </c>
      <c r="BH551" s="1" t="b">
        <v>0</v>
      </c>
      <c r="BI551" s="1">
        <v>77.78</v>
      </c>
      <c r="BJ551" s="1">
        <v>75.0</v>
      </c>
      <c r="BK551" s="1" t="b">
        <v>0</v>
      </c>
      <c r="BL551" s="1" t="b">
        <v>1</v>
      </c>
      <c r="BM551" s="1">
        <v>13.121</v>
      </c>
      <c r="BN551" s="1">
        <v>14.568</v>
      </c>
      <c r="BO551" s="1" t="b">
        <v>0</v>
      </c>
      <c r="BP551" s="1" t="b">
        <v>0</v>
      </c>
      <c r="BQ551" s="1">
        <v>75.0</v>
      </c>
      <c r="BR551" s="1">
        <v>72.027</v>
      </c>
      <c r="BS551" s="1" t="b">
        <v>0</v>
      </c>
      <c r="BT551" s="1" t="b">
        <v>1</v>
      </c>
      <c r="BU551" s="1" t="s">
        <v>105</v>
      </c>
      <c r="BV551" s="1" t="s">
        <v>157</v>
      </c>
      <c r="BW551" s="1" t="s">
        <v>105</v>
      </c>
      <c r="BX551" s="1" t="s">
        <v>157</v>
      </c>
      <c r="BY551" s="1" t="s">
        <v>105</v>
      </c>
      <c r="BZ551" s="1" t="s">
        <v>157</v>
      </c>
      <c r="CA551" s="1" t="s">
        <v>105</v>
      </c>
      <c r="CB551" s="1" t="s">
        <v>157</v>
      </c>
      <c r="CC551" s="1" t="s">
        <v>105</v>
      </c>
      <c r="CD551" s="1" t="s">
        <v>157</v>
      </c>
      <c r="CE551" s="4"/>
      <c r="CF551" s="4"/>
    </row>
    <row r="552" hidden="1">
      <c r="A552" s="1" t="s">
        <v>82</v>
      </c>
      <c r="B552" s="1" t="s">
        <v>251</v>
      </c>
      <c r="C552" s="1">
        <v>0.0</v>
      </c>
      <c r="D552" s="5" t="s">
        <v>2438</v>
      </c>
      <c r="E552" s="1" t="s">
        <v>2439</v>
      </c>
      <c r="F552" s="1">
        <v>61.0</v>
      </c>
      <c r="G552" s="1">
        <v>-0.2263</v>
      </c>
      <c r="H552" s="1" t="s">
        <v>2440</v>
      </c>
      <c r="I552" s="4" t="b">
        <f>IFERROR(__xludf.DUMMYFUNCTION("IF(H552="""",,REGEXMATCH(H552,""[א-ת]""))"),FALSE)</f>
        <v>0</v>
      </c>
      <c r="J552" s="4"/>
      <c r="K552" s="4"/>
      <c r="L552" s="1">
        <v>0.1779</v>
      </c>
      <c r="M552" s="1">
        <v>35.14</v>
      </c>
      <c r="N552" s="1">
        <v>47.54</v>
      </c>
      <c r="O552" s="1">
        <v>0.7793442623</v>
      </c>
      <c r="P552" s="4"/>
      <c r="Q552" s="4"/>
      <c r="R552" s="1" t="s">
        <v>89</v>
      </c>
      <c r="S552" s="1" t="s">
        <v>2439</v>
      </c>
      <c r="T552" s="1" t="s">
        <v>251</v>
      </c>
      <c r="U552" s="1">
        <v>1.0</v>
      </c>
      <c r="V552" s="5" t="s">
        <v>2438</v>
      </c>
      <c r="W552" s="1" t="s">
        <v>2439</v>
      </c>
      <c r="X552" s="1" t="s">
        <v>2441</v>
      </c>
      <c r="Y552" s="4"/>
      <c r="Z552" s="4"/>
      <c r="AA552" s="4" t="b">
        <f>IFERROR(__xludf.DUMMYFUNCTION("IF(X552="""",,REGEXMATCH(X552,""[א-ת]""))"),FALSE)</f>
        <v>0</v>
      </c>
      <c r="AB552" s="1">
        <v>41.92</v>
      </c>
      <c r="AC552" s="1">
        <v>39.34</v>
      </c>
      <c r="AD552" s="1">
        <v>0.902392401374475</v>
      </c>
      <c r="AE552" s="1">
        <v>0.1779</v>
      </c>
      <c r="AF552" s="1">
        <v>-0.2263</v>
      </c>
      <c r="AG552" s="1">
        <v>6.337</v>
      </c>
      <c r="AH552" s="1">
        <v>6.781</v>
      </c>
      <c r="AI552" s="1" t="b">
        <v>0</v>
      </c>
      <c r="AJ552" s="1" t="b">
        <v>0</v>
      </c>
      <c r="AK552" s="1">
        <v>94.182</v>
      </c>
      <c r="AL552" s="1">
        <v>96.508</v>
      </c>
      <c r="AM552" s="1" t="b">
        <v>0</v>
      </c>
      <c r="AN552" s="1" t="b">
        <v>0</v>
      </c>
      <c r="AO552" s="1">
        <v>8.05</v>
      </c>
      <c r="AP552" s="1">
        <v>8.53399999999999</v>
      </c>
      <c r="AQ552" s="1" t="b">
        <v>0</v>
      </c>
      <c r="AR552" s="1" t="b">
        <v>0</v>
      </c>
      <c r="AS552" s="1">
        <v>86.9179999999999</v>
      </c>
      <c r="AT552" s="1">
        <v>87.152</v>
      </c>
      <c r="AU552" s="1" t="b">
        <v>0</v>
      </c>
      <c r="AV552" s="1" t="b">
        <v>0</v>
      </c>
      <c r="AW552" s="1">
        <v>9.61399999999999</v>
      </c>
      <c r="AX552" s="1">
        <v>11.026</v>
      </c>
      <c r="AY552" s="1" t="b">
        <v>0</v>
      </c>
      <c r="AZ552" s="1" t="b">
        <v>0</v>
      </c>
      <c r="BA552" s="1">
        <v>81.25</v>
      </c>
      <c r="BB552" s="1">
        <v>77.78</v>
      </c>
      <c r="BC552" s="1" t="b">
        <v>0</v>
      </c>
      <c r="BD552" s="1" t="b">
        <v>0</v>
      </c>
      <c r="BE552" s="1">
        <v>11.34</v>
      </c>
      <c r="BF552" s="1">
        <v>13.285</v>
      </c>
      <c r="BG552" s="1" t="b">
        <v>0</v>
      </c>
      <c r="BH552" s="1" t="b">
        <v>0</v>
      </c>
      <c r="BI552" s="1">
        <v>77.78</v>
      </c>
      <c r="BJ552" s="1">
        <v>75.0</v>
      </c>
      <c r="BK552" s="1" t="b">
        <v>0</v>
      </c>
      <c r="BL552" s="1" t="b">
        <v>0</v>
      </c>
      <c r="BM552" s="1">
        <v>13.121</v>
      </c>
      <c r="BN552" s="1">
        <v>14.568</v>
      </c>
      <c r="BO552" s="1" t="b">
        <v>0</v>
      </c>
      <c r="BP552" s="1" t="b">
        <v>0</v>
      </c>
      <c r="BQ552" s="1">
        <v>75.0</v>
      </c>
      <c r="BR552" s="1">
        <v>72.027</v>
      </c>
      <c r="BS552" s="1" t="b">
        <v>0</v>
      </c>
      <c r="BT552" s="1" t="b">
        <v>0</v>
      </c>
      <c r="BU552" s="1" t="s">
        <v>105</v>
      </c>
      <c r="BV552" s="1" t="s">
        <v>105</v>
      </c>
      <c r="BW552" s="1" t="s">
        <v>105</v>
      </c>
      <c r="BX552" s="1" t="s">
        <v>105</v>
      </c>
      <c r="BY552" s="1" t="s">
        <v>105</v>
      </c>
      <c r="BZ552" s="1" t="s">
        <v>105</v>
      </c>
      <c r="CA552" s="1" t="s">
        <v>105</v>
      </c>
      <c r="CB552" s="1" t="s">
        <v>105</v>
      </c>
      <c r="CC552" s="1" t="s">
        <v>105</v>
      </c>
      <c r="CD552" s="1" t="s">
        <v>105</v>
      </c>
      <c r="CE552" s="4"/>
      <c r="CF552" s="4"/>
    </row>
    <row r="553" hidden="1">
      <c r="A553" s="1" t="s">
        <v>82</v>
      </c>
      <c r="B553" s="1" t="s">
        <v>158</v>
      </c>
      <c r="C553" s="1">
        <v>9.0</v>
      </c>
      <c r="D553" s="5" t="s">
        <v>2442</v>
      </c>
      <c r="E553" s="1" t="s">
        <v>2443</v>
      </c>
      <c r="F553" s="1">
        <v>30.0</v>
      </c>
      <c r="G553" s="1">
        <v>0.0</v>
      </c>
      <c r="H553" s="1" t="s">
        <v>2444</v>
      </c>
      <c r="I553" s="4" t="b">
        <f>IFERROR(__xludf.DUMMYFUNCTION("IF(H553="""",,REGEXMATCH(H553,""[א-ת]""))"),FALSE)</f>
        <v>0</v>
      </c>
      <c r="J553" s="4"/>
      <c r="K553" s="4"/>
      <c r="L553" s="1">
        <v>-0.5719</v>
      </c>
      <c r="M553" s="1">
        <v>35.29</v>
      </c>
      <c r="N553" s="1">
        <v>63.33</v>
      </c>
      <c r="O553" s="1">
        <v>2.111</v>
      </c>
      <c r="P553" s="4"/>
      <c r="Q553" s="4"/>
      <c r="R553" s="1" t="s">
        <v>89</v>
      </c>
      <c r="S553" s="1" t="s">
        <v>2443</v>
      </c>
      <c r="T553" s="1" t="s">
        <v>158</v>
      </c>
      <c r="U553" s="1">
        <v>10.0</v>
      </c>
      <c r="V553" s="5" t="s">
        <v>2442</v>
      </c>
      <c r="W553" s="1" t="s">
        <v>2443</v>
      </c>
      <c r="X553" s="1" t="s">
        <v>2445</v>
      </c>
      <c r="Y553" s="4"/>
      <c r="Z553" s="4"/>
      <c r="AA553" s="4" t="b">
        <f>IFERROR(__xludf.DUMMYFUNCTION("IF(X553="""",,REGEXMATCH(X553,""[א-ת]""))"),FALSE)</f>
        <v>0</v>
      </c>
      <c r="AB553" s="1">
        <v>32.11</v>
      </c>
      <c r="AC553" s="1">
        <v>50.0</v>
      </c>
      <c r="AD553" s="1">
        <v>0.448837515568648</v>
      </c>
      <c r="AE553" s="1">
        <v>0.0</v>
      </c>
      <c r="AF553" s="1">
        <v>0.0</v>
      </c>
      <c r="AG553" s="1">
        <v>6.337</v>
      </c>
      <c r="AH553" s="1">
        <v>6.781</v>
      </c>
      <c r="AI553" s="1" t="b">
        <v>0</v>
      </c>
      <c r="AJ553" s="1" t="b">
        <v>0</v>
      </c>
      <c r="AK553" s="1">
        <v>94.182</v>
      </c>
      <c r="AL553" s="1">
        <v>96.508</v>
      </c>
      <c r="AM553" s="1" t="b">
        <v>0</v>
      </c>
      <c r="AN553" s="1" t="b">
        <v>0</v>
      </c>
      <c r="AO553" s="1">
        <v>8.05</v>
      </c>
      <c r="AP553" s="1">
        <v>8.53399999999999</v>
      </c>
      <c r="AQ553" s="1" t="b">
        <v>0</v>
      </c>
      <c r="AR553" s="1" t="b">
        <v>0</v>
      </c>
      <c r="AS553" s="1">
        <v>86.9179999999999</v>
      </c>
      <c r="AT553" s="1">
        <v>87.152</v>
      </c>
      <c r="AU553" s="1" t="b">
        <v>0</v>
      </c>
      <c r="AV553" s="1" t="b">
        <v>0</v>
      </c>
      <c r="AW553" s="1">
        <v>9.61399999999999</v>
      </c>
      <c r="AX553" s="1">
        <v>11.026</v>
      </c>
      <c r="AY553" s="1" t="b">
        <v>0</v>
      </c>
      <c r="AZ553" s="1" t="b">
        <v>0</v>
      </c>
      <c r="BA553" s="1">
        <v>81.25</v>
      </c>
      <c r="BB553" s="1">
        <v>77.78</v>
      </c>
      <c r="BC553" s="1" t="b">
        <v>0</v>
      </c>
      <c r="BD553" s="1" t="b">
        <v>0</v>
      </c>
      <c r="BE553" s="1">
        <v>11.34</v>
      </c>
      <c r="BF553" s="1">
        <v>13.285</v>
      </c>
      <c r="BG553" s="1" t="b">
        <v>0</v>
      </c>
      <c r="BH553" s="1" t="b">
        <v>0</v>
      </c>
      <c r="BI553" s="1">
        <v>77.78</v>
      </c>
      <c r="BJ553" s="1">
        <v>75.0</v>
      </c>
      <c r="BK553" s="1" t="b">
        <v>0</v>
      </c>
      <c r="BL553" s="1" t="b">
        <v>0</v>
      </c>
      <c r="BM553" s="1">
        <v>13.121</v>
      </c>
      <c r="BN553" s="1">
        <v>14.568</v>
      </c>
      <c r="BO553" s="1" t="b">
        <v>0</v>
      </c>
      <c r="BP553" s="1" t="b">
        <v>0</v>
      </c>
      <c r="BQ553" s="1">
        <v>75.0</v>
      </c>
      <c r="BR553" s="1">
        <v>72.027</v>
      </c>
      <c r="BS553" s="1" t="b">
        <v>0</v>
      </c>
      <c r="BT553" s="1" t="b">
        <v>0</v>
      </c>
      <c r="BU553" s="1" t="s">
        <v>105</v>
      </c>
      <c r="BV553" s="1" t="s">
        <v>105</v>
      </c>
      <c r="BW553" s="1" t="s">
        <v>105</v>
      </c>
      <c r="BX553" s="1" t="s">
        <v>105</v>
      </c>
      <c r="BY553" s="1" t="s">
        <v>105</v>
      </c>
      <c r="BZ553" s="1" t="s">
        <v>105</v>
      </c>
      <c r="CA553" s="1" t="s">
        <v>105</v>
      </c>
      <c r="CB553" s="1" t="s">
        <v>105</v>
      </c>
      <c r="CC553" s="1" t="s">
        <v>105</v>
      </c>
      <c r="CD553" s="1" t="s">
        <v>105</v>
      </c>
      <c r="CE553" s="4"/>
      <c r="CF553" s="4"/>
    </row>
    <row r="554" hidden="1">
      <c r="A554" s="1" t="s">
        <v>82</v>
      </c>
      <c r="B554" s="1" t="s">
        <v>524</v>
      </c>
      <c r="C554" s="1">
        <v>8.0</v>
      </c>
      <c r="D554" s="5" t="s">
        <v>2446</v>
      </c>
      <c r="E554" s="1" t="s">
        <v>2447</v>
      </c>
      <c r="F554" s="1">
        <v>32.0</v>
      </c>
      <c r="G554" s="1">
        <v>0.2732</v>
      </c>
      <c r="H554" s="1" t="s">
        <v>2448</v>
      </c>
      <c r="I554" s="4" t="b">
        <f>IFERROR(__xludf.DUMMYFUNCTION("IF(H554="""",,REGEXMATCH(H554,""[א-ת]""))"),FALSE)</f>
        <v>0</v>
      </c>
      <c r="J554" s="4"/>
      <c r="K554" s="4"/>
      <c r="L554" s="1">
        <v>0.2732</v>
      </c>
      <c r="M554" s="1">
        <v>35.31</v>
      </c>
      <c r="N554" s="1">
        <v>46.88</v>
      </c>
      <c r="O554" s="1">
        <v>1.465</v>
      </c>
      <c r="P554" s="4"/>
      <c r="Q554" s="4"/>
      <c r="R554" s="1" t="s">
        <v>89</v>
      </c>
      <c r="S554" s="1" t="s">
        <v>2447</v>
      </c>
      <c r="T554" s="1" t="s">
        <v>524</v>
      </c>
      <c r="U554" s="1">
        <v>9.0</v>
      </c>
      <c r="V554" s="5" t="s">
        <v>2446</v>
      </c>
      <c r="W554" s="1" t="s">
        <v>2447</v>
      </c>
      <c r="X554" s="1" t="s">
        <v>2449</v>
      </c>
      <c r="Y554" s="4"/>
      <c r="Z554" s="4"/>
      <c r="AA554" s="4" t="b">
        <f>IFERROR(__xludf.DUMMYFUNCTION("IF(X554="""",,REGEXMATCH(X554,""[א-ת]""))"),FALSE)</f>
        <v>0</v>
      </c>
      <c r="AB554" s="1">
        <v>30.05</v>
      </c>
      <c r="AC554" s="1">
        <v>50.0</v>
      </c>
      <c r="AD554" s="1">
        <v>0.788463622018254</v>
      </c>
      <c r="AE554" s="1">
        <v>0.2732</v>
      </c>
      <c r="AF554" s="1">
        <v>0.2732</v>
      </c>
      <c r="AG554" s="1">
        <v>6.337</v>
      </c>
      <c r="AH554" s="1">
        <v>6.781</v>
      </c>
      <c r="AI554" s="1" t="b">
        <v>0</v>
      </c>
      <c r="AJ554" s="1" t="b">
        <v>0</v>
      </c>
      <c r="AK554" s="1">
        <v>94.182</v>
      </c>
      <c r="AL554" s="1">
        <v>96.508</v>
      </c>
      <c r="AM554" s="1" t="b">
        <v>0</v>
      </c>
      <c r="AN554" s="1" t="b">
        <v>0</v>
      </c>
      <c r="AO554" s="1">
        <v>8.05</v>
      </c>
      <c r="AP554" s="1">
        <v>8.53399999999999</v>
      </c>
      <c r="AQ554" s="1" t="b">
        <v>0</v>
      </c>
      <c r="AR554" s="1" t="b">
        <v>0</v>
      </c>
      <c r="AS554" s="1">
        <v>86.9179999999999</v>
      </c>
      <c r="AT554" s="1">
        <v>87.152</v>
      </c>
      <c r="AU554" s="1" t="b">
        <v>0</v>
      </c>
      <c r="AV554" s="1" t="b">
        <v>0</v>
      </c>
      <c r="AW554" s="1">
        <v>9.61399999999999</v>
      </c>
      <c r="AX554" s="1">
        <v>11.026</v>
      </c>
      <c r="AY554" s="1" t="b">
        <v>0</v>
      </c>
      <c r="AZ554" s="1" t="b">
        <v>0</v>
      </c>
      <c r="BA554" s="1">
        <v>81.25</v>
      </c>
      <c r="BB554" s="1">
        <v>77.78</v>
      </c>
      <c r="BC554" s="1" t="b">
        <v>0</v>
      </c>
      <c r="BD554" s="1" t="b">
        <v>0</v>
      </c>
      <c r="BE554" s="1">
        <v>11.34</v>
      </c>
      <c r="BF554" s="1">
        <v>13.285</v>
      </c>
      <c r="BG554" s="1" t="b">
        <v>0</v>
      </c>
      <c r="BH554" s="1" t="b">
        <v>0</v>
      </c>
      <c r="BI554" s="1">
        <v>77.78</v>
      </c>
      <c r="BJ554" s="1">
        <v>75.0</v>
      </c>
      <c r="BK554" s="1" t="b">
        <v>0</v>
      </c>
      <c r="BL554" s="1" t="b">
        <v>0</v>
      </c>
      <c r="BM554" s="1">
        <v>13.121</v>
      </c>
      <c r="BN554" s="1">
        <v>14.568</v>
      </c>
      <c r="BO554" s="1" t="b">
        <v>0</v>
      </c>
      <c r="BP554" s="1" t="b">
        <v>0</v>
      </c>
      <c r="BQ554" s="1">
        <v>75.0</v>
      </c>
      <c r="BR554" s="1">
        <v>72.027</v>
      </c>
      <c r="BS554" s="1" t="b">
        <v>0</v>
      </c>
      <c r="BT554" s="1" t="b">
        <v>0</v>
      </c>
      <c r="BU554" s="1" t="s">
        <v>105</v>
      </c>
      <c r="BV554" s="1" t="s">
        <v>105</v>
      </c>
      <c r="BW554" s="1" t="s">
        <v>105</v>
      </c>
      <c r="BX554" s="1" t="s">
        <v>105</v>
      </c>
      <c r="BY554" s="1" t="s">
        <v>105</v>
      </c>
      <c r="BZ554" s="1" t="s">
        <v>105</v>
      </c>
      <c r="CA554" s="1" t="s">
        <v>105</v>
      </c>
      <c r="CB554" s="1" t="s">
        <v>105</v>
      </c>
      <c r="CC554" s="1" t="s">
        <v>105</v>
      </c>
      <c r="CD554" s="1" t="s">
        <v>105</v>
      </c>
      <c r="CE554" s="4"/>
      <c r="CF554" s="4"/>
    </row>
    <row r="555" hidden="1">
      <c r="A555" s="1" t="s">
        <v>82</v>
      </c>
      <c r="B555" s="1" t="s">
        <v>631</v>
      </c>
      <c r="C555" s="1">
        <v>9.0</v>
      </c>
      <c r="D555" s="5" t="s">
        <v>2450</v>
      </c>
      <c r="E555" s="1" t="s">
        <v>2451</v>
      </c>
      <c r="F555" s="1">
        <v>91.0</v>
      </c>
      <c r="G555" s="1">
        <v>0.9062</v>
      </c>
      <c r="H555" s="1" t="s">
        <v>2452</v>
      </c>
      <c r="I555" s="4" t="b">
        <f>IFERROR(__xludf.DUMMYFUNCTION("IF(H555="""",,REGEXMATCH(H555,""[א-ת]""))"),FALSE)</f>
        <v>0</v>
      </c>
      <c r="J555" s="4"/>
      <c r="K555" s="4"/>
      <c r="L555" s="1">
        <v>0.0</v>
      </c>
      <c r="M555" s="1">
        <v>35.4</v>
      </c>
      <c r="N555" s="1">
        <v>50.55</v>
      </c>
      <c r="O555" s="1">
        <v>0.5554945055</v>
      </c>
      <c r="P555" s="4"/>
      <c r="Q555" s="4"/>
      <c r="R555" s="1" t="s">
        <v>89</v>
      </c>
      <c r="S555" s="1" t="s">
        <v>2451</v>
      </c>
      <c r="T555" s="1" t="s">
        <v>631</v>
      </c>
      <c r="U555" s="1">
        <v>10.0</v>
      </c>
      <c r="V555" s="5" t="s">
        <v>2450</v>
      </c>
      <c r="W555" s="1" t="s">
        <v>2451</v>
      </c>
      <c r="X555" s="1" t="s">
        <v>2453</v>
      </c>
      <c r="Y555" s="4"/>
      <c r="Z555" s="4"/>
      <c r="AA555" s="4" t="b">
        <f>IFERROR(__xludf.DUMMYFUNCTION("IF(X555="""",,REGEXMATCH(X555,""[א-ת]""))"),FALSE)</f>
        <v>0</v>
      </c>
      <c r="AB555" s="1">
        <v>37.95</v>
      </c>
      <c r="AC555" s="1">
        <v>46.15</v>
      </c>
      <c r="AD555" s="1">
        <v>0.721097167397623</v>
      </c>
      <c r="AE555" s="1">
        <v>0.0</v>
      </c>
      <c r="AF555" s="1">
        <v>0.9062</v>
      </c>
      <c r="AG555" s="1">
        <v>6.337</v>
      </c>
      <c r="AH555" s="1">
        <v>6.781</v>
      </c>
      <c r="AI555" s="1" t="b">
        <v>0</v>
      </c>
      <c r="AJ555" s="1" t="b">
        <v>0</v>
      </c>
      <c r="AK555" s="1">
        <v>94.182</v>
      </c>
      <c r="AL555" s="1">
        <v>96.508</v>
      </c>
      <c r="AM555" s="1" t="b">
        <v>0</v>
      </c>
      <c r="AN555" s="1" t="b">
        <v>0</v>
      </c>
      <c r="AO555" s="1">
        <v>8.05</v>
      </c>
      <c r="AP555" s="1">
        <v>8.53399999999999</v>
      </c>
      <c r="AQ555" s="1" t="b">
        <v>0</v>
      </c>
      <c r="AR555" s="1" t="b">
        <v>0</v>
      </c>
      <c r="AS555" s="1">
        <v>86.9179999999999</v>
      </c>
      <c r="AT555" s="1">
        <v>87.152</v>
      </c>
      <c r="AU555" s="1" t="b">
        <v>0</v>
      </c>
      <c r="AV555" s="1" t="b">
        <v>0</v>
      </c>
      <c r="AW555" s="1">
        <v>9.61399999999999</v>
      </c>
      <c r="AX555" s="1">
        <v>11.026</v>
      </c>
      <c r="AY555" s="1" t="b">
        <v>0</v>
      </c>
      <c r="AZ555" s="1" t="b">
        <v>0</v>
      </c>
      <c r="BA555" s="1">
        <v>81.25</v>
      </c>
      <c r="BB555" s="1">
        <v>77.78</v>
      </c>
      <c r="BC555" s="1" t="b">
        <v>0</v>
      </c>
      <c r="BD555" s="1" t="b">
        <v>0</v>
      </c>
      <c r="BE555" s="1">
        <v>11.34</v>
      </c>
      <c r="BF555" s="1">
        <v>13.285</v>
      </c>
      <c r="BG555" s="1" t="b">
        <v>0</v>
      </c>
      <c r="BH555" s="1" t="b">
        <v>0</v>
      </c>
      <c r="BI555" s="1">
        <v>77.78</v>
      </c>
      <c r="BJ555" s="1">
        <v>75.0</v>
      </c>
      <c r="BK555" s="1" t="b">
        <v>0</v>
      </c>
      <c r="BL555" s="1" t="b">
        <v>0</v>
      </c>
      <c r="BM555" s="1">
        <v>13.121</v>
      </c>
      <c r="BN555" s="1">
        <v>14.568</v>
      </c>
      <c r="BO555" s="1" t="b">
        <v>0</v>
      </c>
      <c r="BP555" s="1" t="b">
        <v>0</v>
      </c>
      <c r="BQ555" s="1">
        <v>75.0</v>
      </c>
      <c r="BR555" s="1">
        <v>72.027</v>
      </c>
      <c r="BS555" s="1" t="b">
        <v>0</v>
      </c>
      <c r="BT555" s="1" t="b">
        <v>0</v>
      </c>
      <c r="BU555" s="1" t="s">
        <v>105</v>
      </c>
      <c r="BV555" s="1" t="s">
        <v>105</v>
      </c>
      <c r="BW555" s="1" t="s">
        <v>105</v>
      </c>
      <c r="BX555" s="1" t="s">
        <v>105</v>
      </c>
      <c r="BY555" s="1" t="s">
        <v>105</v>
      </c>
      <c r="BZ555" s="1" t="s">
        <v>105</v>
      </c>
      <c r="CA555" s="1" t="s">
        <v>105</v>
      </c>
      <c r="CB555" s="1" t="s">
        <v>105</v>
      </c>
      <c r="CC555" s="1" t="s">
        <v>105</v>
      </c>
      <c r="CD555" s="1" t="s">
        <v>105</v>
      </c>
      <c r="CE555" s="4"/>
      <c r="CF555" s="4"/>
    </row>
    <row r="556" hidden="1">
      <c r="A556" s="1" t="s">
        <v>82</v>
      </c>
      <c r="B556" s="1" t="s">
        <v>262</v>
      </c>
      <c r="C556" s="1">
        <v>8.0</v>
      </c>
      <c r="D556" s="5" t="s">
        <v>2454</v>
      </c>
      <c r="E556" s="1" t="s">
        <v>2455</v>
      </c>
      <c r="F556" s="1">
        <v>78.0</v>
      </c>
      <c r="G556" s="1">
        <v>-0.4585</v>
      </c>
      <c r="H556" s="1" t="s">
        <v>2456</v>
      </c>
      <c r="I556" s="4" t="b">
        <f>IFERROR(__xludf.DUMMYFUNCTION("IF(H556="""",,REGEXMATCH(H556,""[א-ת]""))"),FALSE)</f>
        <v>0</v>
      </c>
      <c r="J556" s="4"/>
      <c r="K556" s="4"/>
      <c r="L556" s="1">
        <v>0.0433</v>
      </c>
      <c r="M556" s="1">
        <v>35.74</v>
      </c>
      <c r="N556" s="1">
        <v>55.13</v>
      </c>
      <c r="O556" s="1">
        <v>0.7067948718</v>
      </c>
      <c r="P556" s="4"/>
      <c r="Q556" s="4"/>
      <c r="R556" s="1" t="s">
        <v>96</v>
      </c>
      <c r="S556" s="1" t="s">
        <v>2455</v>
      </c>
      <c r="T556" s="1" t="s">
        <v>262</v>
      </c>
      <c r="U556" s="1">
        <v>9.0</v>
      </c>
      <c r="V556" s="5" t="s">
        <v>2454</v>
      </c>
      <c r="W556" s="1" t="s">
        <v>2455</v>
      </c>
      <c r="X556" s="1" t="s">
        <v>2457</v>
      </c>
      <c r="Y556" s="4"/>
      <c r="Z556" s="4"/>
      <c r="AA556" s="4" t="b">
        <f>IFERROR(__xludf.DUMMYFUNCTION("IF(X556="""",,REGEXMATCH(X556,""[א-ת]""))"),FALSE)</f>
        <v>0</v>
      </c>
      <c r="AB556" s="1">
        <v>20.53</v>
      </c>
      <c r="AC556" s="1">
        <v>52.56</v>
      </c>
      <c r="AD556" s="1">
        <v>0.585148752256015</v>
      </c>
      <c r="AE556" s="1">
        <v>0.0433</v>
      </c>
      <c r="AF556" s="1">
        <v>-0.4585</v>
      </c>
      <c r="AG556" s="1">
        <v>6.337</v>
      </c>
      <c r="AH556" s="1">
        <v>6.781</v>
      </c>
      <c r="AI556" s="1" t="b">
        <v>0</v>
      </c>
      <c r="AJ556" s="1" t="b">
        <v>0</v>
      </c>
      <c r="AK556" s="1">
        <v>94.182</v>
      </c>
      <c r="AL556" s="1">
        <v>96.508</v>
      </c>
      <c r="AM556" s="1" t="b">
        <v>0</v>
      </c>
      <c r="AN556" s="1" t="b">
        <v>0</v>
      </c>
      <c r="AO556" s="1">
        <v>8.05</v>
      </c>
      <c r="AP556" s="1">
        <v>8.53399999999999</v>
      </c>
      <c r="AQ556" s="1" t="b">
        <v>0</v>
      </c>
      <c r="AR556" s="1" t="b">
        <v>0</v>
      </c>
      <c r="AS556" s="1">
        <v>86.9179999999999</v>
      </c>
      <c r="AT556" s="1">
        <v>87.152</v>
      </c>
      <c r="AU556" s="1" t="b">
        <v>0</v>
      </c>
      <c r="AV556" s="1" t="b">
        <v>0</v>
      </c>
      <c r="AW556" s="1">
        <v>9.61399999999999</v>
      </c>
      <c r="AX556" s="1">
        <v>11.026</v>
      </c>
      <c r="AY556" s="1" t="b">
        <v>0</v>
      </c>
      <c r="AZ556" s="1" t="b">
        <v>0</v>
      </c>
      <c r="BA556" s="1">
        <v>81.25</v>
      </c>
      <c r="BB556" s="1">
        <v>77.78</v>
      </c>
      <c r="BC556" s="1" t="b">
        <v>0</v>
      </c>
      <c r="BD556" s="1" t="b">
        <v>0</v>
      </c>
      <c r="BE556" s="1">
        <v>11.34</v>
      </c>
      <c r="BF556" s="1">
        <v>13.285</v>
      </c>
      <c r="BG556" s="1" t="b">
        <v>0</v>
      </c>
      <c r="BH556" s="1" t="b">
        <v>0</v>
      </c>
      <c r="BI556" s="1">
        <v>77.78</v>
      </c>
      <c r="BJ556" s="1">
        <v>75.0</v>
      </c>
      <c r="BK556" s="1" t="b">
        <v>0</v>
      </c>
      <c r="BL556" s="1" t="b">
        <v>0</v>
      </c>
      <c r="BM556" s="1">
        <v>13.121</v>
      </c>
      <c r="BN556" s="1">
        <v>14.568</v>
      </c>
      <c r="BO556" s="1" t="b">
        <v>0</v>
      </c>
      <c r="BP556" s="1" t="b">
        <v>0</v>
      </c>
      <c r="BQ556" s="1">
        <v>75.0</v>
      </c>
      <c r="BR556" s="1">
        <v>72.027</v>
      </c>
      <c r="BS556" s="1" t="b">
        <v>0</v>
      </c>
      <c r="BT556" s="1" t="b">
        <v>0</v>
      </c>
      <c r="BU556" s="1" t="s">
        <v>105</v>
      </c>
      <c r="BV556" s="1" t="s">
        <v>105</v>
      </c>
      <c r="BW556" s="1" t="s">
        <v>105</v>
      </c>
      <c r="BX556" s="1" t="s">
        <v>105</v>
      </c>
      <c r="BY556" s="1" t="s">
        <v>105</v>
      </c>
      <c r="BZ556" s="1" t="s">
        <v>105</v>
      </c>
      <c r="CA556" s="1" t="s">
        <v>105</v>
      </c>
      <c r="CB556" s="1" t="s">
        <v>105</v>
      </c>
      <c r="CC556" s="1" t="s">
        <v>105</v>
      </c>
      <c r="CD556" s="1" t="s">
        <v>105</v>
      </c>
      <c r="CE556" s="4"/>
      <c r="CF556" s="4"/>
    </row>
    <row r="557" hidden="1">
      <c r="A557" s="1" t="s">
        <v>82</v>
      </c>
      <c r="B557" s="1" t="s">
        <v>251</v>
      </c>
      <c r="C557" s="1">
        <v>22.0</v>
      </c>
      <c r="D557" s="5" t="s">
        <v>2458</v>
      </c>
      <c r="E557" s="1" t="s">
        <v>2459</v>
      </c>
      <c r="F557" s="1">
        <v>44.0</v>
      </c>
      <c r="G557" s="1">
        <v>0.5423</v>
      </c>
      <c r="H557" s="1" t="s">
        <v>2460</v>
      </c>
      <c r="I557" s="4" t="b">
        <f>IFERROR(__xludf.DUMMYFUNCTION("IF(H557="""",,REGEXMATCH(H557,""[א-ת]""))"),FALSE)</f>
        <v>0</v>
      </c>
      <c r="J557" s="4"/>
      <c r="K557" s="4"/>
      <c r="L557" s="1">
        <v>0.7815</v>
      </c>
      <c r="M557" s="1">
        <v>35.75</v>
      </c>
      <c r="N557" s="1">
        <v>61.36</v>
      </c>
      <c r="O557" s="1">
        <v>1.394545455</v>
      </c>
      <c r="P557" s="4"/>
      <c r="Q557" s="4"/>
      <c r="R557" s="1" t="s">
        <v>89</v>
      </c>
      <c r="S557" s="1" t="s">
        <v>2459</v>
      </c>
      <c r="T557" s="1" t="s">
        <v>251</v>
      </c>
      <c r="U557" s="1">
        <v>23.0</v>
      </c>
      <c r="V557" s="5" t="s">
        <v>2458</v>
      </c>
      <c r="W557" s="1" t="s">
        <v>2459</v>
      </c>
      <c r="X557" s="1" t="s">
        <v>2461</v>
      </c>
      <c r="Y557" s="4"/>
      <c r="Z557" s="4"/>
      <c r="AA557" s="4" t="b">
        <f>IFERROR(__xludf.DUMMYFUNCTION("IF(X557="""",,REGEXMATCH(X557,""[א-ת]""))"),FALSE)</f>
        <v>0</v>
      </c>
      <c r="AB557" s="1">
        <v>8.05</v>
      </c>
      <c r="AC557" s="1">
        <v>84.09</v>
      </c>
      <c r="AD557" s="1">
        <v>0.493960745445346</v>
      </c>
      <c r="AE557" s="1">
        <v>0.2621</v>
      </c>
      <c r="AF557" s="1">
        <v>0.5423</v>
      </c>
      <c r="AG557" s="1">
        <v>6.337</v>
      </c>
      <c r="AH557" s="1">
        <v>6.781</v>
      </c>
      <c r="AI557" s="1" t="b">
        <v>0</v>
      </c>
      <c r="AJ557" s="1" t="b">
        <v>0</v>
      </c>
      <c r="AK557" s="1">
        <v>94.182</v>
      </c>
      <c r="AL557" s="1">
        <v>96.508</v>
      </c>
      <c r="AM557" s="1" t="b">
        <v>0</v>
      </c>
      <c r="AN557" s="1" t="b">
        <v>0</v>
      </c>
      <c r="AO557" s="1">
        <v>8.05</v>
      </c>
      <c r="AP557" s="1">
        <v>8.53399999999999</v>
      </c>
      <c r="AQ557" s="1" t="b">
        <v>0</v>
      </c>
      <c r="AR557" s="1" t="b">
        <v>1</v>
      </c>
      <c r="AS557" s="1">
        <v>86.9179999999999</v>
      </c>
      <c r="AT557" s="1">
        <v>87.152</v>
      </c>
      <c r="AU557" s="1" t="b">
        <v>0</v>
      </c>
      <c r="AV557" s="1" t="b">
        <v>0</v>
      </c>
      <c r="AW557" s="1">
        <v>9.61399999999999</v>
      </c>
      <c r="AX557" s="1">
        <v>11.026</v>
      </c>
      <c r="AY557" s="1" t="b">
        <v>0</v>
      </c>
      <c r="AZ557" s="1" t="b">
        <v>1</v>
      </c>
      <c r="BA557" s="1">
        <v>81.25</v>
      </c>
      <c r="BB557" s="1">
        <v>77.78</v>
      </c>
      <c r="BC557" s="1" t="b">
        <v>0</v>
      </c>
      <c r="BD557" s="1" t="b">
        <v>1</v>
      </c>
      <c r="BE557" s="1">
        <v>11.34</v>
      </c>
      <c r="BF557" s="1">
        <v>13.285</v>
      </c>
      <c r="BG557" s="1" t="b">
        <v>0</v>
      </c>
      <c r="BH557" s="1" t="b">
        <v>1</v>
      </c>
      <c r="BI557" s="1">
        <v>77.78</v>
      </c>
      <c r="BJ557" s="1">
        <v>75.0</v>
      </c>
      <c r="BK557" s="1" t="b">
        <v>0</v>
      </c>
      <c r="BL557" s="1" t="b">
        <v>1</v>
      </c>
      <c r="BM557" s="1">
        <v>13.121</v>
      </c>
      <c r="BN557" s="1">
        <v>14.568</v>
      </c>
      <c r="BO557" s="1" t="b">
        <v>0</v>
      </c>
      <c r="BP557" s="1" t="b">
        <v>1</v>
      </c>
      <c r="BQ557" s="1">
        <v>75.0</v>
      </c>
      <c r="BR557" s="1">
        <v>72.027</v>
      </c>
      <c r="BS557" s="1" t="b">
        <v>0</v>
      </c>
      <c r="BT557" s="1" t="b">
        <v>1</v>
      </c>
      <c r="BU557" s="1" t="s">
        <v>105</v>
      </c>
      <c r="BV557" s="1" t="s">
        <v>105</v>
      </c>
      <c r="BW557" s="1" t="s">
        <v>157</v>
      </c>
      <c r="BX557" s="1" t="s">
        <v>105</v>
      </c>
      <c r="BY557" s="1" t="s">
        <v>157</v>
      </c>
      <c r="BZ557" s="1" t="s">
        <v>157</v>
      </c>
      <c r="CA557" s="1" t="s">
        <v>157</v>
      </c>
      <c r="CB557" s="1" t="s">
        <v>157</v>
      </c>
      <c r="CC557" s="1" t="s">
        <v>157</v>
      </c>
      <c r="CD557" s="1" t="s">
        <v>157</v>
      </c>
      <c r="CE557" s="4"/>
      <c r="CF557" s="4"/>
    </row>
    <row r="558" hidden="1">
      <c r="A558" s="1" t="s">
        <v>82</v>
      </c>
      <c r="B558" s="1" t="s">
        <v>111</v>
      </c>
      <c r="C558" s="1">
        <v>57.0</v>
      </c>
      <c r="D558" s="5" t="s">
        <v>2462</v>
      </c>
      <c r="E558" s="1" t="s">
        <v>2463</v>
      </c>
      <c r="F558" s="1">
        <v>26.0</v>
      </c>
      <c r="G558" s="1">
        <v>0.4215</v>
      </c>
      <c r="H558" s="1" t="s">
        <v>2464</v>
      </c>
      <c r="I558" s="4" t="b">
        <f>IFERROR(__xludf.DUMMYFUNCTION("IF(H558="""",,REGEXMATCH(H558,""[א-ת]""))"),FALSE)</f>
        <v>0</v>
      </c>
      <c r="J558" s="4"/>
      <c r="K558" s="4"/>
      <c r="L558" s="1">
        <v>0.4215</v>
      </c>
      <c r="M558" s="1">
        <v>35.76</v>
      </c>
      <c r="N558" s="1">
        <v>50.0</v>
      </c>
      <c r="O558" s="1">
        <v>1.923076923</v>
      </c>
      <c r="P558" s="4"/>
      <c r="Q558" s="4"/>
      <c r="R558" s="1" t="s">
        <v>89</v>
      </c>
      <c r="S558" s="1" t="s">
        <v>2463</v>
      </c>
      <c r="T558" s="1" t="s">
        <v>111</v>
      </c>
      <c r="U558" s="1">
        <v>58.0</v>
      </c>
      <c r="V558" s="5" t="s">
        <v>2462</v>
      </c>
      <c r="W558" s="1" t="s">
        <v>2463</v>
      </c>
      <c r="X558" s="1" t="s">
        <v>2465</v>
      </c>
      <c r="Y558" s="4"/>
      <c r="Z558" s="4"/>
      <c r="AA558" s="4" t="b">
        <f>IFERROR(__xludf.DUMMYFUNCTION("IF(X558="""",,REGEXMATCH(X558,""[א-ת]""))"),FALSE)</f>
        <v>0</v>
      </c>
      <c r="AB558" s="1">
        <v>38.9</v>
      </c>
      <c r="AC558" s="1">
        <v>34.62</v>
      </c>
      <c r="AD558" s="1">
        <v>0.696351496623729</v>
      </c>
      <c r="AE558" s="1">
        <v>0.5473</v>
      </c>
      <c r="AF558" s="1">
        <v>0.4215</v>
      </c>
      <c r="AG558" s="1">
        <v>6.337</v>
      </c>
      <c r="AH558" s="1">
        <v>6.781</v>
      </c>
      <c r="AI558" s="1" t="b">
        <v>0</v>
      </c>
      <c r="AJ558" s="1" t="b">
        <v>0</v>
      </c>
      <c r="AK558" s="1">
        <v>94.182</v>
      </c>
      <c r="AL558" s="1">
        <v>96.508</v>
      </c>
      <c r="AM558" s="1" t="b">
        <v>0</v>
      </c>
      <c r="AN558" s="1" t="b">
        <v>0</v>
      </c>
      <c r="AO558" s="1">
        <v>8.05</v>
      </c>
      <c r="AP558" s="1">
        <v>8.53399999999999</v>
      </c>
      <c r="AQ558" s="1" t="b">
        <v>0</v>
      </c>
      <c r="AR558" s="1" t="b">
        <v>0</v>
      </c>
      <c r="AS558" s="1">
        <v>86.9179999999999</v>
      </c>
      <c r="AT558" s="1">
        <v>87.152</v>
      </c>
      <c r="AU558" s="1" t="b">
        <v>0</v>
      </c>
      <c r="AV558" s="1" t="b">
        <v>0</v>
      </c>
      <c r="AW558" s="1">
        <v>9.61399999999999</v>
      </c>
      <c r="AX558" s="1">
        <v>11.026</v>
      </c>
      <c r="AY558" s="1" t="b">
        <v>0</v>
      </c>
      <c r="AZ558" s="1" t="b">
        <v>0</v>
      </c>
      <c r="BA558" s="1">
        <v>81.25</v>
      </c>
      <c r="BB558" s="1">
        <v>77.78</v>
      </c>
      <c r="BC558" s="1" t="b">
        <v>0</v>
      </c>
      <c r="BD558" s="1" t="b">
        <v>0</v>
      </c>
      <c r="BE558" s="1">
        <v>11.34</v>
      </c>
      <c r="BF558" s="1">
        <v>13.285</v>
      </c>
      <c r="BG558" s="1" t="b">
        <v>0</v>
      </c>
      <c r="BH558" s="1" t="b">
        <v>0</v>
      </c>
      <c r="BI558" s="1">
        <v>77.78</v>
      </c>
      <c r="BJ558" s="1">
        <v>75.0</v>
      </c>
      <c r="BK558" s="1" t="b">
        <v>0</v>
      </c>
      <c r="BL558" s="1" t="b">
        <v>0</v>
      </c>
      <c r="BM558" s="1">
        <v>13.121</v>
      </c>
      <c r="BN558" s="1">
        <v>14.568</v>
      </c>
      <c r="BO558" s="1" t="b">
        <v>0</v>
      </c>
      <c r="BP558" s="1" t="b">
        <v>0</v>
      </c>
      <c r="BQ558" s="1">
        <v>75.0</v>
      </c>
      <c r="BR558" s="1">
        <v>72.027</v>
      </c>
      <c r="BS558" s="1" t="b">
        <v>0</v>
      </c>
      <c r="BT558" s="1" t="b">
        <v>0</v>
      </c>
      <c r="BU558" s="1" t="s">
        <v>105</v>
      </c>
      <c r="BV558" s="1" t="s">
        <v>105</v>
      </c>
      <c r="BW558" s="1" t="s">
        <v>105</v>
      </c>
      <c r="BX558" s="1" t="s">
        <v>105</v>
      </c>
      <c r="BY558" s="1" t="s">
        <v>105</v>
      </c>
      <c r="BZ558" s="1" t="s">
        <v>105</v>
      </c>
      <c r="CA558" s="1" t="s">
        <v>105</v>
      </c>
      <c r="CB558" s="1" t="s">
        <v>105</v>
      </c>
      <c r="CC558" s="1" t="s">
        <v>105</v>
      </c>
      <c r="CD558" s="1" t="s">
        <v>105</v>
      </c>
      <c r="CE558" s="4"/>
      <c r="CF558" s="4"/>
    </row>
    <row r="559" hidden="1">
      <c r="A559" s="1" t="s">
        <v>82</v>
      </c>
      <c r="B559" s="1" t="s">
        <v>176</v>
      </c>
      <c r="C559" s="1">
        <v>9.0</v>
      </c>
      <c r="D559" s="5" t="s">
        <v>2466</v>
      </c>
      <c r="E559" s="1" t="s">
        <v>2467</v>
      </c>
      <c r="F559" s="1">
        <v>56.0</v>
      </c>
      <c r="G559" s="1">
        <v>0.0772</v>
      </c>
      <c r="H559" s="1" t="s">
        <v>2468</v>
      </c>
      <c r="I559" s="4" t="b">
        <f>IFERROR(__xludf.DUMMYFUNCTION("IF(H559="""",,REGEXMATCH(H559,""[א-ת]""))"),FALSE)</f>
        <v>0</v>
      </c>
      <c r="J559" s="4"/>
      <c r="K559" s="4"/>
      <c r="L559" s="1">
        <v>0.7351</v>
      </c>
      <c r="M559" s="1">
        <v>35.77</v>
      </c>
      <c r="N559" s="1">
        <v>50.0</v>
      </c>
      <c r="O559" s="1">
        <v>0.8928571429</v>
      </c>
      <c r="P559" s="4"/>
      <c r="Q559" s="4"/>
      <c r="R559" s="1" t="s">
        <v>89</v>
      </c>
      <c r="S559" s="1" t="s">
        <v>2467</v>
      </c>
      <c r="T559" s="1" t="s">
        <v>176</v>
      </c>
      <c r="U559" s="1">
        <v>10.0</v>
      </c>
      <c r="V559" s="5" t="s">
        <v>2466</v>
      </c>
      <c r="W559" s="1" t="s">
        <v>2467</v>
      </c>
      <c r="X559" s="1" t="s">
        <v>2469</v>
      </c>
      <c r="Y559" s="4"/>
      <c r="Z559" s="4"/>
      <c r="AA559" s="4" t="b">
        <f>IFERROR(__xludf.DUMMYFUNCTION("IF(X559="""",,REGEXMATCH(X559,""[א-ת]""))"),TRUE)</f>
        <v>1</v>
      </c>
      <c r="AB559" s="1">
        <v>22.97</v>
      </c>
      <c r="AC559" s="1">
        <v>105.36</v>
      </c>
      <c r="AD559" s="1">
        <v>0.571281404286616</v>
      </c>
      <c r="AE559" s="1">
        <v>0.5859</v>
      </c>
      <c r="AF559" s="1">
        <v>0.0772</v>
      </c>
      <c r="AG559" s="1">
        <v>6.337</v>
      </c>
      <c r="AH559" s="1">
        <v>6.781</v>
      </c>
      <c r="AI559" s="1" t="b">
        <v>0</v>
      </c>
      <c r="AJ559" s="1" t="b">
        <v>0</v>
      </c>
      <c r="AK559" s="1">
        <v>94.182</v>
      </c>
      <c r="AL559" s="1">
        <v>96.508</v>
      </c>
      <c r="AM559" s="1" t="b">
        <v>0</v>
      </c>
      <c r="AN559" s="1" t="b">
        <v>1</v>
      </c>
      <c r="AO559" s="1">
        <v>8.05</v>
      </c>
      <c r="AP559" s="1">
        <v>8.53399999999999</v>
      </c>
      <c r="AQ559" s="1" t="b">
        <v>0</v>
      </c>
      <c r="AR559" s="1" t="b">
        <v>0</v>
      </c>
      <c r="AS559" s="1">
        <v>86.9179999999999</v>
      </c>
      <c r="AT559" s="1">
        <v>87.152</v>
      </c>
      <c r="AU559" s="1" t="b">
        <v>0</v>
      </c>
      <c r="AV559" s="1" t="b">
        <v>1</v>
      </c>
      <c r="AW559" s="1">
        <v>9.61399999999999</v>
      </c>
      <c r="AX559" s="1">
        <v>11.026</v>
      </c>
      <c r="AY559" s="1" t="b">
        <v>0</v>
      </c>
      <c r="AZ559" s="1" t="b">
        <v>0</v>
      </c>
      <c r="BA559" s="1">
        <v>81.25</v>
      </c>
      <c r="BB559" s="1">
        <v>77.78</v>
      </c>
      <c r="BC559" s="1" t="b">
        <v>0</v>
      </c>
      <c r="BD559" s="1" t="b">
        <v>1</v>
      </c>
      <c r="BE559" s="1">
        <v>11.34</v>
      </c>
      <c r="BF559" s="1">
        <v>13.285</v>
      </c>
      <c r="BG559" s="1" t="b">
        <v>0</v>
      </c>
      <c r="BH559" s="1" t="b">
        <v>0</v>
      </c>
      <c r="BI559" s="1">
        <v>77.78</v>
      </c>
      <c r="BJ559" s="1">
        <v>75.0</v>
      </c>
      <c r="BK559" s="1" t="b">
        <v>0</v>
      </c>
      <c r="BL559" s="1" t="b">
        <v>1</v>
      </c>
      <c r="BM559" s="1">
        <v>13.121</v>
      </c>
      <c r="BN559" s="1">
        <v>14.568</v>
      </c>
      <c r="BO559" s="1" t="b">
        <v>0</v>
      </c>
      <c r="BP559" s="1" t="b">
        <v>0</v>
      </c>
      <c r="BQ559" s="1">
        <v>75.0</v>
      </c>
      <c r="BR559" s="1">
        <v>72.027</v>
      </c>
      <c r="BS559" s="1" t="b">
        <v>0</v>
      </c>
      <c r="BT559" s="1" t="b">
        <v>1</v>
      </c>
      <c r="BU559" s="1" t="s">
        <v>105</v>
      </c>
      <c r="BV559" s="1" t="s">
        <v>157</v>
      </c>
      <c r="BW559" s="1" t="s">
        <v>105</v>
      </c>
      <c r="BX559" s="1" t="s">
        <v>157</v>
      </c>
      <c r="BY559" s="1" t="s">
        <v>105</v>
      </c>
      <c r="BZ559" s="1" t="s">
        <v>157</v>
      </c>
      <c r="CA559" s="1" t="s">
        <v>105</v>
      </c>
      <c r="CB559" s="1" t="s">
        <v>157</v>
      </c>
      <c r="CC559" s="1" t="s">
        <v>105</v>
      </c>
      <c r="CD559" s="1" t="s">
        <v>157</v>
      </c>
      <c r="CE559" s="4"/>
      <c r="CF559" s="4"/>
    </row>
    <row r="560" hidden="1">
      <c r="A560" s="1" t="s">
        <v>82</v>
      </c>
      <c r="B560" s="1" t="s">
        <v>262</v>
      </c>
      <c r="C560" s="1">
        <v>9.0</v>
      </c>
      <c r="D560" s="5" t="s">
        <v>2470</v>
      </c>
      <c r="E560" s="1" t="s">
        <v>2471</v>
      </c>
      <c r="F560" s="1">
        <v>36.0</v>
      </c>
      <c r="G560" s="1">
        <v>0.4588</v>
      </c>
      <c r="H560" s="1" t="s">
        <v>2472</v>
      </c>
      <c r="I560" s="4" t="b">
        <f>IFERROR(__xludf.DUMMYFUNCTION("IF(H560="""",,REGEXMATCH(H560,""[א-ת]""))"),FALSE)</f>
        <v>0</v>
      </c>
      <c r="J560" s="4"/>
      <c r="K560" s="4"/>
      <c r="L560" s="1">
        <v>0.4588</v>
      </c>
      <c r="M560" s="1">
        <v>35.81</v>
      </c>
      <c r="N560" s="1">
        <v>47.22</v>
      </c>
      <c r="O560" s="1">
        <v>1.311666667</v>
      </c>
      <c r="P560" s="4"/>
      <c r="Q560" s="4"/>
      <c r="R560" s="1" t="s">
        <v>96</v>
      </c>
      <c r="S560" s="1" t="s">
        <v>2471</v>
      </c>
      <c r="T560" s="1" t="s">
        <v>262</v>
      </c>
      <c r="U560" s="1">
        <v>10.0</v>
      </c>
      <c r="V560" s="5" t="s">
        <v>2470</v>
      </c>
      <c r="W560" s="1" t="s">
        <v>2471</v>
      </c>
      <c r="X560" s="1" t="s">
        <v>2473</v>
      </c>
      <c r="Y560" s="4"/>
      <c r="Z560" s="4"/>
      <c r="AA560" s="4" t="b">
        <f>IFERROR(__xludf.DUMMYFUNCTION("IF(X560="""",,REGEXMATCH(X560,""[א-ת]""))"),FALSE)</f>
        <v>0</v>
      </c>
      <c r="AB560" s="1">
        <v>34.69</v>
      </c>
      <c r="AC560" s="1">
        <v>52.78</v>
      </c>
      <c r="AD560" s="1">
        <v>0.87129236277698</v>
      </c>
      <c r="AE560" s="1">
        <v>0.4588</v>
      </c>
      <c r="AF560" s="1">
        <v>0.4588</v>
      </c>
      <c r="AG560" s="1">
        <v>6.337</v>
      </c>
      <c r="AH560" s="1">
        <v>6.781</v>
      </c>
      <c r="AI560" s="1" t="b">
        <v>0</v>
      </c>
      <c r="AJ560" s="1" t="b">
        <v>0</v>
      </c>
      <c r="AK560" s="1">
        <v>94.182</v>
      </c>
      <c r="AL560" s="1">
        <v>96.508</v>
      </c>
      <c r="AM560" s="1" t="b">
        <v>0</v>
      </c>
      <c r="AN560" s="1" t="b">
        <v>0</v>
      </c>
      <c r="AO560" s="1">
        <v>8.05</v>
      </c>
      <c r="AP560" s="1">
        <v>8.53399999999999</v>
      </c>
      <c r="AQ560" s="1" t="b">
        <v>0</v>
      </c>
      <c r="AR560" s="1" t="b">
        <v>0</v>
      </c>
      <c r="AS560" s="1">
        <v>86.9179999999999</v>
      </c>
      <c r="AT560" s="1">
        <v>87.152</v>
      </c>
      <c r="AU560" s="1" t="b">
        <v>0</v>
      </c>
      <c r="AV560" s="1" t="b">
        <v>0</v>
      </c>
      <c r="AW560" s="1">
        <v>9.61399999999999</v>
      </c>
      <c r="AX560" s="1">
        <v>11.026</v>
      </c>
      <c r="AY560" s="1" t="b">
        <v>0</v>
      </c>
      <c r="AZ560" s="1" t="b">
        <v>0</v>
      </c>
      <c r="BA560" s="1">
        <v>81.25</v>
      </c>
      <c r="BB560" s="1">
        <v>77.78</v>
      </c>
      <c r="BC560" s="1" t="b">
        <v>0</v>
      </c>
      <c r="BD560" s="1" t="b">
        <v>0</v>
      </c>
      <c r="BE560" s="1">
        <v>11.34</v>
      </c>
      <c r="BF560" s="1">
        <v>13.285</v>
      </c>
      <c r="BG560" s="1" t="b">
        <v>0</v>
      </c>
      <c r="BH560" s="1" t="b">
        <v>0</v>
      </c>
      <c r="BI560" s="1">
        <v>77.78</v>
      </c>
      <c r="BJ560" s="1">
        <v>75.0</v>
      </c>
      <c r="BK560" s="1" t="b">
        <v>0</v>
      </c>
      <c r="BL560" s="1" t="b">
        <v>0</v>
      </c>
      <c r="BM560" s="1">
        <v>13.121</v>
      </c>
      <c r="BN560" s="1">
        <v>14.568</v>
      </c>
      <c r="BO560" s="1" t="b">
        <v>0</v>
      </c>
      <c r="BP560" s="1" t="b">
        <v>0</v>
      </c>
      <c r="BQ560" s="1">
        <v>75.0</v>
      </c>
      <c r="BR560" s="1">
        <v>72.027</v>
      </c>
      <c r="BS560" s="1" t="b">
        <v>0</v>
      </c>
      <c r="BT560" s="1" t="b">
        <v>0</v>
      </c>
      <c r="BU560" s="1" t="s">
        <v>105</v>
      </c>
      <c r="BV560" s="1" t="s">
        <v>105</v>
      </c>
      <c r="BW560" s="1" t="s">
        <v>105</v>
      </c>
      <c r="BX560" s="1" t="s">
        <v>105</v>
      </c>
      <c r="BY560" s="1" t="s">
        <v>105</v>
      </c>
      <c r="BZ560" s="1" t="s">
        <v>105</v>
      </c>
      <c r="CA560" s="1" t="s">
        <v>105</v>
      </c>
      <c r="CB560" s="1" t="s">
        <v>105</v>
      </c>
      <c r="CC560" s="1" t="s">
        <v>105</v>
      </c>
      <c r="CD560" s="1" t="s">
        <v>105</v>
      </c>
      <c r="CE560" s="4"/>
      <c r="CF560" s="4"/>
    </row>
    <row r="561" hidden="1">
      <c r="A561" s="1" t="s">
        <v>82</v>
      </c>
      <c r="B561" s="1" t="s">
        <v>176</v>
      </c>
      <c r="C561" s="1">
        <v>3.0</v>
      </c>
      <c r="D561" s="5" t="s">
        <v>2474</v>
      </c>
      <c r="E561" s="1" t="s">
        <v>2475</v>
      </c>
      <c r="F561" s="1">
        <v>59.0</v>
      </c>
      <c r="G561" s="1">
        <v>0.4019</v>
      </c>
      <c r="H561" s="1" t="s">
        <v>2476</v>
      </c>
      <c r="I561" s="4" t="b">
        <f>IFERROR(__xludf.DUMMYFUNCTION("IF(H561="""",,REGEXMATCH(H561,""[א-ת]""))"),FALSE)</f>
        <v>0</v>
      </c>
      <c r="J561" s="4"/>
      <c r="K561" s="4"/>
      <c r="L561" s="1">
        <v>0.0</v>
      </c>
      <c r="M561" s="1">
        <v>36.04</v>
      </c>
      <c r="N561" s="1">
        <v>42.37</v>
      </c>
      <c r="O561" s="1">
        <v>0.7181355932</v>
      </c>
      <c r="P561" s="4"/>
      <c r="Q561" s="4"/>
      <c r="R561" s="1" t="s">
        <v>89</v>
      </c>
      <c r="S561" s="1" t="s">
        <v>2475</v>
      </c>
      <c r="T561" s="1" t="s">
        <v>176</v>
      </c>
      <c r="U561" s="1">
        <v>4.0</v>
      </c>
      <c r="V561" s="5" t="s">
        <v>2474</v>
      </c>
      <c r="W561" s="1" t="s">
        <v>2475</v>
      </c>
      <c r="X561" s="1" t="s">
        <v>2477</v>
      </c>
      <c r="Y561" s="4"/>
      <c r="Z561" s="4"/>
      <c r="AA561" s="4" t="b">
        <f>IFERROR(__xludf.DUMMYFUNCTION("IF(X561="""",,REGEXMATCH(X561,""[א-ת]""))"),FALSE)</f>
        <v>0</v>
      </c>
      <c r="AB561" s="1">
        <v>37.8</v>
      </c>
      <c r="AC561" s="1">
        <v>40.68</v>
      </c>
      <c r="AD561" s="1">
        <v>0.493927807608693</v>
      </c>
      <c r="AE561" s="1">
        <v>0.0</v>
      </c>
      <c r="AF561" s="1">
        <v>0.4019</v>
      </c>
      <c r="AG561" s="1">
        <v>6.337</v>
      </c>
      <c r="AH561" s="1">
        <v>6.781</v>
      </c>
      <c r="AI561" s="1" t="b">
        <v>0</v>
      </c>
      <c r="AJ561" s="1" t="b">
        <v>0</v>
      </c>
      <c r="AK561" s="1">
        <v>94.182</v>
      </c>
      <c r="AL561" s="1">
        <v>96.508</v>
      </c>
      <c r="AM561" s="1" t="b">
        <v>0</v>
      </c>
      <c r="AN561" s="1" t="b">
        <v>0</v>
      </c>
      <c r="AO561" s="1">
        <v>8.05</v>
      </c>
      <c r="AP561" s="1">
        <v>8.53399999999999</v>
      </c>
      <c r="AQ561" s="1" t="b">
        <v>0</v>
      </c>
      <c r="AR561" s="1" t="b">
        <v>0</v>
      </c>
      <c r="AS561" s="1">
        <v>86.9179999999999</v>
      </c>
      <c r="AT561" s="1">
        <v>87.152</v>
      </c>
      <c r="AU561" s="1" t="b">
        <v>0</v>
      </c>
      <c r="AV561" s="1" t="b">
        <v>0</v>
      </c>
      <c r="AW561" s="1">
        <v>9.61399999999999</v>
      </c>
      <c r="AX561" s="1">
        <v>11.026</v>
      </c>
      <c r="AY561" s="1" t="b">
        <v>0</v>
      </c>
      <c r="AZ561" s="1" t="b">
        <v>0</v>
      </c>
      <c r="BA561" s="1">
        <v>81.25</v>
      </c>
      <c r="BB561" s="1">
        <v>77.78</v>
      </c>
      <c r="BC561" s="1" t="b">
        <v>0</v>
      </c>
      <c r="BD561" s="1" t="b">
        <v>0</v>
      </c>
      <c r="BE561" s="1">
        <v>11.34</v>
      </c>
      <c r="BF561" s="1">
        <v>13.285</v>
      </c>
      <c r="BG561" s="1" t="b">
        <v>0</v>
      </c>
      <c r="BH561" s="1" t="b">
        <v>0</v>
      </c>
      <c r="BI561" s="1">
        <v>77.78</v>
      </c>
      <c r="BJ561" s="1">
        <v>75.0</v>
      </c>
      <c r="BK561" s="1" t="b">
        <v>0</v>
      </c>
      <c r="BL561" s="1" t="b">
        <v>0</v>
      </c>
      <c r="BM561" s="1">
        <v>13.121</v>
      </c>
      <c r="BN561" s="1">
        <v>14.568</v>
      </c>
      <c r="BO561" s="1" t="b">
        <v>0</v>
      </c>
      <c r="BP561" s="1" t="b">
        <v>0</v>
      </c>
      <c r="BQ561" s="1">
        <v>75.0</v>
      </c>
      <c r="BR561" s="1">
        <v>72.027</v>
      </c>
      <c r="BS561" s="1" t="b">
        <v>0</v>
      </c>
      <c r="BT561" s="1" t="b">
        <v>0</v>
      </c>
      <c r="BU561" s="1" t="s">
        <v>105</v>
      </c>
      <c r="BV561" s="1" t="s">
        <v>105</v>
      </c>
      <c r="BW561" s="1" t="s">
        <v>105</v>
      </c>
      <c r="BX561" s="1" t="s">
        <v>105</v>
      </c>
      <c r="BY561" s="1" t="s">
        <v>105</v>
      </c>
      <c r="BZ561" s="1" t="s">
        <v>105</v>
      </c>
      <c r="CA561" s="1" t="s">
        <v>105</v>
      </c>
      <c r="CB561" s="1" t="s">
        <v>105</v>
      </c>
      <c r="CC561" s="1" t="s">
        <v>105</v>
      </c>
      <c r="CD561" s="1" t="s">
        <v>105</v>
      </c>
      <c r="CE561" s="4"/>
      <c r="CF561" s="4"/>
    </row>
    <row r="562" hidden="1">
      <c r="A562" s="1" t="s">
        <v>82</v>
      </c>
      <c r="B562" s="1" t="s">
        <v>262</v>
      </c>
      <c r="C562" s="1">
        <v>37.0</v>
      </c>
      <c r="D562" s="5" t="s">
        <v>2478</v>
      </c>
      <c r="E562" s="1" t="s">
        <v>2479</v>
      </c>
      <c r="F562" s="1">
        <v>95.0</v>
      </c>
      <c r="G562" s="1">
        <v>-0.3164</v>
      </c>
      <c r="H562" s="1" t="s">
        <v>2480</v>
      </c>
      <c r="I562" s="4" t="b">
        <f>IFERROR(__xludf.DUMMYFUNCTION("IF(H562="""",,REGEXMATCH(H562,""[א-ת]""))"),FALSE)</f>
        <v>0</v>
      </c>
      <c r="J562" s="4"/>
      <c r="K562" s="4"/>
      <c r="L562" s="1">
        <v>0.3716</v>
      </c>
      <c r="M562" s="1">
        <v>36.29</v>
      </c>
      <c r="N562" s="1">
        <v>51.58</v>
      </c>
      <c r="O562" s="1">
        <v>0.5429473684</v>
      </c>
      <c r="P562" s="4"/>
      <c r="Q562" s="4"/>
      <c r="R562" s="1" t="s">
        <v>96</v>
      </c>
      <c r="S562" s="1" t="s">
        <v>2479</v>
      </c>
      <c r="T562" s="1" t="s">
        <v>262</v>
      </c>
      <c r="U562" s="1">
        <v>38.0</v>
      </c>
      <c r="V562" s="5" t="s">
        <v>2478</v>
      </c>
      <c r="W562" s="1" t="s">
        <v>2479</v>
      </c>
      <c r="X562" s="1" t="s">
        <v>2481</v>
      </c>
      <c r="Y562" s="4"/>
      <c r="Z562" s="4"/>
      <c r="AA562" s="4" t="b">
        <f>IFERROR(__xludf.DUMMYFUNCTION("IF(X562="""",,REGEXMATCH(X562,""[א-ת]""))"),FALSE)</f>
        <v>0</v>
      </c>
      <c r="AB562" s="1">
        <v>30.87</v>
      </c>
      <c r="AC562" s="1">
        <v>52.63</v>
      </c>
      <c r="AD562" s="1">
        <v>0.606584788755544</v>
      </c>
      <c r="AE562" s="1">
        <v>-0.0941</v>
      </c>
      <c r="AF562" s="1">
        <v>-0.3164</v>
      </c>
      <c r="AG562" s="1">
        <v>6.337</v>
      </c>
      <c r="AH562" s="1">
        <v>6.781</v>
      </c>
      <c r="AI562" s="1" t="b">
        <v>0</v>
      </c>
      <c r="AJ562" s="1" t="b">
        <v>0</v>
      </c>
      <c r="AK562" s="1">
        <v>94.182</v>
      </c>
      <c r="AL562" s="1">
        <v>96.508</v>
      </c>
      <c r="AM562" s="1" t="b">
        <v>0</v>
      </c>
      <c r="AN562" s="1" t="b">
        <v>0</v>
      </c>
      <c r="AO562" s="1">
        <v>8.05</v>
      </c>
      <c r="AP562" s="1">
        <v>8.53399999999999</v>
      </c>
      <c r="AQ562" s="1" t="b">
        <v>0</v>
      </c>
      <c r="AR562" s="1" t="b">
        <v>0</v>
      </c>
      <c r="AS562" s="1">
        <v>86.9179999999999</v>
      </c>
      <c r="AT562" s="1">
        <v>87.152</v>
      </c>
      <c r="AU562" s="1" t="b">
        <v>0</v>
      </c>
      <c r="AV562" s="1" t="b">
        <v>0</v>
      </c>
      <c r="AW562" s="1">
        <v>9.61399999999999</v>
      </c>
      <c r="AX562" s="1">
        <v>11.026</v>
      </c>
      <c r="AY562" s="1" t="b">
        <v>0</v>
      </c>
      <c r="AZ562" s="1" t="b">
        <v>0</v>
      </c>
      <c r="BA562" s="1">
        <v>81.25</v>
      </c>
      <c r="BB562" s="1">
        <v>77.78</v>
      </c>
      <c r="BC562" s="1" t="b">
        <v>0</v>
      </c>
      <c r="BD562" s="1" t="b">
        <v>0</v>
      </c>
      <c r="BE562" s="1">
        <v>11.34</v>
      </c>
      <c r="BF562" s="1">
        <v>13.285</v>
      </c>
      <c r="BG562" s="1" t="b">
        <v>0</v>
      </c>
      <c r="BH562" s="1" t="b">
        <v>0</v>
      </c>
      <c r="BI562" s="1">
        <v>77.78</v>
      </c>
      <c r="BJ562" s="1">
        <v>75.0</v>
      </c>
      <c r="BK562" s="1" t="b">
        <v>0</v>
      </c>
      <c r="BL562" s="1" t="b">
        <v>0</v>
      </c>
      <c r="BM562" s="1">
        <v>13.121</v>
      </c>
      <c r="BN562" s="1">
        <v>14.568</v>
      </c>
      <c r="BO562" s="1" t="b">
        <v>0</v>
      </c>
      <c r="BP562" s="1" t="b">
        <v>0</v>
      </c>
      <c r="BQ562" s="1">
        <v>75.0</v>
      </c>
      <c r="BR562" s="1">
        <v>72.027</v>
      </c>
      <c r="BS562" s="1" t="b">
        <v>0</v>
      </c>
      <c r="BT562" s="1" t="b">
        <v>0</v>
      </c>
      <c r="BU562" s="1" t="s">
        <v>105</v>
      </c>
      <c r="BV562" s="1" t="s">
        <v>105</v>
      </c>
      <c r="BW562" s="1" t="s">
        <v>105</v>
      </c>
      <c r="BX562" s="1" t="s">
        <v>105</v>
      </c>
      <c r="BY562" s="1" t="s">
        <v>105</v>
      </c>
      <c r="BZ562" s="1" t="s">
        <v>105</v>
      </c>
      <c r="CA562" s="1" t="s">
        <v>105</v>
      </c>
      <c r="CB562" s="1" t="s">
        <v>105</v>
      </c>
      <c r="CC562" s="1" t="s">
        <v>105</v>
      </c>
      <c r="CD562" s="1" t="s">
        <v>105</v>
      </c>
      <c r="CE562" s="4"/>
      <c r="CF562" s="4"/>
    </row>
    <row r="563" hidden="1">
      <c r="A563" s="1" t="s">
        <v>82</v>
      </c>
      <c r="B563" s="1" t="s">
        <v>631</v>
      </c>
      <c r="C563" s="1">
        <v>6.0</v>
      </c>
      <c r="D563" s="5" t="s">
        <v>2482</v>
      </c>
      <c r="E563" s="1" t="s">
        <v>2483</v>
      </c>
      <c r="F563" s="1">
        <v>80.0</v>
      </c>
      <c r="G563" s="1">
        <v>-0.6597</v>
      </c>
      <c r="H563" s="1" t="s">
        <v>2484</v>
      </c>
      <c r="I563" s="4" t="b">
        <f>IFERROR(__xludf.DUMMYFUNCTION("IF(H563="""",,REGEXMATCH(H563,""[א-ת]""))"),FALSE)</f>
        <v>0</v>
      </c>
      <c r="J563" s="4"/>
      <c r="K563" s="4"/>
      <c r="L563" s="1">
        <v>-0.7306</v>
      </c>
      <c r="M563" s="1">
        <v>36.4</v>
      </c>
      <c r="N563" s="1">
        <v>45.0</v>
      </c>
      <c r="O563" s="1">
        <v>0.5625</v>
      </c>
      <c r="P563" s="4"/>
      <c r="Q563" s="4"/>
      <c r="R563" s="1" t="s">
        <v>89</v>
      </c>
      <c r="S563" s="1" t="s">
        <v>2483</v>
      </c>
      <c r="T563" s="1" t="s">
        <v>631</v>
      </c>
      <c r="U563" s="1">
        <v>7.0</v>
      </c>
      <c r="V563" s="5" t="s">
        <v>2482</v>
      </c>
      <c r="W563" s="1" t="s">
        <v>2483</v>
      </c>
      <c r="X563" s="1" t="s">
        <v>2485</v>
      </c>
      <c r="Y563" s="4"/>
      <c r="Z563" s="4"/>
      <c r="AA563" s="4" t="b">
        <f>IFERROR(__xludf.DUMMYFUNCTION("IF(X563="""",,REGEXMATCH(X563,""[א-ת]""))"),FALSE)</f>
        <v>0</v>
      </c>
      <c r="AB563" s="1">
        <v>33.6</v>
      </c>
      <c r="AC563" s="1">
        <v>48.75</v>
      </c>
      <c r="AD563" s="1">
        <v>0.743174763914137</v>
      </c>
      <c r="AE563" s="1">
        <v>-0.7757</v>
      </c>
      <c r="AF563" s="1">
        <v>-0.6597</v>
      </c>
      <c r="AG563" s="1">
        <v>6.337</v>
      </c>
      <c r="AH563" s="1">
        <v>6.781</v>
      </c>
      <c r="AI563" s="1" t="b">
        <v>0</v>
      </c>
      <c r="AJ563" s="1" t="b">
        <v>0</v>
      </c>
      <c r="AK563" s="1">
        <v>94.182</v>
      </c>
      <c r="AL563" s="1">
        <v>96.508</v>
      </c>
      <c r="AM563" s="1" t="b">
        <v>0</v>
      </c>
      <c r="AN563" s="1" t="b">
        <v>0</v>
      </c>
      <c r="AO563" s="1">
        <v>8.05</v>
      </c>
      <c r="AP563" s="1">
        <v>8.53399999999999</v>
      </c>
      <c r="AQ563" s="1" t="b">
        <v>0</v>
      </c>
      <c r="AR563" s="1" t="b">
        <v>0</v>
      </c>
      <c r="AS563" s="1">
        <v>86.9179999999999</v>
      </c>
      <c r="AT563" s="1">
        <v>87.152</v>
      </c>
      <c r="AU563" s="1" t="b">
        <v>0</v>
      </c>
      <c r="AV563" s="1" t="b">
        <v>0</v>
      </c>
      <c r="AW563" s="1">
        <v>9.61399999999999</v>
      </c>
      <c r="AX563" s="1">
        <v>11.026</v>
      </c>
      <c r="AY563" s="1" t="b">
        <v>0</v>
      </c>
      <c r="AZ563" s="1" t="b">
        <v>0</v>
      </c>
      <c r="BA563" s="1">
        <v>81.25</v>
      </c>
      <c r="BB563" s="1">
        <v>77.78</v>
      </c>
      <c r="BC563" s="1" t="b">
        <v>0</v>
      </c>
      <c r="BD563" s="1" t="b">
        <v>0</v>
      </c>
      <c r="BE563" s="1">
        <v>11.34</v>
      </c>
      <c r="BF563" s="1">
        <v>13.285</v>
      </c>
      <c r="BG563" s="1" t="b">
        <v>0</v>
      </c>
      <c r="BH563" s="1" t="b">
        <v>0</v>
      </c>
      <c r="BI563" s="1">
        <v>77.78</v>
      </c>
      <c r="BJ563" s="1">
        <v>75.0</v>
      </c>
      <c r="BK563" s="1" t="b">
        <v>0</v>
      </c>
      <c r="BL563" s="1" t="b">
        <v>0</v>
      </c>
      <c r="BM563" s="1">
        <v>13.121</v>
      </c>
      <c r="BN563" s="1">
        <v>14.568</v>
      </c>
      <c r="BO563" s="1" t="b">
        <v>0</v>
      </c>
      <c r="BP563" s="1" t="b">
        <v>0</v>
      </c>
      <c r="BQ563" s="1">
        <v>75.0</v>
      </c>
      <c r="BR563" s="1">
        <v>72.027</v>
      </c>
      <c r="BS563" s="1" t="b">
        <v>0</v>
      </c>
      <c r="BT563" s="1" t="b">
        <v>0</v>
      </c>
      <c r="BU563" s="1" t="s">
        <v>105</v>
      </c>
      <c r="BV563" s="1" t="s">
        <v>105</v>
      </c>
      <c r="BW563" s="1" t="s">
        <v>105</v>
      </c>
      <c r="BX563" s="1" t="s">
        <v>105</v>
      </c>
      <c r="BY563" s="1" t="s">
        <v>105</v>
      </c>
      <c r="BZ563" s="1" t="s">
        <v>105</v>
      </c>
      <c r="CA563" s="1" t="s">
        <v>105</v>
      </c>
      <c r="CB563" s="1" t="s">
        <v>105</v>
      </c>
      <c r="CC563" s="1" t="s">
        <v>105</v>
      </c>
      <c r="CD563" s="1" t="s">
        <v>105</v>
      </c>
      <c r="CE563" s="4"/>
      <c r="CF563" s="4"/>
    </row>
    <row r="564" hidden="1">
      <c r="A564" s="1" t="s">
        <v>82</v>
      </c>
      <c r="B564" s="1" t="s">
        <v>304</v>
      </c>
      <c r="C564" s="1">
        <v>25.0</v>
      </c>
      <c r="D564" s="5" t="s">
        <v>2486</v>
      </c>
      <c r="E564" s="1" t="s">
        <v>2487</v>
      </c>
      <c r="F564" s="1">
        <v>89.0</v>
      </c>
      <c r="G564" s="1">
        <v>-0.9001</v>
      </c>
      <c r="H564" s="1" t="s">
        <v>2488</v>
      </c>
      <c r="I564" s="4" t="b">
        <f>IFERROR(__xludf.DUMMYFUNCTION("IF(H564="""",,REGEXMATCH(H564,""[א-ת]""))"),FALSE)</f>
        <v>0</v>
      </c>
      <c r="J564" s="4"/>
      <c r="K564" s="4"/>
      <c r="L564" s="1">
        <v>-0.9382</v>
      </c>
      <c r="M564" s="1">
        <v>36.43</v>
      </c>
      <c r="N564" s="1">
        <v>53.93</v>
      </c>
      <c r="O564" s="1">
        <v>0.6059550562</v>
      </c>
      <c r="P564" s="4"/>
      <c r="Q564" s="4"/>
      <c r="R564" s="1" t="s">
        <v>89</v>
      </c>
      <c r="S564" s="1" t="s">
        <v>2487</v>
      </c>
      <c r="T564" s="1" t="s">
        <v>304</v>
      </c>
      <c r="U564" s="1">
        <v>26.0</v>
      </c>
      <c r="V564" s="5" t="s">
        <v>2486</v>
      </c>
      <c r="W564" s="1" t="s">
        <v>2487</v>
      </c>
      <c r="X564" s="1" t="s">
        <v>2489</v>
      </c>
      <c r="Y564" s="4"/>
      <c r="Z564" s="4"/>
      <c r="AA564" s="4" t="b">
        <f>IFERROR(__xludf.DUMMYFUNCTION("IF(X564="""",,REGEXMATCH(X564,""[א-ת]""))"),FALSE)</f>
        <v>0</v>
      </c>
      <c r="AB564" s="1">
        <v>34.82</v>
      </c>
      <c r="AC564" s="1">
        <v>44.94</v>
      </c>
      <c r="AD564" s="1">
        <v>0.738030174396774</v>
      </c>
      <c r="AE564" s="1">
        <v>-0.7865</v>
      </c>
      <c r="AF564" s="1">
        <v>-0.9001</v>
      </c>
      <c r="AG564" s="1">
        <v>6.337</v>
      </c>
      <c r="AH564" s="1">
        <v>6.781</v>
      </c>
      <c r="AI564" s="1" t="b">
        <v>0</v>
      </c>
      <c r="AJ564" s="1" t="b">
        <v>0</v>
      </c>
      <c r="AK564" s="1">
        <v>94.182</v>
      </c>
      <c r="AL564" s="1">
        <v>96.508</v>
      </c>
      <c r="AM564" s="1" t="b">
        <v>0</v>
      </c>
      <c r="AN564" s="1" t="b">
        <v>0</v>
      </c>
      <c r="AO564" s="1">
        <v>8.05</v>
      </c>
      <c r="AP564" s="1">
        <v>8.53399999999999</v>
      </c>
      <c r="AQ564" s="1" t="b">
        <v>0</v>
      </c>
      <c r="AR564" s="1" t="b">
        <v>0</v>
      </c>
      <c r="AS564" s="1">
        <v>86.9179999999999</v>
      </c>
      <c r="AT564" s="1">
        <v>87.152</v>
      </c>
      <c r="AU564" s="1" t="b">
        <v>0</v>
      </c>
      <c r="AV564" s="1" t="b">
        <v>0</v>
      </c>
      <c r="AW564" s="1">
        <v>9.61399999999999</v>
      </c>
      <c r="AX564" s="1">
        <v>11.026</v>
      </c>
      <c r="AY564" s="1" t="b">
        <v>0</v>
      </c>
      <c r="AZ564" s="1" t="b">
        <v>0</v>
      </c>
      <c r="BA564" s="1">
        <v>81.25</v>
      </c>
      <c r="BB564" s="1">
        <v>77.78</v>
      </c>
      <c r="BC564" s="1" t="b">
        <v>0</v>
      </c>
      <c r="BD564" s="1" t="b">
        <v>0</v>
      </c>
      <c r="BE564" s="1">
        <v>11.34</v>
      </c>
      <c r="BF564" s="1">
        <v>13.285</v>
      </c>
      <c r="BG564" s="1" t="b">
        <v>0</v>
      </c>
      <c r="BH564" s="1" t="b">
        <v>0</v>
      </c>
      <c r="BI564" s="1">
        <v>77.78</v>
      </c>
      <c r="BJ564" s="1">
        <v>75.0</v>
      </c>
      <c r="BK564" s="1" t="b">
        <v>0</v>
      </c>
      <c r="BL564" s="1" t="b">
        <v>0</v>
      </c>
      <c r="BM564" s="1">
        <v>13.121</v>
      </c>
      <c r="BN564" s="1">
        <v>14.568</v>
      </c>
      <c r="BO564" s="1" t="b">
        <v>0</v>
      </c>
      <c r="BP564" s="1" t="b">
        <v>0</v>
      </c>
      <c r="BQ564" s="1">
        <v>75.0</v>
      </c>
      <c r="BR564" s="1">
        <v>72.027</v>
      </c>
      <c r="BS564" s="1" t="b">
        <v>0</v>
      </c>
      <c r="BT564" s="1" t="b">
        <v>0</v>
      </c>
      <c r="BU564" s="1" t="s">
        <v>105</v>
      </c>
      <c r="BV564" s="1" t="s">
        <v>105</v>
      </c>
      <c r="BW564" s="1" t="s">
        <v>105</v>
      </c>
      <c r="BX564" s="1" t="s">
        <v>105</v>
      </c>
      <c r="BY564" s="1" t="s">
        <v>105</v>
      </c>
      <c r="BZ564" s="1" t="s">
        <v>105</v>
      </c>
      <c r="CA564" s="1" t="s">
        <v>105</v>
      </c>
      <c r="CB564" s="1" t="s">
        <v>105</v>
      </c>
      <c r="CC564" s="1" t="s">
        <v>105</v>
      </c>
      <c r="CD564" s="1" t="s">
        <v>105</v>
      </c>
      <c r="CE564" s="4"/>
      <c r="CF564" s="4"/>
    </row>
    <row r="565" hidden="1">
      <c r="A565" s="1" t="s">
        <v>82</v>
      </c>
      <c r="B565" s="1" t="s">
        <v>123</v>
      </c>
      <c r="C565" s="1">
        <v>1.0</v>
      </c>
      <c r="D565" s="5" t="s">
        <v>2490</v>
      </c>
      <c r="E565" s="1" t="s">
        <v>2491</v>
      </c>
      <c r="F565" s="1">
        <v>41.0</v>
      </c>
      <c r="G565" s="1">
        <v>-0.34</v>
      </c>
      <c r="H565" s="1" t="s">
        <v>2492</v>
      </c>
      <c r="I565" s="4" t="b">
        <f>IFERROR(__xludf.DUMMYFUNCTION("IF(H565="""",,REGEXMATCH(H565,""[א-ת]""))"),FALSE)</f>
        <v>0</v>
      </c>
      <c r="J565" s="4"/>
      <c r="K565" s="4"/>
      <c r="L565" s="1">
        <v>0.0</v>
      </c>
      <c r="M565" s="1">
        <v>36.52</v>
      </c>
      <c r="N565" s="1">
        <v>43.9</v>
      </c>
      <c r="O565" s="1">
        <v>1.070731707</v>
      </c>
      <c r="P565" s="4"/>
      <c r="Q565" s="4"/>
      <c r="R565" s="1" t="s">
        <v>127</v>
      </c>
      <c r="S565" s="1" t="s">
        <v>2491</v>
      </c>
      <c r="T565" s="1" t="s">
        <v>123</v>
      </c>
      <c r="U565" s="1">
        <v>2.0</v>
      </c>
      <c r="V565" s="5" t="s">
        <v>2490</v>
      </c>
      <c r="W565" s="1" t="s">
        <v>2491</v>
      </c>
      <c r="X565" s="1" t="s">
        <v>2493</v>
      </c>
      <c r="Y565" s="4"/>
      <c r="Z565" s="4"/>
      <c r="AA565" s="4" t="b">
        <f>IFERROR(__xludf.DUMMYFUNCTION("IF(X565="""",,REGEXMATCH(X565,""[א-ת]""))"),TRUE)</f>
        <v>1</v>
      </c>
      <c r="AB565" s="1">
        <v>22.66</v>
      </c>
      <c r="AC565" s="1">
        <v>104.88</v>
      </c>
      <c r="AD565" s="1">
        <v>0.561400828306288</v>
      </c>
      <c r="AE565" s="1">
        <v>-0.1926</v>
      </c>
      <c r="AF565" s="1">
        <v>-0.34</v>
      </c>
      <c r="AG565" s="1">
        <v>6.337</v>
      </c>
      <c r="AH565" s="1">
        <v>6.781</v>
      </c>
      <c r="AI565" s="1" t="b">
        <v>0</v>
      </c>
      <c r="AJ565" s="1" t="b">
        <v>0</v>
      </c>
      <c r="AK565" s="1">
        <v>94.182</v>
      </c>
      <c r="AL565" s="1">
        <v>96.508</v>
      </c>
      <c r="AM565" s="1" t="b">
        <v>0</v>
      </c>
      <c r="AN565" s="1" t="b">
        <v>1</v>
      </c>
      <c r="AO565" s="1">
        <v>8.05</v>
      </c>
      <c r="AP565" s="1">
        <v>8.53399999999999</v>
      </c>
      <c r="AQ565" s="1" t="b">
        <v>0</v>
      </c>
      <c r="AR565" s="1" t="b">
        <v>0</v>
      </c>
      <c r="AS565" s="1">
        <v>86.9179999999999</v>
      </c>
      <c r="AT565" s="1">
        <v>87.152</v>
      </c>
      <c r="AU565" s="1" t="b">
        <v>0</v>
      </c>
      <c r="AV565" s="1" t="b">
        <v>1</v>
      </c>
      <c r="AW565" s="1">
        <v>9.61399999999999</v>
      </c>
      <c r="AX565" s="1">
        <v>11.026</v>
      </c>
      <c r="AY565" s="1" t="b">
        <v>0</v>
      </c>
      <c r="AZ565" s="1" t="b">
        <v>0</v>
      </c>
      <c r="BA565" s="1">
        <v>81.25</v>
      </c>
      <c r="BB565" s="1">
        <v>77.78</v>
      </c>
      <c r="BC565" s="1" t="b">
        <v>0</v>
      </c>
      <c r="BD565" s="1" t="b">
        <v>1</v>
      </c>
      <c r="BE565" s="1">
        <v>11.34</v>
      </c>
      <c r="BF565" s="1">
        <v>13.285</v>
      </c>
      <c r="BG565" s="1" t="b">
        <v>0</v>
      </c>
      <c r="BH565" s="1" t="b">
        <v>0</v>
      </c>
      <c r="BI565" s="1">
        <v>77.78</v>
      </c>
      <c r="BJ565" s="1">
        <v>75.0</v>
      </c>
      <c r="BK565" s="1" t="b">
        <v>0</v>
      </c>
      <c r="BL565" s="1" t="b">
        <v>1</v>
      </c>
      <c r="BM565" s="1">
        <v>13.121</v>
      </c>
      <c r="BN565" s="1">
        <v>14.568</v>
      </c>
      <c r="BO565" s="1" t="b">
        <v>0</v>
      </c>
      <c r="BP565" s="1" t="b">
        <v>0</v>
      </c>
      <c r="BQ565" s="1">
        <v>75.0</v>
      </c>
      <c r="BR565" s="1">
        <v>72.027</v>
      </c>
      <c r="BS565" s="1" t="b">
        <v>0</v>
      </c>
      <c r="BT565" s="1" t="b">
        <v>1</v>
      </c>
      <c r="BU565" s="1" t="s">
        <v>105</v>
      </c>
      <c r="BV565" s="1" t="s">
        <v>157</v>
      </c>
      <c r="BW565" s="1" t="s">
        <v>105</v>
      </c>
      <c r="BX565" s="1" t="s">
        <v>157</v>
      </c>
      <c r="BY565" s="1" t="s">
        <v>105</v>
      </c>
      <c r="BZ565" s="1" t="s">
        <v>157</v>
      </c>
      <c r="CA565" s="1" t="s">
        <v>105</v>
      </c>
      <c r="CB565" s="1" t="s">
        <v>157</v>
      </c>
      <c r="CC565" s="1" t="s">
        <v>105</v>
      </c>
      <c r="CD565" s="1" t="s">
        <v>157</v>
      </c>
      <c r="CE565" s="4"/>
      <c r="CF565" s="4"/>
    </row>
    <row r="566" hidden="1">
      <c r="A566" s="1" t="s">
        <v>82</v>
      </c>
      <c r="B566" s="1" t="s">
        <v>427</v>
      </c>
      <c r="C566" s="1">
        <v>14.0</v>
      </c>
      <c r="D566" s="5" t="s">
        <v>2494</v>
      </c>
      <c r="E566" s="1" t="s">
        <v>2495</v>
      </c>
      <c r="F566" s="1">
        <v>106.0</v>
      </c>
      <c r="G566" s="1">
        <v>-0.8588</v>
      </c>
      <c r="H566" s="1" t="s">
        <v>2496</v>
      </c>
      <c r="I566" s="4" t="b">
        <f>IFERROR(__xludf.DUMMYFUNCTION("IF(H566="""",,REGEXMATCH(H566,""[א-ת]""))"),FALSE)</f>
        <v>0</v>
      </c>
      <c r="J566" s="4"/>
      <c r="K566" s="4"/>
      <c r="L566" s="1">
        <v>-0.9149</v>
      </c>
      <c r="M566" s="1">
        <v>36.71</v>
      </c>
      <c r="N566" s="1">
        <v>50.94</v>
      </c>
      <c r="O566" s="1">
        <v>0.4805660377</v>
      </c>
      <c r="P566" s="4"/>
      <c r="Q566" s="4"/>
      <c r="R566" s="1" t="s">
        <v>96</v>
      </c>
      <c r="S566" s="1" t="s">
        <v>2495</v>
      </c>
      <c r="T566" s="1" t="s">
        <v>427</v>
      </c>
      <c r="U566" s="1">
        <v>15.0</v>
      </c>
      <c r="V566" s="5" t="s">
        <v>2494</v>
      </c>
      <c r="W566" s="1" t="s">
        <v>2495</v>
      </c>
      <c r="X566" s="1" t="s">
        <v>2497</v>
      </c>
      <c r="Y566" s="4"/>
      <c r="Z566" s="4"/>
      <c r="AA566" s="4" t="b">
        <f>IFERROR(__xludf.DUMMYFUNCTION("IF(X566="""",,REGEXMATCH(X566,""[א-ת]""))"),FALSE)</f>
        <v>0</v>
      </c>
      <c r="AB566" s="1">
        <v>29.83</v>
      </c>
      <c r="AC566" s="1">
        <v>57.55</v>
      </c>
      <c r="AD566" s="1">
        <v>0.727395655822665</v>
      </c>
      <c r="AE566" s="1">
        <v>-0.7579</v>
      </c>
      <c r="AF566" s="1">
        <v>-0.8588</v>
      </c>
      <c r="AG566" s="1">
        <v>6.337</v>
      </c>
      <c r="AH566" s="1">
        <v>6.781</v>
      </c>
      <c r="AI566" s="1" t="b">
        <v>0</v>
      </c>
      <c r="AJ566" s="1" t="b">
        <v>0</v>
      </c>
      <c r="AK566" s="1">
        <v>94.182</v>
      </c>
      <c r="AL566" s="1">
        <v>96.508</v>
      </c>
      <c r="AM566" s="1" t="b">
        <v>0</v>
      </c>
      <c r="AN566" s="1" t="b">
        <v>0</v>
      </c>
      <c r="AO566" s="1">
        <v>8.05</v>
      </c>
      <c r="AP566" s="1">
        <v>8.53399999999999</v>
      </c>
      <c r="AQ566" s="1" t="b">
        <v>0</v>
      </c>
      <c r="AR566" s="1" t="b">
        <v>0</v>
      </c>
      <c r="AS566" s="1">
        <v>86.9179999999999</v>
      </c>
      <c r="AT566" s="1">
        <v>87.152</v>
      </c>
      <c r="AU566" s="1" t="b">
        <v>0</v>
      </c>
      <c r="AV566" s="1" t="b">
        <v>0</v>
      </c>
      <c r="AW566" s="1">
        <v>9.61399999999999</v>
      </c>
      <c r="AX566" s="1">
        <v>11.026</v>
      </c>
      <c r="AY566" s="1" t="b">
        <v>0</v>
      </c>
      <c r="AZ566" s="1" t="b">
        <v>0</v>
      </c>
      <c r="BA566" s="1">
        <v>81.25</v>
      </c>
      <c r="BB566" s="1">
        <v>77.78</v>
      </c>
      <c r="BC566" s="1" t="b">
        <v>0</v>
      </c>
      <c r="BD566" s="1" t="b">
        <v>0</v>
      </c>
      <c r="BE566" s="1">
        <v>11.34</v>
      </c>
      <c r="BF566" s="1">
        <v>13.285</v>
      </c>
      <c r="BG566" s="1" t="b">
        <v>0</v>
      </c>
      <c r="BH566" s="1" t="b">
        <v>0</v>
      </c>
      <c r="BI566" s="1">
        <v>77.78</v>
      </c>
      <c r="BJ566" s="1">
        <v>75.0</v>
      </c>
      <c r="BK566" s="1" t="b">
        <v>0</v>
      </c>
      <c r="BL566" s="1" t="b">
        <v>0</v>
      </c>
      <c r="BM566" s="1">
        <v>13.121</v>
      </c>
      <c r="BN566" s="1">
        <v>14.568</v>
      </c>
      <c r="BO566" s="1" t="b">
        <v>0</v>
      </c>
      <c r="BP566" s="1" t="b">
        <v>0</v>
      </c>
      <c r="BQ566" s="1">
        <v>75.0</v>
      </c>
      <c r="BR566" s="1">
        <v>72.027</v>
      </c>
      <c r="BS566" s="1" t="b">
        <v>0</v>
      </c>
      <c r="BT566" s="1" t="b">
        <v>0</v>
      </c>
      <c r="BU566" s="1" t="s">
        <v>105</v>
      </c>
      <c r="BV566" s="1" t="s">
        <v>105</v>
      </c>
      <c r="BW566" s="1" t="s">
        <v>105</v>
      </c>
      <c r="BX566" s="1" t="s">
        <v>105</v>
      </c>
      <c r="BY566" s="1" t="s">
        <v>105</v>
      </c>
      <c r="BZ566" s="1" t="s">
        <v>105</v>
      </c>
      <c r="CA566" s="1" t="s">
        <v>105</v>
      </c>
      <c r="CB566" s="1" t="s">
        <v>105</v>
      </c>
      <c r="CC566" s="1" t="s">
        <v>105</v>
      </c>
      <c r="CD566" s="1" t="s">
        <v>105</v>
      </c>
      <c r="CE566" s="4"/>
      <c r="CF566" s="4"/>
    </row>
    <row r="567" hidden="1">
      <c r="A567" s="1" t="s">
        <v>82</v>
      </c>
      <c r="B567" s="1" t="s">
        <v>145</v>
      </c>
      <c r="C567" s="1">
        <v>0.0</v>
      </c>
      <c r="D567" s="5" t="s">
        <v>2498</v>
      </c>
      <c r="E567" s="1" t="s">
        <v>2499</v>
      </c>
      <c r="F567" s="1">
        <v>8.0</v>
      </c>
      <c r="G567" s="1">
        <v>0.0</v>
      </c>
      <c r="H567" s="1" t="s">
        <v>2500</v>
      </c>
      <c r="I567" s="4" t="b">
        <f>IFERROR(__xludf.DUMMYFUNCTION("IF(H567="""",,REGEXMATCH(H567,""[א-ת]""))"),FALSE)</f>
        <v>0</v>
      </c>
      <c r="J567" s="4"/>
      <c r="K567" s="4"/>
      <c r="L567" s="1">
        <v>0.0</v>
      </c>
      <c r="M567" s="1">
        <v>36.85</v>
      </c>
      <c r="N567" s="1">
        <v>50.0</v>
      </c>
      <c r="O567" s="1">
        <v>6.25</v>
      </c>
      <c r="P567" s="4"/>
      <c r="Q567" s="4"/>
      <c r="R567" s="1" t="s">
        <v>89</v>
      </c>
      <c r="S567" s="1" t="s">
        <v>2499</v>
      </c>
      <c r="T567" s="1" t="s">
        <v>145</v>
      </c>
      <c r="U567" s="1">
        <v>1.0</v>
      </c>
      <c r="V567" s="5" t="s">
        <v>2498</v>
      </c>
      <c r="W567" s="1" t="s">
        <v>2499</v>
      </c>
      <c r="X567" s="1" t="s">
        <v>2501</v>
      </c>
      <c r="Y567" s="4"/>
      <c r="Z567" s="4"/>
      <c r="AA567" s="4" t="b">
        <f>IFERROR(__xludf.DUMMYFUNCTION("IF(X567="""",,REGEXMATCH(X567,""[א-ת]""))"),FALSE)</f>
        <v>0</v>
      </c>
      <c r="AB567" s="1">
        <v>40.64</v>
      </c>
      <c r="AC567" s="1">
        <v>37.5</v>
      </c>
      <c r="AD567" s="1">
        <v>0.513365787148655</v>
      </c>
      <c r="AE567" s="1">
        <v>0.0</v>
      </c>
      <c r="AF567" s="1">
        <v>0.0</v>
      </c>
      <c r="AG567" s="1">
        <v>6.337</v>
      </c>
      <c r="AH567" s="1">
        <v>6.781</v>
      </c>
      <c r="AI567" s="1" t="b">
        <v>0</v>
      </c>
      <c r="AJ567" s="1" t="b">
        <v>0</v>
      </c>
      <c r="AK567" s="1">
        <v>94.182</v>
      </c>
      <c r="AL567" s="1">
        <v>96.508</v>
      </c>
      <c r="AM567" s="1" t="b">
        <v>0</v>
      </c>
      <c r="AN567" s="1" t="b">
        <v>0</v>
      </c>
      <c r="AO567" s="1">
        <v>8.05</v>
      </c>
      <c r="AP567" s="1">
        <v>8.53399999999999</v>
      </c>
      <c r="AQ567" s="1" t="b">
        <v>0</v>
      </c>
      <c r="AR567" s="1" t="b">
        <v>0</v>
      </c>
      <c r="AS567" s="1">
        <v>86.9179999999999</v>
      </c>
      <c r="AT567" s="1">
        <v>87.152</v>
      </c>
      <c r="AU567" s="1" t="b">
        <v>0</v>
      </c>
      <c r="AV567" s="1" t="b">
        <v>0</v>
      </c>
      <c r="AW567" s="1">
        <v>9.61399999999999</v>
      </c>
      <c r="AX567" s="1">
        <v>11.026</v>
      </c>
      <c r="AY567" s="1" t="b">
        <v>0</v>
      </c>
      <c r="AZ567" s="1" t="b">
        <v>0</v>
      </c>
      <c r="BA567" s="1">
        <v>81.25</v>
      </c>
      <c r="BB567" s="1">
        <v>77.78</v>
      </c>
      <c r="BC567" s="1" t="b">
        <v>0</v>
      </c>
      <c r="BD567" s="1" t="b">
        <v>0</v>
      </c>
      <c r="BE567" s="1">
        <v>11.34</v>
      </c>
      <c r="BF567" s="1">
        <v>13.285</v>
      </c>
      <c r="BG567" s="1" t="b">
        <v>0</v>
      </c>
      <c r="BH567" s="1" t="b">
        <v>0</v>
      </c>
      <c r="BI567" s="1">
        <v>77.78</v>
      </c>
      <c r="BJ567" s="1">
        <v>75.0</v>
      </c>
      <c r="BK567" s="1" t="b">
        <v>0</v>
      </c>
      <c r="BL567" s="1" t="b">
        <v>0</v>
      </c>
      <c r="BM567" s="1">
        <v>13.121</v>
      </c>
      <c r="BN567" s="1">
        <v>14.568</v>
      </c>
      <c r="BO567" s="1" t="b">
        <v>0</v>
      </c>
      <c r="BP567" s="1" t="b">
        <v>0</v>
      </c>
      <c r="BQ567" s="1">
        <v>75.0</v>
      </c>
      <c r="BR567" s="1">
        <v>72.027</v>
      </c>
      <c r="BS567" s="1" t="b">
        <v>0</v>
      </c>
      <c r="BT567" s="1" t="b">
        <v>0</v>
      </c>
      <c r="BU567" s="1" t="s">
        <v>105</v>
      </c>
      <c r="BV567" s="1" t="s">
        <v>105</v>
      </c>
      <c r="BW567" s="1" t="s">
        <v>105</v>
      </c>
      <c r="BX567" s="1" t="s">
        <v>105</v>
      </c>
      <c r="BY567" s="1" t="s">
        <v>105</v>
      </c>
      <c r="BZ567" s="1" t="s">
        <v>105</v>
      </c>
      <c r="CA567" s="1" t="s">
        <v>105</v>
      </c>
      <c r="CB567" s="1" t="s">
        <v>105</v>
      </c>
      <c r="CC567" s="1" t="s">
        <v>105</v>
      </c>
      <c r="CD567" s="1" t="s">
        <v>105</v>
      </c>
      <c r="CE567" s="4"/>
      <c r="CF567" s="4"/>
    </row>
    <row r="568" hidden="1">
      <c r="A568" s="1" t="s">
        <v>82</v>
      </c>
      <c r="B568" s="1" t="s">
        <v>83</v>
      </c>
      <c r="C568" s="1">
        <v>24.0</v>
      </c>
      <c r="D568" s="5" t="s">
        <v>2502</v>
      </c>
      <c r="E568" s="1" t="s">
        <v>2503</v>
      </c>
      <c r="F568" s="1">
        <v>92.0</v>
      </c>
      <c r="G568" s="1">
        <v>0.81</v>
      </c>
      <c r="H568" s="1" t="s">
        <v>2504</v>
      </c>
      <c r="I568" s="4" t="b">
        <f>IFERROR(__xludf.DUMMYFUNCTION("IF(H568="""",,REGEXMATCH(H568,""[א-ת]""))"),FALSE)</f>
        <v>0</v>
      </c>
      <c r="J568" s="4"/>
      <c r="K568" s="4"/>
      <c r="L568" s="1">
        <v>0.6531</v>
      </c>
      <c r="M568" s="1">
        <v>37.01</v>
      </c>
      <c r="N568" s="1">
        <v>50.0</v>
      </c>
      <c r="O568" s="1">
        <v>0.5434782609</v>
      </c>
      <c r="P568" s="4"/>
      <c r="Q568" s="4"/>
      <c r="R568" s="1" t="s">
        <v>89</v>
      </c>
      <c r="S568" s="1" t="s">
        <v>2503</v>
      </c>
      <c r="T568" s="1" t="s">
        <v>83</v>
      </c>
      <c r="U568" s="1">
        <v>25.0</v>
      </c>
      <c r="V568" s="5" t="s">
        <v>2502</v>
      </c>
      <c r="W568" s="1" t="s">
        <v>2503</v>
      </c>
      <c r="X568" s="1" t="s">
        <v>2505</v>
      </c>
      <c r="Y568" s="4"/>
      <c r="Z568" s="4"/>
      <c r="AA568" s="4" t="b">
        <f>IFERROR(__xludf.DUMMYFUNCTION("IF(X568="""",,REGEXMATCH(X568,""[א-ת]""))"),FALSE)</f>
        <v>0</v>
      </c>
      <c r="AB568" s="1">
        <v>25.54</v>
      </c>
      <c r="AC568" s="1">
        <v>53.26</v>
      </c>
      <c r="AD568" s="1">
        <v>0.578914125319033</v>
      </c>
      <c r="AE568" s="1">
        <v>0.6917</v>
      </c>
      <c r="AF568" s="1">
        <v>0.81</v>
      </c>
      <c r="AG568" s="1">
        <v>6.337</v>
      </c>
      <c r="AH568" s="1">
        <v>6.781</v>
      </c>
      <c r="AI568" s="1" t="b">
        <v>0</v>
      </c>
      <c r="AJ568" s="1" t="b">
        <v>0</v>
      </c>
      <c r="AK568" s="1">
        <v>94.182</v>
      </c>
      <c r="AL568" s="1">
        <v>96.508</v>
      </c>
      <c r="AM568" s="1" t="b">
        <v>0</v>
      </c>
      <c r="AN568" s="1" t="b">
        <v>0</v>
      </c>
      <c r="AO568" s="1">
        <v>8.05</v>
      </c>
      <c r="AP568" s="1">
        <v>8.53399999999999</v>
      </c>
      <c r="AQ568" s="1" t="b">
        <v>0</v>
      </c>
      <c r="AR568" s="1" t="b">
        <v>0</v>
      </c>
      <c r="AS568" s="1">
        <v>86.9179999999999</v>
      </c>
      <c r="AT568" s="1">
        <v>87.152</v>
      </c>
      <c r="AU568" s="1" t="b">
        <v>0</v>
      </c>
      <c r="AV568" s="1" t="b">
        <v>0</v>
      </c>
      <c r="AW568" s="1">
        <v>9.61399999999999</v>
      </c>
      <c r="AX568" s="1">
        <v>11.026</v>
      </c>
      <c r="AY568" s="1" t="b">
        <v>0</v>
      </c>
      <c r="AZ568" s="1" t="b">
        <v>0</v>
      </c>
      <c r="BA568" s="1">
        <v>81.25</v>
      </c>
      <c r="BB568" s="1">
        <v>77.78</v>
      </c>
      <c r="BC568" s="1" t="b">
        <v>0</v>
      </c>
      <c r="BD568" s="1" t="b">
        <v>0</v>
      </c>
      <c r="BE568" s="1">
        <v>11.34</v>
      </c>
      <c r="BF568" s="1">
        <v>13.285</v>
      </c>
      <c r="BG568" s="1" t="b">
        <v>0</v>
      </c>
      <c r="BH568" s="1" t="b">
        <v>0</v>
      </c>
      <c r="BI568" s="1">
        <v>77.78</v>
      </c>
      <c r="BJ568" s="1">
        <v>75.0</v>
      </c>
      <c r="BK568" s="1" t="b">
        <v>0</v>
      </c>
      <c r="BL568" s="1" t="b">
        <v>0</v>
      </c>
      <c r="BM568" s="1">
        <v>13.121</v>
      </c>
      <c r="BN568" s="1">
        <v>14.568</v>
      </c>
      <c r="BO568" s="1" t="b">
        <v>0</v>
      </c>
      <c r="BP568" s="1" t="b">
        <v>0</v>
      </c>
      <c r="BQ568" s="1">
        <v>75.0</v>
      </c>
      <c r="BR568" s="1">
        <v>72.027</v>
      </c>
      <c r="BS568" s="1" t="b">
        <v>0</v>
      </c>
      <c r="BT568" s="1" t="b">
        <v>0</v>
      </c>
      <c r="BU568" s="1" t="s">
        <v>105</v>
      </c>
      <c r="BV568" s="1" t="s">
        <v>105</v>
      </c>
      <c r="BW568" s="1" t="s">
        <v>105</v>
      </c>
      <c r="BX568" s="1" t="s">
        <v>105</v>
      </c>
      <c r="BY568" s="1" t="s">
        <v>105</v>
      </c>
      <c r="BZ568" s="1" t="s">
        <v>105</v>
      </c>
      <c r="CA568" s="1" t="s">
        <v>105</v>
      </c>
      <c r="CB568" s="1" t="s">
        <v>105</v>
      </c>
      <c r="CC568" s="1" t="s">
        <v>105</v>
      </c>
      <c r="CD568" s="1" t="s">
        <v>105</v>
      </c>
      <c r="CE568" s="4"/>
      <c r="CF568" s="4"/>
    </row>
    <row r="569" hidden="1">
      <c r="A569" s="1" t="s">
        <v>82</v>
      </c>
      <c r="B569" s="1" t="s">
        <v>83</v>
      </c>
      <c r="C569" s="1">
        <v>25.0</v>
      </c>
      <c r="D569" s="5" t="s">
        <v>2506</v>
      </c>
      <c r="E569" s="1" t="s">
        <v>2507</v>
      </c>
      <c r="F569" s="1">
        <v>52.0</v>
      </c>
      <c r="G569" s="1">
        <v>0.3182</v>
      </c>
      <c r="H569" s="1" t="s">
        <v>2508</v>
      </c>
      <c r="I569" s="4" t="b">
        <f>IFERROR(__xludf.DUMMYFUNCTION("IF(H569="""",,REGEXMATCH(H569,""[א-ת]""))"),FALSE)</f>
        <v>0</v>
      </c>
      <c r="J569" s="1" t="s">
        <v>1233</v>
      </c>
      <c r="K569" s="4"/>
      <c r="L569" s="1">
        <v>-0.296</v>
      </c>
      <c r="M569" s="1">
        <v>37.17</v>
      </c>
      <c r="N569" s="1">
        <v>40.38</v>
      </c>
      <c r="O569" s="1">
        <v>0.7765384615</v>
      </c>
      <c r="P569" s="4"/>
      <c r="Q569" s="4"/>
      <c r="R569" s="1" t="s">
        <v>89</v>
      </c>
      <c r="S569" s="1" t="s">
        <v>2507</v>
      </c>
      <c r="T569" s="1" t="s">
        <v>83</v>
      </c>
      <c r="U569" s="1">
        <v>26.0</v>
      </c>
      <c r="V569" s="5" t="s">
        <v>2506</v>
      </c>
      <c r="W569" s="1" t="s">
        <v>2507</v>
      </c>
      <c r="X569" s="1" t="s">
        <v>2509</v>
      </c>
      <c r="Y569" s="4"/>
      <c r="Z569" s="4"/>
      <c r="AA569" s="4" t="b">
        <f>IFERROR(__xludf.DUMMYFUNCTION("IF(X569="""",,REGEXMATCH(X569,""[א-ת]""))"),FALSE)</f>
        <v>0</v>
      </c>
      <c r="AB569" s="1">
        <v>45.8</v>
      </c>
      <c r="AC569" s="1">
        <v>36.54</v>
      </c>
      <c r="AD569" s="1">
        <v>0.622017727407443</v>
      </c>
      <c r="AE569" s="1">
        <v>-0.25</v>
      </c>
      <c r="AF569" s="1">
        <v>0.3182</v>
      </c>
      <c r="AG569" s="1">
        <v>6.337</v>
      </c>
      <c r="AH569" s="1">
        <v>6.781</v>
      </c>
      <c r="AI569" s="1" t="b">
        <v>0</v>
      </c>
      <c r="AJ569" s="1" t="b">
        <v>0</v>
      </c>
      <c r="AK569" s="1">
        <v>94.182</v>
      </c>
      <c r="AL569" s="1">
        <v>96.508</v>
      </c>
      <c r="AM569" s="1" t="b">
        <v>0</v>
      </c>
      <c r="AN569" s="1" t="b">
        <v>0</v>
      </c>
      <c r="AO569" s="1">
        <v>8.05</v>
      </c>
      <c r="AP569" s="1">
        <v>8.53399999999999</v>
      </c>
      <c r="AQ569" s="1" t="b">
        <v>0</v>
      </c>
      <c r="AR569" s="1" t="b">
        <v>0</v>
      </c>
      <c r="AS569" s="1">
        <v>86.9179999999999</v>
      </c>
      <c r="AT569" s="1">
        <v>87.152</v>
      </c>
      <c r="AU569" s="1" t="b">
        <v>0</v>
      </c>
      <c r="AV569" s="1" t="b">
        <v>0</v>
      </c>
      <c r="AW569" s="1">
        <v>9.61399999999999</v>
      </c>
      <c r="AX569" s="1">
        <v>11.026</v>
      </c>
      <c r="AY569" s="1" t="b">
        <v>0</v>
      </c>
      <c r="AZ569" s="1" t="b">
        <v>0</v>
      </c>
      <c r="BA569" s="1">
        <v>81.25</v>
      </c>
      <c r="BB569" s="1">
        <v>77.78</v>
      </c>
      <c r="BC569" s="1" t="b">
        <v>0</v>
      </c>
      <c r="BD569" s="1" t="b">
        <v>0</v>
      </c>
      <c r="BE569" s="1">
        <v>11.34</v>
      </c>
      <c r="BF569" s="1">
        <v>13.285</v>
      </c>
      <c r="BG569" s="1" t="b">
        <v>0</v>
      </c>
      <c r="BH569" s="1" t="b">
        <v>0</v>
      </c>
      <c r="BI569" s="1">
        <v>77.78</v>
      </c>
      <c r="BJ569" s="1">
        <v>75.0</v>
      </c>
      <c r="BK569" s="1" t="b">
        <v>0</v>
      </c>
      <c r="BL569" s="1" t="b">
        <v>0</v>
      </c>
      <c r="BM569" s="1">
        <v>13.121</v>
      </c>
      <c r="BN569" s="1">
        <v>14.568</v>
      </c>
      <c r="BO569" s="1" t="b">
        <v>0</v>
      </c>
      <c r="BP569" s="1" t="b">
        <v>0</v>
      </c>
      <c r="BQ569" s="1">
        <v>75.0</v>
      </c>
      <c r="BR569" s="1">
        <v>72.027</v>
      </c>
      <c r="BS569" s="1" t="b">
        <v>0</v>
      </c>
      <c r="BT569" s="1" t="b">
        <v>0</v>
      </c>
      <c r="BU569" s="1" t="s">
        <v>105</v>
      </c>
      <c r="BV569" s="1" t="s">
        <v>105</v>
      </c>
      <c r="BW569" s="1" t="s">
        <v>105</v>
      </c>
      <c r="BX569" s="1" t="s">
        <v>105</v>
      </c>
      <c r="BY569" s="1" t="s">
        <v>105</v>
      </c>
      <c r="BZ569" s="1" t="s">
        <v>105</v>
      </c>
      <c r="CA569" s="1" t="s">
        <v>105</v>
      </c>
      <c r="CB569" s="1" t="s">
        <v>105</v>
      </c>
      <c r="CC569" s="1" t="s">
        <v>105</v>
      </c>
      <c r="CD569" s="1" t="s">
        <v>105</v>
      </c>
      <c r="CE569" s="4"/>
      <c r="CF569" s="4"/>
    </row>
    <row r="570" hidden="1">
      <c r="A570" s="1" t="s">
        <v>82</v>
      </c>
      <c r="B570" s="1" t="s">
        <v>111</v>
      </c>
      <c r="C570" s="1">
        <v>36.0</v>
      </c>
      <c r="D570" s="5" t="s">
        <v>2510</v>
      </c>
      <c r="E570" s="1" t="s">
        <v>2511</v>
      </c>
      <c r="F570" s="1">
        <v>99.0</v>
      </c>
      <c r="G570" s="1">
        <v>0.0772</v>
      </c>
      <c r="H570" s="1" t="s">
        <v>2512</v>
      </c>
      <c r="I570" s="4" t="b">
        <f>IFERROR(__xludf.DUMMYFUNCTION("IF(H570="""",,REGEXMATCH(H570,""[א-ת]""))"),FALSE)</f>
        <v>0</v>
      </c>
      <c r="J570" s="4"/>
      <c r="K570" s="4"/>
      <c r="L570" s="1">
        <v>0.34</v>
      </c>
      <c r="M570" s="1">
        <v>37.37</v>
      </c>
      <c r="N570" s="1">
        <v>47.47</v>
      </c>
      <c r="O570" s="1">
        <v>0.4794949495</v>
      </c>
      <c r="P570" s="4"/>
      <c r="Q570" s="4"/>
      <c r="R570" s="1" t="s">
        <v>89</v>
      </c>
      <c r="S570" s="1" t="s">
        <v>2511</v>
      </c>
      <c r="T570" s="1" t="s">
        <v>111</v>
      </c>
      <c r="U570" s="1">
        <v>37.0</v>
      </c>
      <c r="V570" s="5" t="s">
        <v>2510</v>
      </c>
      <c r="W570" s="1" t="s">
        <v>2511</v>
      </c>
      <c r="X570" s="1" t="s">
        <v>2513</v>
      </c>
      <c r="Y570" s="4"/>
      <c r="Z570" s="4"/>
      <c r="AA570" s="4" t="b">
        <f>IFERROR(__xludf.DUMMYFUNCTION("IF(X570="""",,REGEXMATCH(X570,""[א-ת]""))"),FALSE)</f>
        <v>0</v>
      </c>
      <c r="AB570" s="1">
        <v>51.97</v>
      </c>
      <c r="AC570" s="1">
        <v>32.32</v>
      </c>
      <c r="AD570" s="1">
        <v>0.635710478084586</v>
      </c>
      <c r="AE570" s="1">
        <v>0.0772</v>
      </c>
      <c r="AF570" s="1">
        <v>0.0772</v>
      </c>
      <c r="AG570" s="1">
        <v>6.337</v>
      </c>
      <c r="AH570" s="1">
        <v>6.781</v>
      </c>
      <c r="AI570" s="1" t="b">
        <v>0</v>
      </c>
      <c r="AJ570" s="1" t="b">
        <v>0</v>
      </c>
      <c r="AK570" s="1">
        <v>94.182</v>
      </c>
      <c r="AL570" s="1">
        <v>96.508</v>
      </c>
      <c r="AM570" s="1" t="b">
        <v>0</v>
      </c>
      <c r="AN570" s="1" t="b">
        <v>0</v>
      </c>
      <c r="AO570" s="1">
        <v>8.05</v>
      </c>
      <c r="AP570" s="1">
        <v>8.53399999999999</v>
      </c>
      <c r="AQ570" s="1" t="b">
        <v>0</v>
      </c>
      <c r="AR570" s="1" t="b">
        <v>0</v>
      </c>
      <c r="AS570" s="1">
        <v>86.9179999999999</v>
      </c>
      <c r="AT570" s="1">
        <v>87.152</v>
      </c>
      <c r="AU570" s="1" t="b">
        <v>0</v>
      </c>
      <c r="AV570" s="1" t="b">
        <v>0</v>
      </c>
      <c r="AW570" s="1">
        <v>9.61399999999999</v>
      </c>
      <c r="AX570" s="1">
        <v>11.026</v>
      </c>
      <c r="AY570" s="1" t="b">
        <v>0</v>
      </c>
      <c r="AZ570" s="1" t="b">
        <v>0</v>
      </c>
      <c r="BA570" s="1">
        <v>81.25</v>
      </c>
      <c r="BB570" s="1">
        <v>77.78</v>
      </c>
      <c r="BC570" s="1" t="b">
        <v>0</v>
      </c>
      <c r="BD570" s="1" t="b">
        <v>0</v>
      </c>
      <c r="BE570" s="1">
        <v>11.34</v>
      </c>
      <c r="BF570" s="1">
        <v>13.285</v>
      </c>
      <c r="BG570" s="1" t="b">
        <v>0</v>
      </c>
      <c r="BH570" s="1" t="b">
        <v>0</v>
      </c>
      <c r="BI570" s="1">
        <v>77.78</v>
      </c>
      <c r="BJ570" s="1">
        <v>75.0</v>
      </c>
      <c r="BK570" s="1" t="b">
        <v>0</v>
      </c>
      <c r="BL570" s="1" t="b">
        <v>0</v>
      </c>
      <c r="BM570" s="1">
        <v>13.121</v>
      </c>
      <c r="BN570" s="1">
        <v>14.568</v>
      </c>
      <c r="BO570" s="1" t="b">
        <v>0</v>
      </c>
      <c r="BP570" s="1" t="b">
        <v>0</v>
      </c>
      <c r="BQ570" s="1">
        <v>75.0</v>
      </c>
      <c r="BR570" s="1">
        <v>72.027</v>
      </c>
      <c r="BS570" s="1" t="b">
        <v>0</v>
      </c>
      <c r="BT570" s="1" t="b">
        <v>0</v>
      </c>
      <c r="BU570" s="1" t="s">
        <v>105</v>
      </c>
      <c r="BV570" s="1" t="s">
        <v>105</v>
      </c>
      <c r="BW570" s="1" t="s">
        <v>105</v>
      </c>
      <c r="BX570" s="1" t="s">
        <v>105</v>
      </c>
      <c r="BY570" s="1" t="s">
        <v>105</v>
      </c>
      <c r="BZ570" s="1" t="s">
        <v>105</v>
      </c>
      <c r="CA570" s="1" t="s">
        <v>105</v>
      </c>
      <c r="CB570" s="1" t="s">
        <v>105</v>
      </c>
      <c r="CC570" s="1" t="s">
        <v>105</v>
      </c>
      <c r="CD570" s="1" t="s">
        <v>105</v>
      </c>
      <c r="CE570" s="4"/>
      <c r="CF570" s="4"/>
    </row>
    <row r="571" hidden="1">
      <c r="A571" s="1" t="s">
        <v>82</v>
      </c>
      <c r="B571" s="1" t="s">
        <v>83</v>
      </c>
      <c r="C571" s="1">
        <v>35.0</v>
      </c>
      <c r="D571" s="5" t="s">
        <v>2514</v>
      </c>
      <c r="E571" s="1" t="s">
        <v>2515</v>
      </c>
      <c r="F571" s="1">
        <v>40.0</v>
      </c>
      <c r="G571" s="1">
        <v>0.1779</v>
      </c>
      <c r="H571" s="1" t="s">
        <v>2516</v>
      </c>
      <c r="I571" s="4" t="b">
        <f>IFERROR(__xludf.DUMMYFUNCTION("IF(H571="""",,REGEXMATCH(H571,""[א-ת]""))"),FALSE)</f>
        <v>0</v>
      </c>
      <c r="J571" s="4"/>
      <c r="K571" s="4"/>
      <c r="L571" s="1">
        <v>0.1779</v>
      </c>
      <c r="M571" s="1">
        <v>37.41</v>
      </c>
      <c r="N571" s="1">
        <v>42.5</v>
      </c>
      <c r="O571" s="1">
        <v>1.0625</v>
      </c>
      <c r="P571" s="4"/>
      <c r="Q571" s="4"/>
      <c r="R571" s="1" t="s">
        <v>89</v>
      </c>
      <c r="S571" s="1" t="s">
        <v>2515</v>
      </c>
      <c r="T571" s="1" t="s">
        <v>83</v>
      </c>
      <c r="U571" s="1">
        <v>36.0</v>
      </c>
      <c r="V571" s="5" t="s">
        <v>2514</v>
      </c>
      <c r="W571" s="1" t="s">
        <v>2515</v>
      </c>
      <c r="X571" s="1" t="s">
        <v>2517</v>
      </c>
      <c r="Y571" s="4"/>
      <c r="Z571" s="4"/>
      <c r="AA571" s="4" t="b">
        <f>IFERROR(__xludf.DUMMYFUNCTION("IF(X571="""",,REGEXMATCH(X571,""[א-ת]""))"),FALSE)</f>
        <v>0</v>
      </c>
      <c r="AB571" s="1">
        <v>23.29</v>
      </c>
      <c r="AC571" s="1">
        <v>57.5</v>
      </c>
      <c r="AD571" s="1">
        <v>0.604745857210933</v>
      </c>
      <c r="AE571" s="1">
        <v>0.1779</v>
      </c>
      <c r="AF571" s="1">
        <v>0.1779</v>
      </c>
      <c r="AG571" s="1">
        <v>6.337</v>
      </c>
      <c r="AH571" s="1">
        <v>6.781</v>
      </c>
      <c r="AI571" s="1" t="b">
        <v>0</v>
      </c>
      <c r="AJ571" s="1" t="b">
        <v>0</v>
      </c>
      <c r="AK571" s="1">
        <v>94.182</v>
      </c>
      <c r="AL571" s="1">
        <v>96.508</v>
      </c>
      <c r="AM571" s="1" t="b">
        <v>0</v>
      </c>
      <c r="AN571" s="1" t="b">
        <v>0</v>
      </c>
      <c r="AO571" s="1">
        <v>8.05</v>
      </c>
      <c r="AP571" s="1">
        <v>8.53399999999999</v>
      </c>
      <c r="AQ571" s="1" t="b">
        <v>0</v>
      </c>
      <c r="AR571" s="1" t="b">
        <v>0</v>
      </c>
      <c r="AS571" s="1">
        <v>86.9179999999999</v>
      </c>
      <c r="AT571" s="1">
        <v>87.152</v>
      </c>
      <c r="AU571" s="1" t="b">
        <v>0</v>
      </c>
      <c r="AV571" s="1" t="b">
        <v>0</v>
      </c>
      <c r="AW571" s="1">
        <v>9.61399999999999</v>
      </c>
      <c r="AX571" s="1">
        <v>11.026</v>
      </c>
      <c r="AY571" s="1" t="b">
        <v>0</v>
      </c>
      <c r="AZ571" s="1" t="b">
        <v>0</v>
      </c>
      <c r="BA571" s="1">
        <v>81.25</v>
      </c>
      <c r="BB571" s="1">
        <v>77.78</v>
      </c>
      <c r="BC571" s="1" t="b">
        <v>0</v>
      </c>
      <c r="BD571" s="1" t="b">
        <v>0</v>
      </c>
      <c r="BE571" s="1">
        <v>11.34</v>
      </c>
      <c r="BF571" s="1">
        <v>13.285</v>
      </c>
      <c r="BG571" s="1" t="b">
        <v>0</v>
      </c>
      <c r="BH571" s="1" t="b">
        <v>0</v>
      </c>
      <c r="BI571" s="1">
        <v>77.78</v>
      </c>
      <c r="BJ571" s="1">
        <v>75.0</v>
      </c>
      <c r="BK571" s="1" t="b">
        <v>0</v>
      </c>
      <c r="BL571" s="1" t="b">
        <v>0</v>
      </c>
      <c r="BM571" s="1">
        <v>13.121</v>
      </c>
      <c r="BN571" s="1">
        <v>14.568</v>
      </c>
      <c r="BO571" s="1" t="b">
        <v>0</v>
      </c>
      <c r="BP571" s="1" t="b">
        <v>0</v>
      </c>
      <c r="BQ571" s="1">
        <v>75.0</v>
      </c>
      <c r="BR571" s="1">
        <v>72.027</v>
      </c>
      <c r="BS571" s="1" t="b">
        <v>0</v>
      </c>
      <c r="BT571" s="1" t="b">
        <v>0</v>
      </c>
      <c r="BU571" s="1" t="s">
        <v>105</v>
      </c>
      <c r="BV571" s="1" t="s">
        <v>105</v>
      </c>
      <c r="BW571" s="1" t="s">
        <v>105</v>
      </c>
      <c r="BX571" s="1" t="s">
        <v>105</v>
      </c>
      <c r="BY571" s="1" t="s">
        <v>105</v>
      </c>
      <c r="BZ571" s="1" t="s">
        <v>105</v>
      </c>
      <c r="CA571" s="1" t="s">
        <v>105</v>
      </c>
      <c r="CB571" s="1" t="s">
        <v>105</v>
      </c>
      <c r="CC571" s="1" t="s">
        <v>105</v>
      </c>
      <c r="CD571" s="1" t="s">
        <v>105</v>
      </c>
      <c r="CE571" s="4"/>
      <c r="CF571" s="4"/>
    </row>
    <row r="572" hidden="1">
      <c r="A572" s="1" t="s">
        <v>82</v>
      </c>
      <c r="B572" s="1" t="s">
        <v>524</v>
      </c>
      <c r="C572" s="1">
        <v>1.0</v>
      </c>
      <c r="D572" s="5" t="s">
        <v>2518</v>
      </c>
      <c r="E572" s="1" t="s">
        <v>2519</v>
      </c>
      <c r="F572" s="1">
        <v>29.0</v>
      </c>
      <c r="G572" s="1">
        <v>0.8074</v>
      </c>
      <c r="H572" s="1" t="s">
        <v>2520</v>
      </c>
      <c r="I572" s="4" t="b">
        <f>IFERROR(__xludf.DUMMYFUNCTION("IF(H572="""",,REGEXMATCH(H572,""[א-ת]""))"),FALSE)</f>
        <v>0</v>
      </c>
      <c r="J572" s="4"/>
      <c r="K572" s="4"/>
      <c r="L572" s="1">
        <v>0.8074</v>
      </c>
      <c r="M572" s="1">
        <v>37.57</v>
      </c>
      <c r="N572" s="1">
        <v>27.59</v>
      </c>
      <c r="O572" s="1">
        <v>0.9513793103</v>
      </c>
      <c r="P572" s="4"/>
      <c r="Q572" s="4"/>
      <c r="R572" s="1" t="s">
        <v>89</v>
      </c>
      <c r="S572" s="1" t="s">
        <v>2519</v>
      </c>
      <c r="T572" s="1" t="s">
        <v>524</v>
      </c>
      <c r="U572" s="1">
        <v>2.0</v>
      </c>
      <c r="V572" s="5" t="s">
        <v>2518</v>
      </c>
      <c r="W572" s="1" t="s">
        <v>2519</v>
      </c>
      <c r="X572" s="1" t="s">
        <v>2521</v>
      </c>
      <c r="Y572" s="4"/>
      <c r="Z572" s="4"/>
      <c r="AA572" s="4" t="b">
        <f>IFERROR(__xludf.DUMMYFUNCTION("IF(X572="""",,REGEXMATCH(X572,""[א-ת]""))"),TRUE)</f>
        <v>1</v>
      </c>
      <c r="AB572" s="1">
        <v>26.21</v>
      </c>
      <c r="AC572" s="1">
        <v>62.07</v>
      </c>
      <c r="AD572" s="1">
        <v>0.210811949118168</v>
      </c>
      <c r="AE572" s="1">
        <v>0.0</v>
      </c>
      <c r="AF572" s="1">
        <v>0.8074</v>
      </c>
      <c r="AG572" s="1">
        <v>6.337</v>
      </c>
      <c r="AH572" s="1">
        <v>6.781</v>
      </c>
      <c r="AI572" s="1" t="b">
        <v>0</v>
      </c>
      <c r="AJ572" s="1" t="b">
        <v>0</v>
      </c>
      <c r="AK572" s="1">
        <v>94.182</v>
      </c>
      <c r="AL572" s="1">
        <v>96.508</v>
      </c>
      <c r="AM572" s="1" t="b">
        <v>0</v>
      </c>
      <c r="AN572" s="1" t="b">
        <v>0</v>
      </c>
      <c r="AO572" s="1">
        <v>8.05</v>
      </c>
      <c r="AP572" s="1">
        <v>8.53399999999999</v>
      </c>
      <c r="AQ572" s="1" t="b">
        <v>0</v>
      </c>
      <c r="AR572" s="1" t="b">
        <v>0</v>
      </c>
      <c r="AS572" s="1">
        <v>86.9179999999999</v>
      </c>
      <c r="AT572" s="1">
        <v>87.152</v>
      </c>
      <c r="AU572" s="1" t="b">
        <v>0</v>
      </c>
      <c r="AV572" s="1" t="b">
        <v>0</v>
      </c>
      <c r="AW572" s="1">
        <v>9.61399999999999</v>
      </c>
      <c r="AX572" s="1">
        <v>11.026</v>
      </c>
      <c r="AY572" s="1" t="b">
        <v>0</v>
      </c>
      <c r="AZ572" s="1" t="b">
        <v>0</v>
      </c>
      <c r="BA572" s="1">
        <v>81.25</v>
      </c>
      <c r="BB572" s="1">
        <v>77.78</v>
      </c>
      <c r="BC572" s="1" t="b">
        <v>0</v>
      </c>
      <c r="BD572" s="1" t="b">
        <v>0</v>
      </c>
      <c r="BE572" s="1">
        <v>11.34</v>
      </c>
      <c r="BF572" s="1">
        <v>13.285</v>
      </c>
      <c r="BG572" s="1" t="b">
        <v>0</v>
      </c>
      <c r="BH572" s="1" t="b">
        <v>0</v>
      </c>
      <c r="BI572" s="1">
        <v>77.78</v>
      </c>
      <c r="BJ572" s="1">
        <v>75.0</v>
      </c>
      <c r="BK572" s="1" t="b">
        <v>0</v>
      </c>
      <c r="BL572" s="1" t="b">
        <v>0</v>
      </c>
      <c r="BM572" s="1">
        <v>13.121</v>
      </c>
      <c r="BN572" s="1">
        <v>14.568</v>
      </c>
      <c r="BO572" s="1" t="b">
        <v>0</v>
      </c>
      <c r="BP572" s="1" t="b">
        <v>0</v>
      </c>
      <c r="BQ572" s="1">
        <v>75.0</v>
      </c>
      <c r="BR572" s="1">
        <v>72.027</v>
      </c>
      <c r="BS572" s="1" t="b">
        <v>0</v>
      </c>
      <c r="BT572" s="1" t="b">
        <v>0</v>
      </c>
      <c r="BU572" s="1" t="s">
        <v>105</v>
      </c>
      <c r="BV572" s="1" t="s">
        <v>105</v>
      </c>
      <c r="BW572" s="1" t="s">
        <v>105</v>
      </c>
      <c r="BX572" s="1" t="s">
        <v>105</v>
      </c>
      <c r="BY572" s="1" t="s">
        <v>105</v>
      </c>
      <c r="BZ572" s="1" t="s">
        <v>105</v>
      </c>
      <c r="CA572" s="1" t="s">
        <v>105</v>
      </c>
      <c r="CB572" s="1" t="s">
        <v>105</v>
      </c>
      <c r="CC572" s="1" t="s">
        <v>105</v>
      </c>
      <c r="CD572" s="1" t="s">
        <v>105</v>
      </c>
      <c r="CE572" s="4"/>
      <c r="CF572" s="4"/>
    </row>
    <row r="573" hidden="1">
      <c r="A573" s="1" t="s">
        <v>82</v>
      </c>
      <c r="B573" s="1" t="s">
        <v>167</v>
      </c>
      <c r="C573" s="1">
        <v>2.0</v>
      </c>
      <c r="D573" s="5" t="s">
        <v>2522</v>
      </c>
      <c r="E573" s="1" t="s">
        <v>2523</v>
      </c>
      <c r="F573" s="1">
        <v>68.0</v>
      </c>
      <c r="G573" s="1">
        <v>0.5267</v>
      </c>
      <c r="H573" s="1" t="s">
        <v>2524</v>
      </c>
      <c r="I573" s="4" t="b">
        <f>IFERROR(__xludf.DUMMYFUNCTION("IF(H573="""",,REGEXMATCH(H573,""[א-ת]""))"),FALSE)</f>
        <v>0</v>
      </c>
      <c r="J573" s="4"/>
      <c r="K573" s="4"/>
      <c r="L573" s="1">
        <v>0.296</v>
      </c>
      <c r="M573" s="1">
        <v>37.6</v>
      </c>
      <c r="N573" s="1">
        <v>42.65</v>
      </c>
      <c r="O573" s="1">
        <v>0.6272058824</v>
      </c>
      <c r="P573" s="4"/>
      <c r="Q573" s="4"/>
      <c r="R573" s="1" t="s">
        <v>127</v>
      </c>
      <c r="S573" s="1" t="s">
        <v>2523</v>
      </c>
      <c r="T573" s="1" t="s">
        <v>167</v>
      </c>
      <c r="U573" s="1">
        <v>3.0</v>
      </c>
      <c r="V573" s="5" t="s">
        <v>2522</v>
      </c>
      <c r="W573" s="1" t="s">
        <v>2523</v>
      </c>
      <c r="X573" s="1" t="s">
        <v>2525</v>
      </c>
      <c r="Y573" s="4"/>
      <c r="Z573" s="4"/>
      <c r="AA573" s="4" t="b">
        <f>IFERROR(__xludf.DUMMYFUNCTION("IF(X573="""",,REGEXMATCH(X573,""[א-ת]""))"),FALSE)</f>
        <v>0</v>
      </c>
      <c r="AB573" s="1">
        <v>33.38</v>
      </c>
      <c r="AC573" s="1">
        <v>51.47</v>
      </c>
      <c r="AD573" s="1">
        <v>0.521739903189948</v>
      </c>
      <c r="AE573" s="1">
        <v>0.296</v>
      </c>
      <c r="AF573" s="1">
        <v>0.5267</v>
      </c>
      <c r="AG573" s="1">
        <v>6.337</v>
      </c>
      <c r="AH573" s="1">
        <v>6.781</v>
      </c>
      <c r="AI573" s="1" t="b">
        <v>0</v>
      </c>
      <c r="AJ573" s="1" t="b">
        <v>0</v>
      </c>
      <c r="AK573" s="1">
        <v>94.182</v>
      </c>
      <c r="AL573" s="1">
        <v>96.508</v>
      </c>
      <c r="AM573" s="1" t="b">
        <v>0</v>
      </c>
      <c r="AN573" s="1" t="b">
        <v>0</v>
      </c>
      <c r="AO573" s="1">
        <v>8.05</v>
      </c>
      <c r="AP573" s="1">
        <v>8.53399999999999</v>
      </c>
      <c r="AQ573" s="1" t="b">
        <v>0</v>
      </c>
      <c r="AR573" s="1" t="b">
        <v>0</v>
      </c>
      <c r="AS573" s="1">
        <v>86.9179999999999</v>
      </c>
      <c r="AT573" s="1">
        <v>87.152</v>
      </c>
      <c r="AU573" s="1" t="b">
        <v>0</v>
      </c>
      <c r="AV573" s="1" t="b">
        <v>0</v>
      </c>
      <c r="AW573" s="1">
        <v>9.61399999999999</v>
      </c>
      <c r="AX573" s="1">
        <v>11.026</v>
      </c>
      <c r="AY573" s="1" t="b">
        <v>0</v>
      </c>
      <c r="AZ573" s="1" t="b">
        <v>0</v>
      </c>
      <c r="BA573" s="1">
        <v>81.25</v>
      </c>
      <c r="BB573" s="1">
        <v>77.78</v>
      </c>
      <c r="BC573" s="1" t="b">
        <v>0</v>
      </c>
      <c r="BD573" s="1" t="b">
        <v>0</v>
      </c>
      <c r="BE573" s="1">
        <v>11.34</v>
      </c>
      <c r="BF573" s="1">
        <v>13.285</v>
      </c>
      <c r="BG573" s="1" t="b">
        <v>0</v>
      </c>
      <c r="BH573" s="1" t="b">
        <v>0</v>
      </c>
      <c r="BI573" s="1">
        <v>77.78</v>
      </c>
      <c r="BJ573" s="1">
        <v>75.0</v>
      </c>
      <c r="BK573" s="1" t="b">
        <v>0</v>
      </c>
      <c r="BL573" s="1" t="b">
        <v>0</v>
      </c>
      <c r="BM573" s="1">
        <v>13.121</v>
      </c>
      <c r="BN573" s="1">
        <v>14.568</v>
      </c>
      <c r="BO573" s="1" t="b">
        <v>0</v>
      </c>
      <c r="BP573" s="1" t="b">
        <v>0</v>
      </c>
      <c r="BQ573" s="1">
        <v>75.0</v>
      </c>
      <c r="BR573" s="1">
        <v>72.027</v>
      </c>
      <c r="BS573" s="1" t="b">
        <v>0</v>
      </c>
      <c r="BT573" s="1" t="b">
        <v>0</v>
      </c>
      <c r="BU573" s="1" t="s">
        <v>105</v>
      </c>
      <c r="BV573" s="1" t="s">
        <v>105</v>
      </c>
      <c r="BW573" s="1" t="s">
        <v>105</v>
      </c>
      <c r="BX573" s="1" t="s">
        <v>105</v>
      </c>
      <c r="BY573" s="1" t="s">
        <v>105</v>
      </c>
      <c r="BZ573" s="1" t="s">
        <v>105</v>
      </c>
      <c r="CA573" s="1" t="s">
        <v>105</v>
      </c>
      <c r="CB573" s="1" t="s">
        <v>105</v>
      </c>
      <c r="CC573" s="1" t="s">
        <v>105</v>
      </c>
      <c r="CD573" s="1" t="s">
        <v>105</v>
      </c>
      <c r="CE573" s="4"/>
      <c r="CF573" s="4"/>
    </row>
    <row r="574" hidden="1">
      <c r="A574" s="1" t="s">
        <v>82</v>
      </c>
      <c r="B574" s="1" t="s">
        <v>83</v>
      </c>
      <c r="C574" s="1">
        <v>30.0</v>
      </c>
      <c r="D574" s="5" t="s">
        <v>2526</v>
      </c>
      <c r="E574" s="1" t="s">
        <v>2527</v>
      </c>
      <c r="F574" s="1">
        <v>59.0</v>
      </c>
      <c r="G574" s="1">
        <v>0.3716</v>
      </c>
      <c r="H574" s="1" t="s">
        <v>2528</v>
      </c>
      <c r="I574" s="4" t="b">
        <f>IFERROR(__xludf.DUMMYFUNCTION("IF(H574="""",,REGEXMATCH(H574,""[א-ת]""))"),FALSE)</f>
        <v>0</v>
      </c>
      <c r="J574" s="1" t="s">
        <v>1233</v>
      </c>
      <c r="K574" s="4"/>
      <c r="L574" s="1">
        <v>0.6249</v>
      </c>
      <c r="M574" s="1">
        <v>37.63</v>
      </c>
      <c r="N574" s="1">
        <v>38.98</v>
      </c>
      <c r="O574" s="1">
        <v>0.6606779661</v>
      </c>
      <c r="P574" s="4"/>
      <c r="Q574" s="4"/>
      <c r="R574" s="1" t="s">
        <v>89</v>
      </c>
      <c r="S574" s="1" t="s">
        <v>2527</v>
      </c>
      <c r="T574" s="1" t="s">
        <v>83</v>
      </c>
      <c r="U574" s="1">
        <v>31.0</v>
      </c>
      <c r="V574" s="5" t="s">
        <v>2526</v>
      </c>
      <c r="W574" s="1" t="s">
        <v>2527</v>
      </c>
      <c r="X574" s="1" t="s">
        <v>2529</v>
      </c>
      <c r="Y574" s="4"/>
      <c r="Z574" s="4"/>
      <c r="AA574" s="4" t="b">
        <f>IFERROR(__xludf.DUMMYFUNCTION("IF(X574="""",,REGEXMATCH(X574,""[א-ת]""))"),FALSE)</f>
        <v>0</v>
      </c>
      <c r="AB574" s="1">
        <v>38.77</v>
      </c>
      <c r="AC574" s="1">
        <v>42.37</v>
      </c>
      <c r="AD574" s="1">
        <v>0.85228334709133</v>
      </c>
      <c r="AE574" s="1">
        <v>0.128</v>
      </c>
      <c r="AF574" s="1">
        <v>0.3716</v>
      </c>
      <c r="AG574" s="1">
        <v>6.337</v>
      </c>
      <c r="AH574" s="1">
        <v>6.781</v>
      </c>
      <c r="AI574" s="1" t="b">
        <v>0</v>
      </c>
      <c r="AJ574" s="1" t="b">
        <v>0</v>
      </c>
      <c r="AK574" s="1">
        <v>94.182</v>
      </c>
      <c r="AL574" s="1">
        <v>96.508</v>
      </c>
      <c r="AM574" s="1" t="b">
        <v>0</v>
      </c>
      <c r="AN574" s="1" t="b">
        <v>0</v>
      </c>
      <c r="AO574" s="1">
        <v>8.05</v>
      </c>
      <c r="AP574" s="1">
        <v>8.53399999999999</v>
      </c>
      <c r="AQ574" s="1" t="b">
        <v>0</v>
      </c>
      <c r="AR574" s="1" t="b">
        <v>0</v>
      </c>
      <c r="AS574" s="1">
        <v>86.9179999999999</v>
      </c>
      <c r="AT574" s="1">
        <v>87.152</v>
      </c>
      <c r="AU574" s="1" t="b">
        <v>0</v>
      </c>
      <c r="AV574" s="1" t="b">
        <v>0</v>
      </c>
      <c r="AW574" s="1">
        <v>9.61399999999999</v>
      </c>
      <c r="AX574" s="1">
        <v>11.026</v>
      </c>
      <c r="AY574" s="1" t="b">
        <v>0</v>
      </c>
      <c r="AZ574" s="1" t="b">
        <v>0</v>
      </c>
      <c r="BA574" s="1">
        <v>81.25</v>
      </c>
      <c r="BB574" s="1">
        <v>77.78</v>
      </c>
      <c r="BC574" s="1" t="b">
        <v>0</v>
      </c>
      <c r="BD574" s="1" t="b">
        <v>0</v>
      </c>
      <c r="BE574" s="1">
        <v>11.34</v>
      </c>
      <c r="BF574" s="1">
        <v>13.285</v>
      </c>
      <c r="BG574" s="1" t="b">
        <v>0</v>
      </c>
      <c r="BH574" s="1" t="b">
        <v>0</v>
      </c>
      <c r="BI574" s="1">
        <v>77.78</v>
      </c>
      <c r="BJ574" s="1">
        <v>75.0</v>
      </c>
      <c r="BK574" s="1" t="b">
        <v>0</v>
      </c>
      <c r="BL574" s="1" t="b">
        <v>0</v>
      </c>
      <c r="BM574" s="1">
        <v>13.121</v>
      </c>
      <c r="BN574" s="1">
        <v>14.568</v>
      </c>
      <c r="BO574" s="1" t="b">
        <v>0</v>
      </c>
      <c r="BP574" s="1" t="b">
        <v>0</v>
      </c>
      <c r="BQ574" s="1">
        <v>75.0</v>
      </c>
      <c r="BR574" s="1">
        <v>72.027</v>
      </c>
      <c r="BS574" s="1" t="b">
        <v>0</v>
      </c>
      <c r="BT574" s="1" t="b">
        <v>0</v>
      </c>
      <c r="BU574" s="1" t="s">
        <v>105</v>
      </c>
      <c r="BV574" s="1" t="s">
        <v>105</v>
      </c>
      <c r="BW574" s="1" t="s">
        <v>105</v>
      </c>
      <c r="BX574" s="1" t="s">
        <v>105</v>
      </c>
      <c r="BY574" s="1" t="s">
        <v>105</v>
      </c>
      <c r="BZ574" s="1" t="s">
        <v>105</v>
      </c>
      <c r="CA574" s="1" t="s">
        <v>105</v>
      </c>
      <c r="CB574" s="1" t="s">
        <v>105</v>
      </c>
      <c r="CC574" s="1" t="s">
        <v>105</v>
      </c>
      <c r="CD574" s="1" t="s">
        <v>105</v>
      </c>
      <c r="CE574" s="4"/>
      <c r="CF574" s="4"/>
    </row>
    <row r="575" hidden="1">
      <c r="A575" s="1" t="s">
        <v>82</v>
      </c>
      <c r="B575" s="1" t="s">
        <v>98</v>
      </c>
      <c r="C575" s="1">
        <v>12.0</v>
      </c>
      <c r="D575" s="5" t="s">
        <v>2530</v>
      </c>
      <c r="E575" s="1" t="s">
        <v>2531</v>
      </c>
      <c r="F575" s="1">
        <v>77.0</v>
      </c>
      <c r="G575" s="1">
        <v>-0.1779</v>
      </c>
      <c r="H575" s="1" t="s">
        <v>2532</v>
      </c>
      <c r="I575" s="4" t="b">
        <f>IFERROR(__xludf.DUMMYFUNCTION("IF(H575="""",,REGEXMATCH(H575,""[א-ת]""))"),FALSE)</f>
        <v>0</v>
      </c>
      <c r="J575" s="4"/>
      <c r="K575" s="4"/>
      <c r="L575" s="1">
        <v>-0.2263</v>
      </c>
      <c r="M575" s="1">
        <v>37.67</v>
      </c>
      <c r="N575" s="1">
        <v>45.45</v>
      </c>
      <c r="O575" s="1">
        <v>0.5902597403</v>
      </c>
      <c r="P575" s="4"/>
      <c r="Q575" s="4"/>
      <c r="R575" s="1" t="s">
        <v>89</v>
      </c>
      <c r="S575" s="1" t="s">
        <v>2531</v>
      </c>
      <c r="T575" s="1" t="s">
        <v>98</v>
      </c>
      <c r="U575" s="1">
        <v>13.0</v>
      </c>
      <c r="V575" s="5" t="s">
        <v>2530</v>
      </c>
      <c r="W575" s="1" t="s">
        <v>2531</v>
      </c>
      <c r="X575" s="1" t="s">
        <v>2533</v>
      </c>
      <c r="Y575" s="4"/>
      <c r="Z575" s="4"/>
      <c r="AA575" s="4" t="b">
        <f>IFERROR(__xludf.DUMMYFUNCTION("IF(X575="""",,REGEXMATCH(X575,""[א-ת]""))"),TRUE)</f>
        <v>1</v>
      </c>
      <c r="AB575" s="1">
        <v>27.74</v>
      </c>
      <c r="AC575" s="1">
        <v>81.82</v>
      </c>
      <c r="AD575" s="1">
        <v>0.551429064422733</v>
      </c>
      <c r="AE575" s="1">
        <v>-0.5719</v>
      </c>
      <c r="AF575" s="1">
        <v>-0.1779</v>
      </c>
      <c r="AG575" s="1">
        <v>6.337</v>
      </c>
      <c r="AH575" s="1">
        <v>6.781</v>
      </c>
      <c r="AI575" s="1" t="b">
        <v>0</v>
      </c>
      <c r="AJ575" s="1" t="b">
        <v>0</v>
      </c>
      <c r="AK575" s="1">
        <v>94.182</v>
      </c>
      <c r="AL575" s="1">
        <v>96.508</v>
      </c>
      <c r="AM575" s="1" t="b">
        <v>0</v>
      </c>
      <c r="AN575" s="1" t="b">
        <v>0</v>
      </c>
      <c r="AO575" s="1">
        <v>8.05</v>
      </c>
      <c r="AP575" s="1">
        <v>8.53399999999999</v>
      </c>
      <c r="AQ575" s="1" t="b">
        <v>0</v>
      </c>
      <c r="AR575" s="1" t="b">
        <v>0</v>
      </c>
      <c r="AS575" s="1">
        <v>86.9179999999999</v>
      </c>
      <c r="AT575" s="1">
        <v>87.152</v>
      </c>
      <c r="AU575" s="1" t="b">
        <v>0</v>
      </c>
      <c r="AV575" s="1" t="b">
        <v>0</v>
      </c>
      <c r="AW575" s="1">
        <v>9.61399999999999</v>
      </c>
      <c r="AX575" s="1">
        <v>11.026</v>
      </c>
      <c r="AY575" s="1" t="b">
        <v>0</v>
      </c>
      <c r="AZ575" s="1" t="b">
        <v>0</v>
      </c>
      <c r="BA575" s="1">
        <v>81.25</v>
      </c>
      <c r="BB575" s="1">
        <v>77.78</v>
      </c>
      <c r="BC575" s="1" t="b">
        <v>0</v>
      </c>
      <c r="BD575" s="1" t="b">
        <v>1</v>
      </c>
      <c r="BE575" s="1">
        <v>11.34</v>
      </c>
      <c r="BF575" s="1">
        <v>13.285</v>
      </c>
      <c r="BG575" s="1" t="b">
        <v>0</v>
      </c>
      <c r="BH575" s="1" t="b">
        <v>0</v>
      </c>
      <c r="BI575" s="1">
        <v>77.78</v>
      </c>
      <c r="BJ575" s="1">
        <v>75.0</v>
      </c>
      <c r="BK575" s="1" t="b">
        <v>0</v>
      </c>
      <c r="BL575" s="1" t="b">
        <v>1</v>
      </c>
      <c r="BM575" s="1">
        <v>13.121</v>
      </c>
      <c r="BN575" s="1">
        <v>14.568</v>
      </c>
      <c r="BO575" s="1" t="b">
        <v>0</v>
      </c>
      <c r="BP575" s="1" t="b">
        <v>0</v>
      </c>
      <c r="BQ575" s="1">
        <v>75.0</v>
      </c>
      <c r="BR575" s="1">
        <v>72.027</v>
      </c>
      <c r="BS575" s="1" t="b">
        <v>0</v>
      </c>
      <c r="BT575" s="1" t="b">
        <v>1</v>
      </c>
      <c r="BU575" s="1" t="s">
        <v>105</v>
      </c>
      <c r="BV575" s="1" t="s">
        <v>105</v>
      </c>
      <c r="BW575" s="1" t="s">
        <v>105</v>
      </c>
      <c r="BX575" s="1" t="s">
        <v>105</v>
      </c>
      <c r="BY575" s="1" t="s">
        <v>105</v>
      </c>
      <c r="BZ575" s="1" t="s">
        <v>157</v>
      </c>
      <c r="CA575" s="1" t="s">
        <v>105</v>
      </c>
      <c r="CB575" s="1" t="s">
        <v>157</v>
      </c>
      <c r="CC575" s="1" t="s">
        <v>105</v>
      </c>
      <c r="CD575" s="1" t="s">
        <v>157</v>
      </c>
      <c r="CE575" s="4"/>
      <c r="CF575" s="4"/>
    </row>
    <row r="576" hidden="1">
      <c r="A576" s="1" t="s">
        <v>82</v>
      </c>
      <c r="B576" s="1" t="s">
        <v>83</v>
      </c>
      <c r="C576" s="1">
        <v>32.0</v>
      </c>
      <c r="D576" s="5" t="s">
        <v>2534</v>
      </c>
      <c r="E576" s="1" t="s">
        <v>2535</v>
      </c>
      <c r="F576" s="1">
        <v>41.0</v>
      </c>
      <c r="G576" s="1">
        <v>0.0</v>
      </c>
      <c r="H576" s="1" t="s">
        <v>2536</v>
      </c>
      <c r="I576" s="4" t="b">
        <f>IFERROR(__xludf.DUMMYFUNCTION("IF(H576="""",,REGEXMATCH(H576,""[א-ת]""))"),FALSE)</f>
        <v>0</v>
      </c>
      <c r="J576" s="4"/>
      <c r="K576" s="4"/>
      <c r="L576" s="1">
        <v>0.0</v>
      </c>
      <c r="M576" s="1">
        <v>37.68</v>
      </c>
      <c r="N576" s="1">
        <v>43.9</v>
      </c>
      <c r="O576" s="1">
        <v>1.070731707</v>
      </c>
      <c r="P576" s="4"/>
      <c r="Q576" s="4"/>
      <c r="R576" s="1" t="s">
        <v>89</v>
      </c>
      <c r="S576" s="1" t="s">
        <v>2535</v>
      </c>
      <c r="T576" s="1" t="s">
        <v>83</v>
      </c>
      <c r="U576" s="1">
        <v>33.0</v>
      </c>
      <c r="V576" s="5" t="s">
        <v>2534</v>
      </c>
      <c r="W576" s="1" t="s">
        <v>2535</v>
      </c>
      <c r="X576" s="1" t="s">
        <v>2537</v>
      </c>
      <c r="Y576" s="4"/>
      <c r="Z576" s="4"/>
      <c r="AA576" s="4" t="b">
        <f>IFERROR(__xludf.DUMMYFUNCTION("IF(X576="""",,REGEXMATCH(X576,""[א-ת]""))"),TRUE)</f>
        <v>1</v>
      </c>
      <c r="AB576" s="1">
        <v>21.49</v>
      </c>
      <c r="AC576" s="1">
        <v>56.1</v>
      </c>
      <c r="AD576" s="1">
        <v>0.514403718489</v>
      </c>
      <c r="AE576" s="1">
        <v>0.1027</v>
      </c>
      <c r="AF576" s="1">
        <v>0.0</v>
      </c>
      <c r="AG576" s="1">
        <v>6.337</v>
      </c>
      <c r="AH576" s="1">
        <v>6.781</v>
      </c>
      <c r="AI576" s="1" t="b">
        <v>0</v>
      </c>
      <c r="AJ576" s="1" t="b">
        <v>0</v>
      </c>
      <c r="AK576" s="1">
        <v>94.182</v>
      </c>
      <c r="AL576" s="1">
        <v>96.508</v>
      </c>
      <c r="AM576" s="1" t="b">
        <v>0</v>
      </c>
      <c r="AN576" s="1" t="b">
        <v>0</v>
      </c>
      <c r="AO576" s="1">
        <v>8.05</v>
      </c>
      <c r="AP576" s="1">
        <v>8.53399999999999</v>
      </c>
      <c r="AQ576" s="1" t="b">
        <v>0</v>
      </c>
      <c r="AR576" s="1" t="b">
        <v>0</v>
      </c>
      <c r="AS576" s="1">
        <v>86.9179999999999</v>
      </c>
      <c r="AT576" s="1">
        <v>87.152</v>
      </c>
      <c r="AU576" s="1" t="b">
        <v>0</v>
      </c>
      <c r="AV576" s="1" t="b">
        <v>0</v>
      </c>
      <c r="AW576" s="1">
        <v>9.61399999999999</v>
      </c>
      <c r="AX576" s="1">
        <v>11.026</v>
      </c>
      <c r="AY576" s="1" t="b">
        <v>0</v>
      </c>
      <c r="AZ576" s="1" t="b">
        <v>0</v>
      </c>
      <c r="BA576" s="1">
        <v>81.25</v>
      </c>
      <c r="BB576" s="1">
        <v>77.78</v>
      </c>
      <c r="BC576" s="1" t="b">
        <v>0</v>
      </c>
      <c r="BD576" s="1" t="b">
        <v>0</v>
      </c>
      <c r="BE576" s="1">
        <v>11.34</v>
      </c>
      <c r="BF576" s="1">
        <v>13.285</v>
      </c>
      <c r="BG576" s="1" t="b">
        <v>0</v>
      </c>
      <c r="BH576" s="1" t="b">
        <v>0</v>
      </c>
      <c r="BI576" s="1">
        <v>77.78</v>
      </c>
      <c r="BJ576" s="1">
        <v>75.0</v>
      </c>
      <c r="BK576" s="1" t="b">
        <v>0</v>
      </c>
      <c r="BL576" s="1" t="b">
        <v>0</v>
      </c>
      <c r="BM576" s="1">
        <v>13.121</v>
      </c>
      <c r="BN576" s="1">
        <v>14.568</v>
      </c>
      <c r="BO576" s="1" t="b">
        <v>0</v>
      </c>
      <c r="BP576" s="1" t="b">
        <v>0</v>
      </c>
      <c r="BQ576" s="1">
        <v>75.0</v>
      </c>
      <c r="BR576" s="1">
        <v>72.027</v>
      </c>
      <c r="BS576" s="1" t="b">
        <v>0</v>
      </c>
      <c r="BT576" s="1" t="b">
        <v>0</v>
      </c>
      <c r="BU576" s="1" t="s">
        <v>105</v>
      </c>
      <c r="BV576" s="1" t="s">
        <v>105</v>
      </c>
      <c r="BW576" s="1" t="s">
        <v>105</v>
      </c>
      <c r="BX576" s="1" t="s">
        <v>105</v>
      </c>
      <c r="BY576" s="1" t="s">
        <v>105</v>
      </c>
      <c r="BZ576" s="1" t="s">
        <v>105</v>
      </c>
      <c r="CA576" s="1" t="s">
        <v>105</v>
      </c>
      <c r="CB576" s="1" t="s">
        <v>105</v>
      </c>
      <c r="CC576" s="1" t="s">
        <v>105</v>
      </c>
      <c r="CD576" s="1" t="s">
        <v>105</v>
      </c>
      <c r="CE576" s="4"/>
      <c r="CF576" s="4"/>
    </row>
    <row r="577" hidden="1">
      <c r="A577" s="1" t="s">
        <v>82</v>
      </c>
      <c r="B577" s="1" t="s">
        <v>262</v>
      </c>
      <c r="C577" s="1">
        <v>33.0</v>
      </c>
      <c r="D577" s="5" t="s">
        <v>2538</v>
      </c>
      <c r="E577" s="1" t="s">
        <v>2539</v>
      </c>
      <c r="F577" s="1">
        <v>44.0</v>
      </c>
      <c r="G577" s="1">
        <v>-0.0772</v>
      </c>
      <c r="H577" s="1" t="s">
        <v>2540</v>
      </c>
      <c r="I577" s="4" t="b">
        <f>IFERROR(__xludf.DUMMYFUNCTION("IF(H577="""",,REGEXMATCH(H577,""[א-ת]""))"),FALSE)</f>
        <v>0</v>
      </c>
      <c r="J577" s="4"/>
      <c r="K577" s="4"/>
      <c r="L577" s="1">
        <v>-0.6369</v>
      </c>
      <c r="M577" s="1">
        <v>37.73</v>
      </c>
      <c r="N577" s="1">
        <v>47.73</v>
      </c>
      <c r="O577" s="1">
        <v>1.084772727</v>
      </c>
      <c r="P577" s="4"/>
      <c r="Q577" s="4"/>
      <c r="R577" s="1" t="s">
        <v>96</v>
      </c>
      <c r="S577" s="1" t="s">
        <v>2539</v>
      </c>
      <c r="T577" s="1" t="s">
        <v>262</v>
      </c>
      <c r="U577" s="1">
        <v>34.0</v>
      </c>
      <c r="V577" s="5" t="s">
        <v>2538</v>
      </c>
      <c r="W577" s="1" t="s">
        <v>2539</v>
      </c>
      <c r="X577" s="1" t="s">
        <v>2541</v>
      </c>
      <c r="Y577" s="4"/>
      <c r="Z577" s="4"/>
      <c r="AA577" s="4" t="b">
        <f>IFERROR(__xludf.DUMMYFUNCTION("IF(X577="""",,REGEXMATCH(X577,""[א-ת]""))"),FALSE)</f>
        <v>0</v>
      </c>
      <c r="AB577" s="1">
        <v>27.91</v>
      </c>
      <c r="AC577" s="1">
        <v>52.27</v>
      </c>
      <c r="AD577" s="1">
        <v>0.593823692632053</v>
      </c>
      <c r="AE577" s="1">
        <v>-0.6369</v>
      </c>
      <c r="AF577" s="1">
        <v>-0.0772</v>
      </c>
      <c r="AG577" s="1">
        <v>6.337</v>
      </c>
      <c r="AH577" s="1">
        <v>6.781</v>
      </c>
      <c r="AI577" s="1" t="b">
        <v>0</v>
      </c>
      <c r="AJ577" s="1" t="b">
        <v>0</v>
      </c>
      <c r="AK577" s="1">
        <v>94.182</v>
      </c>
      <c r="AL577" s="1">
        <v>96.508</v>
      </c>
      <c r="AM577" s="1" t="b">
        <v>0</v>
      </c>
      <c r="AN577" s="1" t="b">
        <v>0</v>
      </c>
      <c r="AO577" s="1">
        <v>8.05</v>
      </c>
      <c r="AP577" s="1">
        <v>8.53399999999999</v>
      </c>
      <c r="AQ577" s="1" t="b">
        <v>0</v>
      </c>
      <c r="AR577" s="1" t="b">
        <v>0</v>
      </c>
      <c r="AS577" s="1">
        <v>86.9179999999999</v>
      </c>
      <c r="AT577" s="1">
        <v>87.152</v>
      </c>
      <c r="AU577" s="1" t="b">
        <v>0</v>
      </c>
      <c r="AV577" s="1" t="b">
        <v>0</v>
      </c>
      <c r="AW577" s="1">
        <v>9.61399999999999</v>
      </c>
      <c r="AX577" s="1">
        <v>11.026</v>
      </c>
      <c r="AY577" s="1" t="b">
        <v>0</v>
      </c>
      <c r="AZ577" s="1" t="b">
        <v>0</v>
      </c>
      <c r="BA577" s="1">
        <v>81.25</v>
      </c>
      <c r="BB577" s="1">
        <v>77.78</v>
      </c>
      <c r="BC577" s="1" t="b">
        <v>0</v>
      </c>
      <c r="BD577" s="1" t="b">
        <v>0</v>
      </c>
      <c r="BE577" s="1">
        <v>11.34</v>
      </c>
      <c r="BF577" s="1">
        <v>13.285</v>
      </c>
      <c r="BG577" s="1" t="b">
        <v>0</v>
      </c>
      <c r="BH577" s="1" t="b">
        <v>0</v>
      </c>
      <c r="BI577" s="1">
        <v>77.78</v>
      </c>
      <c r="BJ577" s="1">
        <v>75.0</v>
      </c>
      <c r="BK577" s="1" t="b">
        <v>0</v>
      </c>
      <c r="BL577" s="1" t="b">
        <v>0</v>
      </c>
      <c r="BM577" s="1">
        <v>13.121</v>
      </c>
      <c r="BN577" s="1">
        <v>14.568</v>
      </c>
      <c r="BO577" s="1" t="b">
        <v>0</v>
      </c>
      <c r="BP577" s="1" t="b">
        <v>0</v>
      </c>
      <c r="BQ577" s="1">
        <v>75.0</v>
      </c>
      <c r="BR577" s="1">
        <v>72.027</v>
      </c>
      <c r="BS577" s="1" t="b">
        <v>0</v>
      </c>
      <c r="BT577" s="1" t="b">
        <v>0</v>
      </c>
      <c r="BU577" s="1" t="s">
        <v>105</v>
      </c>
      <c r="BV577" s="1" t="s">
        <v>105</v>
      </c>
      <c r="BW577" s="1" t="s">
        <v>105</v>
      </c>
      <c r="BX577" s="1" t="s">
        <v>105</v>
      </c>
      <c r="BY577" s="1" t="s">
        <v>105</v>
      </c>
      <c r="BZ577" s="1" t="s">
        <v>105</v>
      </c>
      <c r="CA577" s="1" t="s">
        <v>105</v>
      </c>
      <c r="CB577" s="1" t="s">
        <v>105</v>
      </c>
      <c r="CC577" s="1" t="s">
        <v>105</v>
      </c>
      <c r="CD577" s="1" t="s">
        <v>105</v>
      </c>
      <c r="CE577" s="4"/>
      <c r="CF577" s="4"/>
    </row>
    <row r="578" hidden="1">
      <c r="A578" s="1" t="s">
        <v>82</v>
      </c>
      <c r="B578" s="1" t="s">
        <v>123</v>
      </c>
      <c r="C578" s="1">
        <v>38.0</v>
      </c>
      <c r="D578" s="5" t="s">
        <v>2542</v>
      </c>
      <c r="E578" s="1" t="s">
        <v>2543</v>
      </c>
      <c r="F578" s="1">
        <v>41.0</v>
      </c>
      <c r="G578" s="1">
        <v>0.1027</v>
      </c>
      <c r="H578" s="1" t="s">
        <v>2544</v>
      </c>
      <c r="I578" s="4" t="b">
        <f>IFERROR(__xludf.DUMMYFUNCTION("IF(H578="""",,REGEXMATCH(H578,""[א-ת]""))"),FALSE)</f>
        <v>0</v>
      </c>
      <c r="J578" s="4"/>
      <c r="K578" s="4"/>
      <c r="L578" s="1">
        <v>-0.2732</v>
      </c>
      <c r="M578" s="1">
        <v>37.96</v>
      </c>
      <c r="N578" s="1">
        <v>48.78</v>
      </c>
      <c r="O578" s="1">
        <v>1.189756098</v>
      </c>
      <c r="P578" s="4"/>
      <c r="Q578" s="4"/>
      <c r="R578" s="1" t="s">
        <v>127</v>
      </c>
      <c r="S578" s="1" t="s">
        <v>2543</v>
      </c>
      <c r="T578" s="1" t="s">
        <v>123</v>
      </c>
      <c r="U578" s="1">
        <v>39.0</v>
      </c>
      <c r="V578" s="5" t="s">
        <v>2542</v>
      </c>
      <c r="W578" s="1" t="s">
        <v>2543</v>
      </c>
      <c r="X578" s="1" t="s">
        <v>2545</v>
      </c>
      <c r="Y578" s="4"/>
      <c r="Z578" s="4"/>
      <c r="AA578" s="4" t="b">
        <f>IFERROR(__xludf.DUMMYFUNCTION("IF(X578="""",,REGEXMATCH(X578,""[א-ת]""))"),FALSE)</f>
        <v>0</v>
      </c>
      <c r="AB578" s="1">
        <v>42.8</v>
      </c>
      <c r="AC578" s="1">
        <v>39.02</v>
      </c>
      <c r="AD578" s="1">
        <v>0.763899866979043</v>
      </c>
      <c r="AE578" s="1">
        <v>-0.2732</v>
      </c>
      <c r="AF578" s="1">
        <v>0.1027</v>
      </c>
      <c r="AG578" s="1">
        <v>6.337</v>
      </c>
      <c r="AH578" s="1">
        <v>6.781</v>
      </c>
      <c r="AI578" s="1" t="b">
        <v>0</v>
      </c>
      <c r="AJ578" s="1" t="b">
        <v>0</v>
      </c>
      <c r="AK578" s="1">
        <v>94.182</v>
      </c>
      <c r="AL578" s="1">
        <v>96.508</v>
      </c>
      <c r="AM578" s="1" t="b">
        <v>0</v>
      </c>
      <c r="AN578" s="1" t="b">
        <v>0</v>
      </c>
      <c r="AO578" s="1">
        <v>8.05</v>
      </c>
      <c r="AP578" s="1">
        <v>8.53399999999999</v>
      </c>
      <c r="AQ578" s="1" t="b">
        <v>0</v>
      </c>
      <c r="AR578" s="1" t="b">
        <v>0</v>
      </c>
      <c r="AS578" s="1">
        <v>86.9179999999999</v>
      </c>
      <c r="AT578" s="1">
        <v>87.152</v>
      </c>
      <c r="AU578" s="1" t="b">
        <v>0</v>
      </c>
      <c r="AV578" s="1" t="b">
        <v>0</v>
      </c>
      <c r="AW578" s="1">
        <v>9.61399999999999</v>
      </c>
      <c r="AX578" s="1">
        <v>11.026</v>
      </c>
      <c r="AY578" s="1" t="b">
        <v>0</v>
      </c>
      <c r="AZ578" s="1" t="b">
        <v>0</v>
      </c>
      <c r="BA578" s="1">
        <v>81.25</v>
      </c>
      <c r="BB578" s="1">
        <v>77.78</v>
      </c>
      <c r="BC578" s="1" t="b">
        <v>0</v>
      </c>
      <c r="BD578" s="1" t="b">
        <v>0</v>
      </c>
      <c r="BE578" s="1">
        <v>11.34</v>
      </c>
      <c r="BF578" s="1">
        <v>13.285</v>
      </c>
      <c r="BG578" s="1" t="b">
        <v>0</v>
      </c>
      <c r="BH578" s="1" t="b">
        <v>0</v>
      </c>
      <c r="BI578" s="1">
        <v>77.78</v>
      </c>
      <c r="BJ578" s="1">
        <v>75.0</v>
      </c>
      <c r="BK578" s="1" t="b">
        <v>0</v>
      </c>
      <c r="BL578" s="1" t="b">
        <v>0</v>
      </c>
      <c r="BM578" s="1">
        <v>13.121</v>
      </c>
      <c r="BN578" s="1">
        <v>14.568</v>
      </c>
      <c r="BO578" s="1" t="b">
        <v>0</v>
      </c>
      <c r="BP578" s="1" t="b">
        <v>0</v>
      </c>
      <c r="BQ578" s="1">
        <v>75.0</v>
      </c>
      <c r="BR578" s="1">
        <v>72.027</v>
      </c>
      <c r="BS578" s="1" t="b">
        <v>0</v>
      </c>
      <c r="BT578" s="1" t="b">
        <v>0</v>
      </c>
      <c r="BU578" s="1" t="s">
        <v>105</v>
      </c>
      <c r="BV578" s="1" t="s">
        <v>105</v>
      </c>
      <c r="BW578" s="1" t="s">
        <v>105</v>
      </c>
      <c r="BX578" s="1" t="s">
        <v>105</v>
      </c>
      <c r="BY578" s="1" t="s">
        <v>105</v>
      </c>
      <c r="BZ578" s="1" t="s">
        <v>105</v>
      </c>
      <c r="CA578" s="1" t="s">
        <v>105</v>
      </c>
      <c r="CB578" s="1" t="s">
        <v>105</v>
      </c>
      <c r="CC578" s="1" t="s">
        <v>105</v>
      </c>
      <c r="CD578" s="1" t="s">
        <v>105</v>
      </c>
      <c r="CE578" s="4"/>
      <c r="CF578" s="4"/>
    </row>
    <row r="579" hidden="1">
      <c r="A579" s="1" t="s">
        <v>82</v>
      </c>
      <c r="B579" s="1" t="s">
        <v>116</v>
      </c>
      <c r="C579" s="1">
        <v>23.0</v>
      </c>
      <c r="D579" s="5" t="s">
        <v>2546</v>
      </c>
      <c r="E579" s="1" t="s">
        <v>2547</v>
      </c>
      <c r="F579" s="1">
        <v>76.0</v>
      </c>
      <c r="G579" s="1">
        <v>0.9216</v>
      </c>
      <c r="H579" s="1" t="s">
        <v>2548</v>
      </c>
      <c r="I579" s="4" t="b">
        <f>IFERROR(__xludf.DUMMYFUNCTION("IF(H579="""",,REGEXMATCH(H579,""[א-ת]""))"),FALSE)</f>
        <v>0</v>
      </c>
      <c r="J579" s="4"/>
      <c r="K579" s="4"/>
      <c r="L579" s="1">
        <v>0.93</v>
      </c>
      <c r="M579" s="1">
        <v>38.05</v>
      </c>
      <c r="N579" s="1">
        <v>43.42</v>
      </c>
      <c r="O579" s="1">
        <v>0.5713157895</v>
      </c>
      <c r="P579" s="4"/>
      <c r="Q579" s="4"/>
      <c r="R579" s="1" t="s">
        <v>89</v>
      </c>
      <c r="S579" s="1" t="s">
        <v>2547</v>
      </c>
      <c r="T579" s="1" t="s">
        <v>116</v>
      </c>
      <c r="U579" s="1">
        <v>24.0</v>
      </c>
      <c r="V579" s="5" t="s">
        <v>2546</v>
      </c>
      <c r="W579" s="1" t="s">
        <v>2547</v>
      </c>
      <c r="X579" s="1" t="s">
        <v>2549</v>
      </c>
      <c r="Y579" s="4"/>
      <c r="Z579" s="4"/>
      <c r="AA579" s="4" t="b">
        <f>IFERROR(__xludf.DUMMYFUNCTION("IF(X579="""",,REGEXMATCH(X579,""[א-ת]""))"),FALSE)</f>
        <v>0</v>
      </c>
      <c r="AB579" s="1">
        <v>44.49</v>
      </c>
      <c r="AC579" s="1">
        <v>31.58</v>
      </c>
      <c r="AD579" s="1">
        <v>0.762805893253225</v>
      </c>
      <c r="AE579" s="1">
        <v>0.9216</v>
      </c>
      <c r="AF579" s="1">
        <v>0.9216</v>
      </c>
      <c r="AG579" s="1">
        <v>6.337</v>
      </c>
      <c r="AH579" s="1">
        <v>6.781</v>
      </c>
      <c r="AI579" s="1" t="b">
        <v>0</v>
      </c>
      <c r="AJ579" s="1" t="b">
        <v>0</v>
      </c>
      <c r="AK579" s="1">
        <v>94.182</v>
      </c>
      <c r="AL579" s="1">
        <v>96.508</v>
      </c>
      <c r="AM579" s="1" t="b">
        <v>0</v>
      </c>
      <c r="AN579" s="1" t="b">
        <v>0</v>
      </c>
      <c r="AO579" s="1">
        <v>8.05</v>
      </c>
      <c r="AP579" s="1">
        <v>8.53399999999999</v>
      </c>
      <c r="AQ579" s="1" t="b">
        <v>0</v>
      </c>
      <c r="AR579" s="1" t="b">
        <v>0</v>
      </c>
      <c r="AS579" s="1">
        <v>86.9179999999999</v>
      </c>
      <c r="AT579" s="1">
        <v>87.152</v>
      </c>
      <c r="AU579" s="1" t="b">
        <v>0</v>
      </c>
      <c r="AV579" s="1" t="b">
        <v>0</v>
      </c>
      <c r="AW579" s="1">
        <v>9.61399999999999</v>
      </c>
      <c r="AX579" s="1">
        <v>11.026</v>
      </c>
      <c r="AY579" s="1" t="b">
        <v>0</v>
      </c>
      <c r="AZ579" s="1" t="b">
        <v>0</v>
      </c>
      <c r="BA579" s="1">
        <v>81.25</v>
      </c>
      <c r="BB579" s="1">
        <v>77.78</v>
      </c>
      <c r="BC579" s="1" t="b">
        <v>0</v>
      </c>
      <c r="BD579" s="1" t="b">
        <v>0</v>
      </c>
      <c r="BE579" s="1">
        <v>11.34</v>
      </c>
      <c r="BF579" s="1">
        <v>13.285</v>
      </c>
      <c r="BG579" s="1" t="b">
        <v>0</v>
      </c>
      <c r="BH579" s="1" t="b">
        <v>0</v>
      </c>
      <c r="BI579" s="1">
        <v>77.78</v>
      </c>
      <c r="BJ579" s="1">
        <v>75.0</v>
      </c>
      <c r="BK579" s="1" t="b">
        <v>0</v>
      </c>
      <c r="BL579" s="1" t="b">
        <v>0</v>
      </c>
      <c r="BM579" s="1">
        <v>13.121</v>
      </c>
      <c r="BN579" s="1">
        <v>14.568</v>
      </c>
      <c r="BO579" s="1" t="b">
        <v>0</v>
      </c>
      <c r="BP579" s="1" t="b">
        <v>0</v>
      </c>
      <c r="BQ579" s="1">
        <v>75.0</v>
      </c>
      <c r="BR579" s="1">
        <v>72.027</v>
      </c>
      <c r="BS579" s="1" t="b">
        <v>0</v>
      </c>
      <c r="BT579" s="1" t="b">
        <v>0</v>
      </c>
      <c r="BU579" s="1" t="s">
        <v>105</v>
      </c>
      <c r="BV579" s="1" t="s">
        <v>105</v>
      </c>
      <c r="BW579" s="1" t="s">
        <v>105</v>
      </c>
      <c r="BX579" s="1" t="s">
        <v>105</v>
      </c>
      <c r="BY579" s="1" t="s">
        <v>105</v>
      </c>
      <c r="BZ579" s="1" t="s">
        <v>105</v>
      </c>
      <c r="CA579" s="1" t="s">
        <v>105</v>
      </c>
      <c r="CB579" s="1" t="s">
        <v>105</v>
      </c>
      <c r="CC579" s="1" t="s">
        <v>105</v>
      </c>
      <c r="CD579" s="1" t="s">
        <v>105</v>
      </c>
      <c r="CE579" s="4"/>
      <c r="CF579" s="4"/>
    </row>
    <row r="580" hidden="1">
      <c r="A580" s="1" t="s">
        <v>82</v>
      </c>
      <c r="B580" s="1" t="s">
        <v>111</v>
      </c>
      <c r="C580" s="1">
        <v>40.0</v>
      </c>
      <c r="D580" s="5" t="s">
        <v>2550</v>
      </c>
      <c r="E580" s="1" t="s">
        <v>2551</v>
      </c>
      <c r="F580" s="1">
        <v>45.0</v>
      </c>
      <c r="G580" s="1">
        <v>0.0</v>
      </c>
      <c r="H580" s="1" t="s">
        <v>2552</v>
      </c>
      <c r="I580" s="4" t="b">
        <f>IFERROR(__xludf.DUMMYFUNCTION("IF(H580="""",,REGEXMATCH(H580,""[א-ת]""))"),FALSE)</f>
        <v>0</v>
      </c>
      <c r="J580" s="4"/>
      <c r="K580" s="4"/>
      <c r="L580" s="1">
        <v>0.0</v>
      </c>
      <c r="M580" s="1">
        <v>38.23</v>
      </c>
      <c r="N580" s="1">
        <v>42.22</v>
      </c>
      <c r="O580" s="1">
        <v>0.9382222222</v>
      </c>
      <c r="P580" s="4"/>
      <c r="Q580" s="4"/>
      <c r="R580" s="1" t="s">
        <v>89</v>
      </c>
      <c r="S580" s="1" t="s">
        <v>2551</v>
      </c>
      <c r="T580" s="1" t="s">
        <v>111</v>
      </c>
      <c r="U580" s="1">
        <v>41.0</v>
      </c>
      <c r="V580" s="5" t="s">
        <v>2550</v>
      </c>
      <c r="W580" s="1" t="s">
        <v>2551</v>
      </c>
      <c r="X580" s="1" t="s">
        <v>2553</v>
      </c>
      <c r="Y580" s="4"/>
      <c r="Z580" s="4"/>
      <c r="AA580" s="4" t="b">
        <f>IFERROR(__xludf.DUMMYFUNCTION("IF(X580="""",,REGEXMATCH(X580,""[א-ת]""))"),FALSE)</f>
        <v>0</v>
      </c>
      <c r="AB580" s="1">
        <v>46.25</v>
      </c>
      <c r="AC580" s="1">
        <v>31.11</v>
      </c>
      <c r="AD580" s="1">
        <v>0.684210196732246</v>
      </c>
      <c r="AE580" s="1">
        <v>0.0</v>
      </c>
      <c r="AF580" s="1">
        <v>0.0</v>
      </c>
      <c r="AG580" s="1">
        <v>6.337</v>
      </c>
      <c r="AH580" s="1">
        <v>6.781</v>
      </c>
      <c r="AI580" s="1" t="b">
        <v>0</v>
      </c>
      <c r="AJ580" s="1" t="b">
        <v>0</v>
      </c>
      <c r="AK580" s="1">
        <v>94.182</v>
      </c>
      <c r="AL580" s="1">
        <v>96.508</v>
      </c>
      <c r="AM580" s="1" t="b">
        <v>0</v>
      </c>
      <c r="AN580" s="1" t="b">
        <v>0</v>
      </c>
      <c r="AO580" s="1">
        <v>8.05</v>
      </c>
      <c r="AP580" s="1">
        <v>8.53399999999999</v>
      </c>
      <c r="AQ580" s="1" t="b">
        <v>0</v>
      </c>
      <c r="AR580" s="1" t="b">
        <v>0</v>
      </c>
      <c r="AS580" s="1">
        <v>86.9179999999999</v>
      </c>
      <c r="AT580" s="1">
        <v>87.152</v>
      </c>
      <c r="AU580" s="1" t="b">
        <v>0</v>
      </c>
      <c r="AV580" s="1" t="b">
        <v>0</v>
      </c>
      <c r="AW580" s="1">
        <v>9.61399999999999</v>
      </c>
      <c r="AX580" s="1">
        <v>11.026</v>
      </c>
      <c r="AY580" s="1" t="b">
        <v>0</v>
      </c>
      <c r="AZ580" s="1" t="b">
        <v>0</v>
      </c>
      <c r="BA580" s="1">
        <v>81.25</v>
      </c>
      <c r="BB580" s="1">
        <v>77.78</v>
      </c>
      <c r="BC580" s="1" t="b">
        <v>0</v>
      </c>
      <c r="BD580" s="1" t="b">
        <v>0</v>
      </c>
      <c r="BE580" s="1">
        <v>11.34</v>
      </c>
      <c r="BF580" s="1">
        <v>13.285</v>
      </c>
      <c r="BG580" s="1" t="b">
        <v>0</v>
      </c>
      <c r="BH580" s="1" t="b">
        <v>0</v>
      </c>
      <c r="BI580" s="1">
        <v>77.78</v>
      </c>
      <c r="BJ580" s="1">
        <v>75.0</v>
      </c>
      <c r="BK580" s="1" t="b">
        <v>0</v>
      </c>
      <c r="BL580" s="1" t="b">
        <v>0</v>
      </c>
      <c r="BM580" s="1">
        <v>13.121</v>
      </c>
      <c r="BN580" s="1">
        <v>14.568</v>
      </c>
      <c r="BO580" s="1" t="b">
        <v>0</v>
      </c>
      <c r="BP580" s="1" t="b">
        <v>0</v>
      </c>
      <c r="BQ580" s="1">
        <v>75.0</v>
      </c>
      <c r="BR580" s="1">
        <v>72.027</v>
      </c>
      <c r="BS580" s="1" t="b">
        <v>0</v>
      </c>
      <c r="BT580" s="1" t="b">
        <v>0</v>
      </c>
      <c r="BU580" s="1" t="s">
        <v>105</v>
      </c>
      <c r="BV580" s="1" t="s">
        <v>105</v>
      </c>
      <c r="BW580" s="1" t="s">
        <v>105</v>
      </c>
      <c r="BX580" s="1" t="s">
        <v>105</v>
      </c>
      <c r="BY580" s="1" t="s">
        <v>105</v>
      </c>
      <c r="BZ580" s="1" t="s">
        <v>105</v>
      </c>
      <c r="CA580" s="1" t="s">
        <v>105</v>
      </c>
      <c r="CB580" s="1" t="s">
        <v>105</v>
      </c>
      <c r="CC580" s="1" t="s">
        <v>105</v>
      </c>
      <c r="CD580" s="1" t="s">
        <v>105</v>
      </c>
      <c r="CE580" s="4"/>
      <c r="CF580" s="4"/>
    </row>
    <row r="581" hidden="1">
      <c r="A581" s="1" t="s">
        <v>82</v>
      </c>
      <c r="B581" s="1" t="s">
        <v>152</v>
      </c>
      <c r="C581" s="1">
        <v>14.0</v>
      </c>
      <c r="D581" s="5" t="s">
        <v>2554</v>
      </c>
      <c r="E581" s="1" t="s">
        <v>2555</v>
      </c>
      <c r="F581" s="1">
        <v>17.0</v>
      </c>
      <c r="G581" s="1">
        <v>0.0</v>
      </c>
      <c r="H581" s="1" t="s">
        <v>2556</v>
      </c>
      <c r="I581" s="4" t="b">
        <f>IFERROR(__xludf.DUMMYFUNCTION("IF(H581="""",,REGEXMATCH(H581,""[א-ת]""))"),FALSE)</f>
        <v>0</v>
      </c>
      <c r="J581" s="4"/>
      <c r="K581" s="4"/>
      <c r="L581" s="1">
        <v>0.0</v>
      </c>
      <c r="M581" s="1">
        <v>38.37</v>
      </c>
      <c r="N581" s="1">
        <v>23.53</v>
      </c>
      <c r="O581" s="1">
        <v>1.384117647</v>
      </c>
      <c r="P581" s="4"/>
      <c r="Q581" s="4"/>
      <c r="R581" s="1" t="s">
        <v>89</v>
      </c>
      <c r="S581" s="1" t="s">
        <v>2555</v>
      </c>
      <c r="T581" s="1" t="s">
        <v>152</v>
      </c>
      <c r="U581" s="1">
        <v>15.0</v>
      </c>
      <c r="V581" s="5" t="s">
        <v>2554</v>
      </c>
      <c r="W581" s="1" t="s">
        <v>2555</v>
      </c>
      <c r="X581" s="1" t="s">
        <v>2557</v>
      </c>
      <c r="Y581" s="4"/>
      <c r="Z581" s="4"/>
      <c r="AA581" s="4" t="b">
        <f>IFERROR(__xludf.DUMMYFUNCTION("IF(X581="""",,REGEXMATCH(X581,""[א-ת]""))"),FALSE)</f>
        <v>0</v>
      </c>
      <c r="AB581" s="1">
        <v>22.25</v>
      </c>
      <c r="AC581" s="1">
        <v>47.06</v>
      </c>
      <c r="AD581" s="1">
        <v>0.729333996795827</v>
      </c>
      <c r="AE581" s="1">
        <v>0.0</v>
      </c>
      <c r="AF581" s="1">
        <v>0.0</v>
      </c>
      <c r="AG581" s="1">
        <v>6.337</v>
      </c>
      <c r="AH581" s="1">
        <v>6.781</v>
      </c>
      <c r="AI581" s="1" t="b">
        <v>0</v>
      </c>
      <c r="AJ581" s="1" t="b">
        <v>0</v>
      </c>
      <c r="AK581" s="1">
        <v>94.182</v>
      </c>
      <c r="AL581" s="1">
        <v>96.508</v>
      </c>
      <c r="AM581" s="1" t="b">
        <v>0</v>
      </c>
      <c r="AN581" s="1" t="b">
        <v>0</v>
      </c>
      <c r="AO581" s="1">
        <v>8.05</v>
      </c>
      <c r="AP581" s="1">
        <v>8.53399999999999</v>
      </c>
      <c r="AQ581" s="1" t="b">
        <v>0</v>
      </c>
      <c r="AR581" s="1" t="b">
        <v>0</v>
      </c>
      <c r="AS581" s="1">
        <v>86.9179999999999</v>
      </c>
      <c r="AT581" s="1">
        <v>87.152</v>
      </c>
      <c r="AU581" s="1" t="b">
        <v>0</v>
      </c>
      <c r="AV581" s="1" t="b">
        <v>0</v>
      </c>
      <c r="AW581" s="1">
        <v>9.61399999999999</v>
      </c>
      <c r="AX581" s="1">
        <v>11.026</v>
      </c>
      <c r="AY581" s="1" t="b">
        <v>0</v>
      </c>
      <c r="AZ581" s="1" t="b">
        <v>0</v>
      </c>
      <c r="BA581" s="1">
        <v>81.25</v>
      </c>
      <c r="BB581" s="1">
        <v>77.78</v>
      </c>
      <c r="BC581" s="1" t="b">
        <v>0</v>
      </c>
      <c r="BD581" s="1" t="b">
        <v>0</v>
      </c>
      <c r="BE581" s="1">
        <v>11.34</v>
      </c>
      <c r="BF581" s="1">
        <v>13.285</v>
      </c>
      <c r="BG581" s="1" t="b">
        <v>0</v>
      </c>
      <c r="BH581" s="1" t="b">
        <v>0</v>
      </c>
      <c r="BI581" s="1">
        <v>77.78</v>
      </c>
      <c r="BJ581" s="1">
        <v>75.0</v>
      </c>
      <c r="BK581" s="1" t="b">
        <v>0</v>
      </c>
      <c r="BL581" s="1" t="b">
        <v>0</v>
      </c>
      <c r="BM581" s="1">
        <v>13.121</v>
      </c>
      <c r="BN581" s="1">
        <v>14.568</v>
      </c>
      <c r="BO581" s="1" t="b">
        <v>0</v>
      </c>
      <c r="BP581" s="1" t="b">
        <v>0</v>
      </c>
      <c r="BQ581" s="1">
        <v>75.0</v>
      </c>
      <c r="BR581" s="1">
        <v>72.027</v>
      </c>
      <c r="BS581" s="1" t="b">
        <v>0</v>
      </c>
      <c r="BT581" s="1" t="b">
        <v>0</v>
      </c>
      <c r="BU581" s="1" t="s">
        <v>105</v>
      </c>
      <c r="BV581" s="1" t="s">
        <v>105</v>
      </c>
      <c r="BW581" s="1" t="s">
        <v>105</v>
      </c>
      <c r="BX581" s="1" t="s">
        <v>105</v>
      </c>
      <c r="BY581" s="1" t="s">
        <v>105</v>
      </c>
      <c r="BZ581" s="1" t="s">
        <v>105</v>
      </c>
      <c r="CA581" s="1" t="s">
        <v>105</v>
      </c>
      <c r="CB581" s="1" t="s">
        <v>105</v>
      </c>
      <c r="CC581" s="1" t="s">
        <v>105</v>
      </c>
      <c r="CD581" s="1" t="s">
        <v>105</v>
      </c>
      <c r="CE581" s="4"/>
      <c r="CF581" s="4"/>
    </row>
    <row r="582" hidden="1">
      <c r="A582" s="1" t="s">
        <v>82</v>
      </c>
      <c r="B582" s="1" t="s">
        <v>333</v>
      </c>
      <c r="C582" s="1">
        <v>11.0</v>
      </c>
      <c r="D582" s="5" t="s">
        <v>2558</v>
      </c>
      <c r="E582" s="1" t="s">
        <v>2559</v>
      </c>
      <c r="F582" s="1">
        <v>62.0</v>
      </c>
      <c r="G582" s="1">
        <v>0.0</v>
      </c>
      <c r="H582" s="1" t="s">
        <v>2560</v>
      </c>
      <c r="I582" s="4" t="b">
        <f>IFERROR(__xludf.DUMMYFUNCTION("IF(H582="""",,REGEXMATCH(H582,""[א-ת]""))"),FALSE)</f>
        <v>0</v>
      </c>
      <c r="J582" s="1" t="s">
        <v>1233</v>
      </c>
      <c r="K582" s="4"/>
      <c r="L582" s="1">
        <v>0.0</v>
      </c>
      <c r="M582" s="1">
        <v>38.56</v>
      </c>
      <c r="N582" s="1">
        <v>48.39</v>
      </c>
      <c r="O582" s="1">
        <v>0.780483871</v>
      </c>
      <c r="P582" s="4"/>
      <c r="Q582" s="4"/>
      <c r="R582" s="1" t="s">
        <v>89</v>
      </c>
      <c r="S582" s="1" t="s">
        <v>2559</v>
      </c>
      <c r="T582" s="1" t="s">
        <v>333</v>
      </c>
      <c r="U582" s="1">
        <v>12.0</v>
      </c>
      <c r="V582" s="5" t="s">
        <v>2558</v>
      </c>
      <c r="W582" s="1" t="s">
        <v>2559</v>
      </c>
      <c r="X582" s="1" t="s">
        <v>2561</v>
      </c>
      <c r="Y582" s="4"/>
      <c r="Z582" s="4"/>
      <c r="AA582" s="4" t="b">
        <f>IFERROR(__xludf.DUMMYFUNCTION("IF(X582="""",,REGEXMATCH(X582,""[א-ת]""))"),FALSE)</f>
        <v>0</v>
      </c>
      <c r="AB582" s="1">
        <v>27.39</v>
      </c>
      <c r="AC582" s="1">
        <v>53.23</v>
      </c>
      <c r="AD582" s="1">
        <v>0.650713133093704</v>
      </c>
      <c r="AE582" s="1">
        <v>0.0</v>
      </c>
      <c r="AF582" s="1">
        <v>0.0</v>
      </c>
      <c r="AG582" s="1">
        <v>6.337</v>
      </c>
      <c r="AH582" s="1">
        <v>6.781</v>
      </c>
      <c r="AI582" s="1" t="b">
        <v>0</v>
      </c>
      <c r="AJ582" s="1" t="b">
        <v>0</v>
      </c>
      <c r="AK582" s="1">
        <v>94.182</v>
      </c>
      <c r="AL582" s="1">
        <v>96.508</v>
      </c>
      <c r="AM582" s="1" t="b">
        <v>0</v>
      </c>
      <c r="AN582" s="1" t="b">
        <v>0</v>
      </c>
      <c r="AO582" s="1">
        <v>8.05</v>
      </c>
      <c r="AP582" s="1">
        <v>8.53399999999999</v>
      </c>
      <c r="AQ582" s="1" t="b">
        <v>0</v>
      </c>
      <c r="AR582" s="1" t="b">
        <v>0</v>
      </c>
      <c r="AS582" s="1">
        <v>86.9179999999999</v>
      </c>
      <c r="AT582" s="1">
        <v>87.152</v>
      </c>
      <c r="AU582" s="1" t="b">
        <v>0</v>
      </c>
      <c r="AV582" s="1" t="b">
        <v>0</v>
      </c>
      <c r="AW582" s="1">
        <v>9.61399999999999</v>
      </c>
      <c r="AX582" s="1">
        <v>11.026</v>
      </c>
      <c r="AY582" s="1" t="b">
        <v>0</v>
      </c>
      <c r="AZ582" s="1" t="b">
        <v>0</v>
      </c>
      <c r="BA582" s="1">
        <v>81.25</v>
      </c>
      <c r="BB582" s="1">
        <v>77.78</v>
      </c>
      <c r="BC582" s="1" t="b">
        <v>0</v>
      </c>
      <c r="BD582" s="1" t="b">
        <v>0</v>
      </c>
      <c r="BE582" s="1">
        <v>11.34</v>
      </c>
      <c r="BF582" s="1">
        <v>13.285</v>
      </c>
      <c r="BG582" s="1" t="b">
        <v>0</v>
      </c>
      <c r="BH582" s="1" t="b">
        <v>0</v>
      </c>
      <c r="BI582" s="1">
        <v>77.78</v>
      </c>
      <c r="BJ582" s="1">
        <v>75.0</v>
      </c>
      <c r="BK582" s="1" t="b">
        <v>0</v>
      </c>
      <c r="BL582" s="1" t="b">
        <v>0</v>
      </c>
      <c r="BM582" s="1">
        <v>13.121</v>
      </c>
      <c r="BN582" s="1">
        <v>14.568</v>
      </c>
      <c r="BO582" s="1" t="b">
        <v>0</v>
      </c>
      <c r="BP582" s="1" t="b">
        <v>0</v>
      </c>
      <c r="BQ582" s="1">
        <v>75.0</v>
      </c>
      <c r="BR582" s="1">
        <v>72.027</v>
      </c>
      <c r="BS582" s="1" t="b">
        <v>0</v>
      </c>
      <c r="BT582" s="1" t="b">
        <v>0</v>
      </c>
      <c r="BU582" s="1" t="s">
        <v>105</v>
      </c>
      <c r="BV582" s="1" t="s">
        <v>105</v>
      </c>
      <c r="BW582" s="1" t="s">
        <v>105</v>
      </c>
      <c r="BX582" s="1" t="s">
        <v>105</v>
      </c>
      <c r="BY582" s="1" t="s">
        <v>105</v>
      </c>
      <c r="BZ582" s="1" t="s">
        <v>105</v>
      </c>
      <c r="CA582" s="1" t="s">
        <v>105</v>
      </c>
      <c r="CB582" s="1" t="s">
        <v>105</v>
      </c>
      <c r="CC582" s="1" t="s">
        <v>105</v>
      </c>
      <c r="CD582" s="1" t="s">
        <v>105</v>
      </c>
      <c r="CE582" s="4"/>
      <c r="CF582" s="4"/>
    </row>
    <row r="583" hidden="1">
      <c r="A583" s="1" t="s">
        <v>82</v>
      </c>
      <c r="B583" s="1" t="s">
        <v>152</v>
      </c>
      <c r="C583" s="1">
        <v>31.0</v>
      </c>
      <c r="D583" s="5" t="s">
        <v>2562</v>
      </c>
      <c r="E583" s="1" t="s">
        <v>2563</v>
      </c>
      <c r="F583" s="1">
        <v>19.0</v>
      </c>
      <c r="G583" s="1">
        <v>0.2023</v>
      </c>
      <c r="H583" s="1" t="s">
        <v>2564</v>
      </c>
      <c r="I583" s="4" t="b">
        <f>IFERROR(__xludf.DUMMYFUNCTION("IF(H583="""",,REGEXMATCH(H583,""[א-ת]""))"),FALSE)</f>
        <v>0</v>
      </c>
      <c r="J583" s="4"/>
      <c r="K583" s="4"/>
      <c r="L583" s="1">
        <v>0.2023</v>
      </c>
      <c r="M583" s="1">
        <v>38.57</v>
      </c>
      <c r="N583" s="1">
        <v>52.63</v>
      </c>
      <c r="O583" s="1">
        <v>2.77</v>
      </c>
      <c r="P583" s="4"/>
      <c r="Q583" s="4"/>
      <c r="R583" s="1" t="s">
        <v>89</v>
      </c>
      <c r="S583" s="1" t="s">
        <v>2563</v>
      </c>
      <c r="T583" s="1" t="s">
        <v>152</v>
      </c>
      <c r="U583" s="1">
        <v>32.0</v>
      </c>
      <c r="V583" s="5" t="s">
        <v>2562</v>
      </c>
      <c r="W583" s="1" t="s">
        <v>2563</v>
      </c>
      <c r="X583" s="1" t="s">
        <v>2565</v>
      </c>
      <c r="Y583" s="4"/>
      <c r="Z583" s="4"/>
      <c r="AA583" s="4" t="b">
        <f>IFERROR(__xludf.DUMMYFUNCTION("IF(X583="""",,REGEXMATCH(X583,""[א-ת]""))"),TRUE)</f>
        <v>1</v>
      </c>
      <c r="AB583" s="1">
        <v>21.68</v>
      </c>
      <c r="AC583" s="1">
        <v>147.37</v>
      </c>
      <c r="AD583" s="1">
        <v>0.402815900613745</v>
      </c>
      <c r="AE583" s="1">
        <v>0.2924</v>
      </c>
      <c r="AF583" s="1">
        <v>0.2023</v>
      </c>
      <c r="AG583" s="1">
        <v>6.337</v>
      </c>
      <c r="AH583" s="1">
        <v>6.781</v>
      </c>
      <c r="AI583" s="1" t="b">
        <v>0</v>
      </c>
      <c r="AJ583" s="1" t="b">
        <v>0</v>
      </c>
      <c r="AK583" s="1">
        <v>94.182</v>
      </c>
      <c r="AL583" s="1">
        <v>96.508</v>
      </c>
      <c r="AM583" s="1" t="b">
        <v>0</v>
      </c>
      <c r="AN583" s="1" t="b">
        <v>1</v>
      </c>
      <c r="AO583" s="1">
        <v>8.05</v>
      </c>
      <c r="AP583" s="1">
        <v>8.53399999999999</v>
      </c>
      <c r="AQ583" s="1" t="b">
        <v>0</v>
      </c>
      <c r="AR583" s="1" t="b">
        <v>0</v>
      </c>
      <c r="AS583" s="1">
        <v>86.9179999999999</v>
      </c>
      <c r="AT583" s="1">
        <v>87.152</v>
      </c>
      <c r="AU583" s="1" t="b">
        <v>0</v>
      </c>
      <c r="AV583" s="1" t="b">
        <v>1</v>
      </c>
      <c r="AW583" s="1">
        <v>9.61399999999999</v>
      </c>
      <c r="AX583" s="1">
        <v>11.026</v>
      </c>
      <c r="AY583" s="1" t="b">
        <v>0</v>
      </c>
      <c r="AZ583" s="1" t="b">
        <v>0</v>
      </c>
      <c r="BA583" s="1">
        <v>81.25</v>
      </c>
      <c r="BB583" s="1">
        <v>77.78</v>
      </c>
      <c r="BC583" s="1" t="b">
        <v>0</v>
      </c>
      <c r="BD583" s="1" t="b">
        <v>1</v>
      </c>
      <c r="BE583" s="1">
        <v>11.34</v>
      </c>
      <c r="BF583" s="1">
        <v>13.285</v>
      </c>
      <c r="BG583" s="1" t="b">
        <v>0</v>
      </c>
      <c r="BH583" s="1" t="b">
        <v>0</v>
      </c>
      <c r="BI583" s="1">
        <v>77.78</v>
      </c>
      <c r="BJ583" s="1">
        <v>75.0</v>
      </c>
      <c r="BK583" s="1" t="b">
        <v>0</v>
      </c>
      <c r="BL583" s="1" t="b">
        <v>1</v>
      </c>
      <c r="BM583" s="1">
        <v>13.121</v>
      </c>
      <c r="BN583" s="1">
        <v>14.568</v>
      </c>
      <c r="BO583" s="1" t="b">
        <v>0</v>
      </c>
      <c r="BP583" s="1" t="b">
        <v>0</v>
      </c>
      <c r="BQ583" s="1">
        <v>75.0</v>
      </c>
      <c r="BR583" s="1">
        <v>72.027</v>
      </c>
      <c r="BS583" s="1" t="b">
        <v>0</v>
      </c>
      <c r="BT583" s="1" t="b">
        <v>1</v>
      </c>
      <c r="BU583" s="1" t="s">
        <v>105</v>
      </c>
      <c r="BV583" s="1" t="s">
        <v>157</v>
      </c>
      <c r="BW583" s="1" t="s">
        <v>105</v>
      </c>
      <c r="BX583" s="1" t="s">
        <v>157</v>
      </c>
      <c r="BY583" s="1" t="s">
        <v>105</v>
      </c>
      <c r="BZ583" s="1" t="s">
        <v>157</v>
      </c>
      <c r="CA583" s="1" t="s">
        <v>105</v>
      </c>
      <c r="CB583" s="1" t="s">
        <v>157</v>
      </c>
      <c r="CC583" s="1" t="s">
        <v>105</v>
      </c>
      <c r="CD583" s="1" t="s">
        <v>157</v>
      </c>
      <c r="CE583" s="4"/>
      <c r="CF583" s="4"/>
    </row>
    <row r="584" hidden="1">
      <c r="A584" s="1" t="s">
        <v>82</v>
      </c>
      <c r="B584" s="1" t="s">
        <v>111</v>
      </c>
      <c r="C584" s="1">
        <v>59.0</v>
      </c>
      <c r="D584" s="5" t="s">
        <v>2566</v>
      </c>
      <c r="E584" s="1" t="s">
        <v>2567</v>
      </c>
      <c r="F584" s="1">
        <v>48.0</v>
      </c>
      <c r="G584" s="1">
        <v>-0.1779</v>
      </c>
      <c r="H584" s="1" t="s">
        <v>2568</v>
      </c>
      <c r="I584" s="4" t="b">
        <f>IFERROR(__xludf.DUMMYFUNCTION("IF(H584="""",,REGEXMATCH(H584,""[א-ת]""))"),FALSE)</f>
        <v>0</v>
      </c>
      <c r="J584" s="4"/>
      <c r="K584" s="4"/>
      <c r="L584" s="1">
        <v>-0.0516</v>
      </c>
      <c r="M584" s="1">
        <v>38.61</v>
      </c>
      <c r="N584" s="1">
        <v>39.58</v>
      </c>
      <c r="O584" s="1">
        <v>0.8245833333</v>
      </c>
      <c r="P584" s="4"/>
      <c r="Q584" s="4"/>
      <c r="R584" s="1" t="s">
        <v>89</v>
      </c>
      <c r="S584" s="1" t="s">
        <v>2567</v>
      </c>
      <c r="T584" s="1" t="s">
        <v>111</v>
      </c>
      <c r="U584" s="1">
        <v>60.0</v>
      </c>
      <c r="V584" s="5" t="s">
        <v>2566</v>
      </c>
      <c r="W584" s="1" t="s">
        <v>2567</v>
      </c>
      <c r="X584" s="1" t="s">
        <v>2569</v>
      </c>
      <c r="Y584" s="4"/>
      <c r="Z584" s="4"/>
      <c r="AA584" s="4" t="b">
        <f>IFERROR(__xludf.DUMMYFUNCTION("IF(X584="""",,REGEXMATCH(X584,""[א-ת]""))"),FALSE)</f>
        <v>0</v>
      </c>
      <c r="AB584" s="1">
        <v>56.08</v>
      </c>
      <c r="AC584" s="1">
        <v>25.0</v>
      </c>
      <c r="AD584" s="1">
        <v>0.690528728290301</v>
      </c>
      <c r="AE584" s="1">
        <v>-0.0772</v>
      </c>
      <c r="AF584" s="1">
        <v>-0.1779</v>
      </c>
      <c r="AG584" s="1">
        <v>6.337</v>
      </c>
      <c r="AH584" s="1">
        <v>6.781</v>
      </c>
      <c r="AI584" s="1" t="b">
        <v>0</v>
      </c>
      <c r="AJ584" s="1" t="b">
        <v>0</v>
      </c>
      <c r="AK584" s="1">
        <v>94.182</v>
      </c>
      <c r="AL584" s="1">
        <v>96.508</v>
      </c>
      <c r="AM584" s="1" t="b">
        <v>0</v>
      </c>
      <c r="AN584" s="1" t="b">
        <v>0</v>
      </c>
      <c r="AO584" s="1">
        <v>8.05</v>
      </c>
      <c r="AP584" s="1">
        <v>8.53399999999999</v>
      </c>
      <c r="AQ584" s="1" t="b">
        <v>0</v>
      </c>
      <c r="AR584" s="1" t="b">
        <v>0</v>
      </c>
      <c r="AS584" s="1">
        <v>86.9179999999999</v>
      </c>
      <c r="AT584" s="1">
        <v>87.152</v>
      </c>
      <c r="AU584" s="1" t="b">
        <v>0</v>
      </c>
      <c r="AV584" s="1" t="b">
        <v>0</v>
      </c>
      <c r="AW584" s="1">
        <v>9.61399999999999</v>
      </c>
      <c r="AX584" s="1">
        <v>11.026</v>
      </c>
      <c r="AY584" s="1" t="b">
        <v>0</v>
      </c>
      <c r="AZ584" s="1" t="b">
        <v>0</v>
      </c>
      <c r="BA584" s="1">
        <v>81.25</v>
      </c>
      <c r="BB584" s="1">
        <v>77.78</v>
      </c>
      <c r="BC584" s="1" t="b">
        <v>0</v>
      </c>
      <c r="BD584" s="1" t="b">
        <v>0</v>
      </c>
      <c r="BE584" s="1">
        <v>11.34</v>
      </c>
      <c r="BF584" s="1">
        <v>13.285</v>
      </c>
      <c r="BG584" s="1" t="b">
        <v>0</v>
      </c>
      <c r="BH584" s="1" t="b">
        <v>0</v>
      </c>
      <c r="BI584" s="1">
        <v>77.78</v>
      </c>
      <c r="BJ584" s="1">
        <v>75.0</v>
      </c>
      <c r="BK584" s="1" t="b">
        <v>0</v>
      </c>
      <c r="BL584" s="1" t="b">
        <v>0</v>
      </c>
      <c r="BM584" s="1">
        <v>13.121</v>
      </c>
      <c r="BN584" s="1">
        <v>14.568</v>
      </c>
      <c r="BO584" s="1" t="b">
        <v>0</v>
      </c>
      <c r="BP584" s="1" t="b">
        <v>0</v>
      </c>
      <c r="BQ584" s="1">
        <v>75.0</v>
      </c>
      <c r="BR584" s="1">
        <v>72.027</v>
      </c>
      <c r="BS584" s="1" t="b">
        <v>0</v>
      </c>
      <c r="BT584" s="1" t="b">
        <v>0</v>
      </c>
      <c r="BU584" s="1" t="s">
        <v>105</v>
      </c>
      <c r="BV584" s="1" t="s">
        <v>105</v>
      </c>
      <c r="BW584" s="1" t="s">
        <v>105</v>
      </c>
      <c r="BX584" s="1" t="s">
        <v>105</v>
      </c>
      <c r="BY584" s="1" t="s">
        <v>105</v>
      </c>
      <c r="BZ584" s="1" t="s">
        <v>105</v>
      </c>
      <c r="CA584" s="1" t="s">
        <v>105</v>
      </c>
      <c r="CB584" s="1" t="s">
        <v>105</v>
      </c>
      <c r="CC584" s="1" t="s">
        <v>105</v>
      </c>
      <c r="CD584" s="1" t="s">
        <v>105</v>
      </c>
      <c r="CE584" s="4"/>
      <c r="CF584" s="4"/>
    </row>
    <row r="585" hidden="1">
      <c r="A585" s="1" t="s">
        <v>82</v>
      </c>
      <c r="B585" s="1" t="s">
        <v>304</v>
      </c>
      <c r="C585" s="1">
        <v>20.0</v>
      </c>
      <c r="D585" s="5" t="s">
        <v>2570</v>
      </c>
      <c r="E585" s="1" t="s">
        <v>2571</v>
      </c>
      <c r="F585" s="1">
        <v>55.0</v>
      </c>
      <c r="G585" s="1">
        <v>0.4215</v>
      </c>
      <c r="H585" s="1" t="s">
        <v>2572</v>
      </c>
      <c r="I585" s="4" t="b">
        <f>IFERROR(__xludf.DUMMYFUNCTION("IF(H585="""",,REGEXMATCH(H585,""[א-ת]""))"),FALSE)</f>
        <v>0</v>
      </c>
      <c r="J585" s="4"/>
      <c r="K585" s="4"/>
      <c r="L585" s="1">
        <v>0.8316</v>
      </c>
      <c r="M585" s="1">
        <v>38.62</v>
      </c>
      <c r="N585" s="1">
        <v>47.27</v>
      </c>
      <c r="O585" s="1">
        <v>0.8594545455</v>
      </c>
      <c r="P585" s="4"/>
      <c r="Q585" s="4"/>
      <c r="R585" s="1" t="s">
        <v>89</v>
      </c>
      <c r="S585" s="1" t="s">
        <v>2571</v>
      </c>
      <c r="T585" s="1" t="s">
        <v>304</v>
      </c>
      <c r="U585" s="1">
        <v>21.0</v>
      </c>
      <c r="V585" s="5" t="s">
        <v>2570</v>
      </c>
      <c r="W585" s="1" t="s">
        <v>2571</v>
      </c>
      <c r="X585" s="1" t="s">
        <v>2573</v>
      </c>
      <c r="Y585" s="4"/>
      <c r="Z585" s="4"/>
      <c r="AA585" s="4" t="b">
        <f>IFERROR(__xludf.DUMMYFUNCTION("IF(X585="""",,REGEXMATCH(X585,""[א-ת]""))"),FALSE)</f>
        <v>0</v>
      </c>
      <c r="AB585" s="1">
        <v>26.88</v>
      </c>
      <c r="AC585" s="1">
        <v>50.91</v>
      </c>
      <c r="AD585" s="1">
        <v>0.51822407917607</v>
      </c>
      <c r="AE585" s="1">
        <v>0.7003</v>
      </c>
      <c r="AF585" s="1">
        <v>0.4215</v>
      </c>
      <c r="AG585" s="1">
        <v>6.337</v>
      </c>
      <c r="AH585" s="1">
        <v>6.781</v>
      </c>
      <c r="AI585" s="1" t="b">
        <v>0</v>
      </c>
      <c r="AJ585" s="1" t="b">
        <v>0</v>
      </c>
      <c r="AK585" s="1">
        <v>94.182</v>
      </c>
      <c r="AL585" s="1">
        <v>96.508</v>
      </c>
      <c r="AM585" s="1" t="b">
        <v>0</v>
      </c>
      <c r="AN585" s="1" t="b">
        <v>0</v>
      </c>
      <c r="AO585" s="1">
        <v>8.05</v>
      </c>
      <c r="AP585" s="1">
        <v>8.53399999999999</v>
      </c>
      <c r="AQ585" s="1" t="b">
        <v>0</v>
      </c>
      <c r="AR585" s="1" t="b">
        <v>0</v>
      </c>
      <c r="AS585" s="1">
        <v>86.9179999999999</v>
      </c>
      <c r="AT585" s="1">
        <v>87.152</v>
      </c>
      <c r="AU585" s="1" t="b">
        <v>0</v>
      </c>
      <c r="AV585" s="1" t="b">
        <v>0</v>
      </c>
      <c r="AW585" s="1">
        <v>9.61399999999999</v>
      </c>
      <c r="AX585" s="1">
        <v>11.026</v>
      </c>
      <c r="AY585" s="1" t="b">
        <v>0</v>
      </c>
      <c r="AZ585" s="1" t="b">
        <v>0</v>
      </c>
      <c r="BA585" s="1">
        <v>81.25</v>
      </c>
      <c r="BB585" s="1">
        <v>77.78</v>
      </c>
      <c r="BC585" s="1" t="b">
        <v>0</v>
      </c>
      <c r="BD585" s="1" t="b">
        <v>0</v>
      </c>
      <c r="BE585" s="1">
        <v>11.34</v>
      </c>
      <c r="BF585" s="1">
        <v>13.285</v>
      </c>
      <c r="BG585" s="1" t="b">
        <v>0</v>
      </c>
      <c r="BH585" s="1" t="b">
        <v>0</v>
      </c>
      <c r="BI585" s="1">
        <v>77.78</v>
      </c>
      <c r="BJ585" s="1">
        <v>75.0</v>
      </c>
      <c r="BK585" s="1" t="b">
        <v>0</v>
      </c>
      <c r="BL585" s="1" t="b">
        <v>0</v>
      </c>
      <c r="BM585" s="1">
        <v>13.121</v>
      </c>
      <c r="BN585" s="1">
        <v>14.568</v>
      </c>
      <c r="BO585" s="1" t="b">
        <v>0</v>
      </c>
      <c r="BP585" s="1" t="b">
        <v>0</v>
      </c>
      <c r="BQ585" s="1">
        <v>75.0</v>
      </c>
      <c r="BR585" s="1">
        <v>72.027</v>
      </c>
      <c r="BS585" s="1" t="b">
        <v>0</v>
      </c>
      <c r="BT585" s="1" t="b">
        <v>0</v>
      </c>
      <c r="BU585" s="1" t="s">
        <v>105</v>
      </c>
      <c r="BV585" s="1" t="s">
        <v>105</v>
      </c>
      <c r="BW585" s="1" t="s">
        <v>105</v>
      </c>
      <c r="BX585" s="1" t="s">
        <v>105</v>
      </c>
      <c r="BY585" s="1" t="s">
        <v>105</v>
      </c>
      <c r="BZ585" s="1" t="s">
        <v>105</v>
      </c>
      <c r="CA585" s="1" t="s">
        <v>105</v>
      </c>
      <c r="CB585" s="1" t="s">
        <v>105</v>
      </c>
      <c r="CC585" s="1" t="s">
        <v>105</v>
      </c>
      <c r="CD585" s="1" t="s">
        <v>105</v>
      </c>
      <c r="CE585" s="4"/>
      <c r="CF585" s="4"/>
    </row>
    <row r="586" hidden="1">
      <c r="A586" s="1" t="s">
        <v>82</v>
      </c>
      <c r="B586" s="1" t="s">
        <v>167</v>
      </c>
      <c r="C586" s="1">
        <v>21.0</v>
      </c>
      <c r="D586" s="5" t="s">
        <v>2574</v>
      </c>
      <c r="E586" s="1" t="s">
        <v>2575</v>
      </c>
      <c r="F586" s="1">
        <v>45.0</v>
      </c>
      <c r="G586" s="1">
        <v>-0.6486</v>
      </c>
      <c r="H586" s="1" t="s">
        <v>2576</v>
      </c>
      <c r="I586" s="4" t="b">
        <f>IFERROR(__xludf.DUMMYFUNCTION("IF(H586="""",,REGEXMATCH(H586,""[א-ת]""))"),FALSE)</f>
        <v>0</v>
      </c>
      <c r="J586" s="4"/>
      <c r="K586" s="4"/>
      <c r="L586" s="1">
        <v>-0.6486</v>
      </c>
      <c r="M586" s="1">
        <v>38.7</v>
      </c>
      <c r="N586" s="1">
        <v>46.67</v>
      </c>
      <c r="O586" s="1">
        <v>1.037111111</v>
      </c>
      <c r="P586" s="4"/>
      <c r="Q586" s="4"/>
      <c r="R586" s="1" t="s">
        <v>127</v>
      </c>
      <c r="S586" s="1" t="s">
        <v>2575</v>
      </c>
      <c r="T586" s="1" t="s">
        <v>167</v>
      </c>
      <c r="U586" s="1">
        <v>22.0</v>
      </c>
      <c r="V586" s="5" t="s">
        <v>2574</v>
      </c>
      <c r="W586" s="1" t="s">
        <v>2575</v>
      </c>
      <c r="X586" s="1" t="s">
        <v>2577</v>
      </c>
      <c r="Y586" s="4"/>
      <c r="Z586" s="4"/>
      <c r="AA586" s="4" t="b">
        <f>IFERROR(__xludf.DUMMYFUNCTION("IF(X586="""",,REGEXMATCH(X586,""[א-ת]""))"),FALSE)</f>
        <v>0</v>
      </c>
      <c r="AB586" s="1">
        <v>39.63</v>
      </c>
      <c r="AC586" s="1">
        <v>40.0</v>
      </c>
      <c r="AD586" s="1">
        <v>0.686768464689541</v>
      </c>
      <c r="AE586" s="1">
        <v>0.0</v>
      </c>
      <c r="AF586" s="1">
        <v>-0.6486</v>
      </c>
      <c r="AG586" s="1">
        <v>6.337</v>
      </c>
      <c r="AH586" s="1">
        <v>6.781</v>
      </c>
      <c r="AI586" s="1" t="b">
        <v>0</v>
      </c>
      <c r="AJ586" s="1" t="b">
        <v>0</v>
      </c>
      <c r="AK586" s="1">
        <v>94.182</v>
      </c>
      <c r="AL586" s="1">
        <v>96.508</v>
      </c>
      <c r="AM586" s="1" t="b">
        <v>0</v>
      </c>
      <c r="AN586" s="1" t="b">
        <v>0</v>
      </c>
      <c r="AO586" s="1">
        <v>8.05</v>
      </c>
      <c r="AP586" s="1">
        <v>8.53399999999999</v>
      </c>
      <c r="AQ586" s="1" t="b">
        <v>0</v>
      </c>
      <c r="AR586" s="1" t="b">
        <v>0</v>
      </c>
      <c r="AS586" s="1">
        <v>86.9179999999999</v>
      </c>
      <c r="AT586" s="1">
        <v>87.152</v>
      </c>
      <c r="AU586" s="1" t="b">
        <v>0</v>
      </c>
      <c r="AV586" s="1" t="b">
        <v>0</v>
      </c>
      <c r="AW586" s="1">
        <v>9.61399999999999</v>
      </c>
      <c r="AX586" s="1">
        <v>11.026</v>
      </c>
      <c r="AY586" s="1" t="b">
        <v>0</v>
      </c>
      <c r="AZ586" s="1" t="b">
        <v>0</v>
      </c>
      <c r="BA586" s="1">
        <v>81.25</v>
      </c>
      <c r="BB586" s="1">
        <v>77.78</v>
      </c>
      <c r="BC586" s="1" t="b">
        <v>0</v>
      </c>
      <c r="BD586" s="1" t="b">
        <v>0</v>
      </c>
      <c r="BE586" s="1">
        <v>11.34</v>
      </c>
      <c r="BF586" s="1">
        <v>13.285</v>
      </c>
      <c r="BG586" s="1" t="b">
        <v>0</v>
      </c>
      <c r="BH586" s="1" t="b">
        <v>0</v>
      </c>
      <c r="BI586" s="1">
        <v>77.78</v>
      </c>
      <c r="BJ586" s="1">
        <v>75.0</v>
      </c>
      <c r="BK586" s="1" t="b">
        <v>0</v>
      </c>
      <c r="BL586" s="1" t="b">
        <v>0</v>
      </c>
      <c r="BM586" s="1">
        <v>13.121</v>
      </c>
      <c r="BN586" s="1">
        <v>14.568</v>
      </c>
      <c r="BO586" s="1" t="b">
        <v>0</v>
      </c>
      <c r="BP586" s="1" t="b">
        <v>0</v>
      </c>
      <c r="BQ586" s="1">
        <v>75.0</v>
      </c>
      <c r="BR586" s="1">
        <v>72.027</v>
      </c>
      <c r="BS586" s="1" t="b">
        <v>0</v>
      </c>
      <c r="BT586" s="1" t="b">
        <v>0</v>
      </c>
      <c r="BU586" s="1" t="s">
        <v>105</v>
      </c>
      <c r="BV586" s="1" t="s">
        <v>105</v>
      </c>
      <c r="BW586" s="1" t="s">
        <v>105</v>
      </c>
      <c r="BX586" s="1" t="s">
        <v>105</v>
      </c>
      <c r="BY586" s="1" t="s">
        <v>105</v>
      </c>
      <c r="BZ586" s="1" t="s">
        <v>105</v>
      </c>
      <c r="CA586" s="1" t="s">
        <v>105</v>
      </c>
      <c r="CB586" s="1" t="s">
        <v>105</v>
      </c>
      <c r="CC586" s="1" t="s">
        <v>105</v>
      </c>
      <c r="CD586" s="1" t="s">
        <v>105</v>
      </c>
      <c r="CE586" s="4"/>
      <c r="CF586" s="4"/>
    </row>
    <row r="587" hidden="1">
      <c r="A587" s="1" t="s">
        <v>82</v>
      </c>
      <c r="B587" s="1" t="s">
        <v>262</v>
      </c>
      <c r="C587" s="1">
        <v>38.0</v>
      </c>
      <c r="D587" s="5" t="s">
        <v>2578</v>
      </c>
      <c r="E587" s="1" t="s">
        <v>2579</v>
      </c>
      <c r="F587" s="1">
        <v>85.0</v>
      </c>
      <c r="G587" s="1">
        <v>0.0062</v>
      </c>
      <c r="H587" s="1" t="s">
        <v>2580</v>
      </c>
      <c r="I587" s="4" t="b">
        <f>IFERROR(__xludf.DUMMYFUNCTION("IF(H587="""",,REGEXMATCH(H587,""[א-ת]""))"),FALSE)</f>
        <v>0</v>
      </c>
      <c r="J587" s="4"/>
      <c r="K587" s="4"/>
      <c r="L587" s="1">
        <v>0.7783</v>
      </c>
      <c r="M587" s="1">
        <v>38.79</v>
      </c>
      <c r="N587" s="1">
        <v>45.88</v>
      </c>
      <c r="O587" s="1">
        <v>0.5397647059</v>
      </c>
      <c r="P587" s="4"/>
      <c r="Q587" s="4"/>
      <c r="R587" s="1" t="s">
        <v>96</v>
      </c>
      <c r="S587" s="1" t="s">
        <v>2579</v>
      </c>
      <c r="T587" s="1" t="s">
        <v>262</v>
      </c>
      <c r="U587" s="1">
        <v>39.0</v>
      </c>
      <c r="V587" s="5" t="s">
        <v>2578</v>
      </c>
      <c r="W587" s="1" t="s">
        <v>2579</v>
      </c>
      <c r="X587" s="1" t="s">
        <v>2581</v>
      </c>
      <c r="Y587" s="4"/>
      <c r="Z587" s="4"/>
      <c r="AA587" s="4" t="b">
        <f>IFERROR(__xludf.DUMMYFUNCTION("IF(X587="""",,REGEXMATCH(X587,""[א-ת]""))"),FALSE)</f>
        <v>0</v>
      </c>
      <c r="AB587" s="1">
        <v>26.43</v>
      </c>
      <c r="AC587" s="1">
        <v>51.76</v>
      </c>
      <c r="AD587" s="1">
        <v>0.647879146240806</v>
      </c>
      <c r="AE587" s="1">
        <v>0.7906</v>
      </c>
      <c r="AF587" s="1">
        <v>0.0062</v>
      </c>
      <c r="AG587" s="1">
        <v>6.337</v>
      </c>
      <c r="AH587" s="1">
        <v>6.781</v>
      </c>
      <c r="AI587" s="1" t="b">
        <v>0</v>
      </c>
      <c r="AJ587" s="1" t="b">
        <v>0</v>
      </c>
      <c r="AK587" s="1">
        <v>94.182</v>
      </c>
      <c r="AL587" s="1">
        <v>96.508</v>
      </c>
      <c r="AM587" s="1" t="b">
        <v>0</v>
      </c>
      <c r="AN587" s="1" t="b">
        <v>0</v>
      </c>
      <c r="AO587" s="1">
        <v>8.05</v>
      </c>
      <c r="AP587" s="1">
        <v>8.53399999999999</v>
      </c>
      <c r="AQ587" s="1" t="b">
        <v>0</v>
      </c>
      <c r="AR587" s="1" t="b">
        <v>0</v>
      </c>
      <c r="AS587" s="1">
        <v>86.9179999999999</v>
      </c>
      <c r="AT587" s="1">
        <v>87.152</v>
      </c>
      <c r="AU587" s="1" t="b">
        <v>0</v>
      </c>
      <c r="AV587" s="1" t="b">
        <v>0</v>
      </c>
      <c r="AW587" s="1">
        <v>9.61399999999999</v>
      </c>
      <c r="AX587" s="1">
        <v>11.026</v>
      </c>
      <c r="AY587" s="1" t="b">
        <v>0</v>
      </c>
      <c r="AZ587" s="1" t="b">
        <v>0</v>
      </c>
      <c r="BA587" s="1">
        <v>81.25</v>
      </c>
      <c r="BB587" s="1">
        <v>77.78</v>
      </c>
      <c r="BC587" s="1" t="b">
        <v>0</v>
      </c>
      <c r="BD587" s="1" t="b">
        <v>0</v>
      </c>
      <c r="BE587" s="1">
        <v>11.34</v>
      </c>
      <c r="BF587" s="1">
        <v>13.285</v>
      </c>
      <c r="BG587" s="1" t="b">
        <v>0</v>
      </c>
      <c r="BH587" s="1" t="b">
        <v>0</v>
      </c>
      <c r="BI587" s="1">
        <v>77.78</v>
      </c>
      <c r="BJ587" s="1">
        <v>75.0</v>
      </c>
      <c r="BK587" s="1" t="b">
        <v>0</v>
      </c>
      <c r="BL587" s="1" t="b">
        <v>0</v>
      </c>
      <c r="BM587" s="1">
        <v>13.121</v>
      </c>
      <c r="BN587" s="1">
        <v>14.568</v>
      </c>
      <c r="BO587" s="1" t="b">
        <v>0</v>
      </c>
      <c r="BP587" s="1" t="b">
        <v>0</v>
      </c>
      <c r="BQ587" s="1">
        <v>75.0</v>
      </c>
      <c r="BR587" s="1">
        <v>72.027</v>
      </c>
      <c r="BS587" s="1" t="b">
        <v>0</v>
      </c>
      <c r="BT587" s="1" t="b">
        <v>0</v>
      </c>
      <c r="BU587" s="1" t="s">
        <v>105</v>
      </c>
      <c r="BV587" s="1" t="s">
        <v>105</v>
      </c>
      <c r="BW587" s="1" t="s">
        <v>105</v>
      </c>
      <c r="BX587" s="1" t="s">
        <v>105</v>
      </c>
      <c r="BY587" s="1" t="s">
        <v>105</v>
      </c>
      <c r="BZ587" s="1" t="s">
        <v>105</v>
      </c>
      <c r="CA587" s="1" t="s">
        <v>105</v>
      </c>
      <c r="CB587" s="1" t="s">
        <v>105</v>
      </c>
      <c r="CC587" s="1" t="s">
        <v>105</v>
      </c>
      <c r="CD587" s="1" t="s">
        <v>105</v>
      </c>
      <c r="CE587" s="4"/>
      <c r="CF587" s="4"/>
    </row>
    <row r="588" hidden="1">
      <c r="A588" s="1" t="s">
        <v>82</v>
      </c>
      <c r="B588" s="1" t="s">
        <v>145</v>
      </c>
      <c r="C588" s="1">
        <v>4.0</v>
      </c>
      <c r="D588" s="5" t="s">
        <v>2582</v>
      </c>
      <c r="E588" s="1" t="s">
        <v>2583</v>
      </c>
      <c r="F588" s="1">
        <v>20.0</v>
      </c>
      <c r="G588" s="1">
        <v>0.0</v>
      </c>
      <c r="H588" s="1" t="s">
        <v>2584</v>
      </c>
      <c r="I588" s="4" t="b">
        <f>IFERROR(__xludf.DUMMYFUNCTION("IF(H588="""",,REGEXMATCH(H588,""[א-ת]""))"),FALSE)</f>
        <v>0</v>
      </c>
      <c r="J588" s="4"/>
      <c r="K588" s="4"/>
      <c r="L588" s="1">
        <v>0.0</v>
      </c>
      <c r="M588" s="1">
        <v>39.24</v>
      </c>
      <c r="N588" s="1">
        <v>40.0</v>
      </c>
      <c r="O588" s="1">
        <v>2.0</v>
      </c>
      <c r="P588" s="4"/>
      <c r="Q588" s="4"/>
      <c r="R588" s="1" t="s">
        <v>89</v>
      </c>
      <c r="S588" s="1" t="s">
        <v>2583</v>
      </c>
      <c r="T588" s="1" t="s">
        <v>145</v>
      </c>
      <c r="U588" s="1">
        <v>5.0</v>
      </c>
      <c r="V588" s="5" t="s">
        <v>2582</v>
      </c>
      <c r="W588" s="1" t="s">
        <v>2583</v>
      </c>
      <c r="X588" s="1" t="s">
        <v>2585</v>
      </c>
      <c r="Y588" s="4"/>
      <c r="Z588" s="4"/>
      <c r="AA588" s="4" t="b">
        <f>IFERROR(__xludf.DUMMYFUNCTION("IF(X588="""",,REGEXMATCH(X588,""[א-ת]""))"),FALSE)</f>
        <v>0</v>
      </c>
      <c r="AB588" s="1">
        <v>25.17</v>
      </c>
      <c r="AC588" s="1">
        <v>40.0</v>
      </c>
      <c r="AD588" s="1">
        <v>0.533324004513695</v>
      </c>
      <c r="AE588" s="1">
        <v>0.0</v>
      </c>
      <c r="AF588" s="1">
        <v>0.0</v>
      </c>
      <c r="AG588" s="1">
        <v>6.337</v>
      </c>
      <c r="AH588" s="1">
        <v>6.781</v>
      </c>
      <c r="AI588" s="1" t="b">
        <v>0</v>
      </c>
      <c r="AJ588" s="1" t="b">
        <v>0</v>
      </c>
      <c r="AK588" s="1">
        <v>94.182</v>
      </c>
      <c r="AL588" s="1">
        <v>96.508</v>
      </c>
      <c r="AM588" s="1" t="b">
        <v>0</v>
      </c>
      <c r="AN588" s="1" t="b">
        <v>0</v>
      </c>
      <c r="AO588" s="1">
        <v>8.05</v>
      </c>
      <c r="AP588" s="1">
        <v>8.53399999999999</v>
      </c>
      <c r="AQ588" s="1" t="b">
        <v>0</v>
      </c>
      <c r="AR588" s="1" t="b">
        <v>0</v>
      </c>
      <c r="AS588" s="1">
        <v>86.9179999999999</v>
      </c>
      <c r="AT588" s="1">
        <v>87.152</v>
      </c>
      <c r="AU588" s="1" t="b">
        <v>0</v>
      </c>
      <c r="AV588" s="1" t="b">
        <v>0</v>
      </c>
      <c r="AW588" s="1">
        <v>9.61399999999999</v>
      </c>
      <c r="AX588" s="1">
        <v>11.026</v>
      </c>
      <c r="AY588" s="1" t="b">
        <v>0</v>
      </c>
      <c r="AZ588" s="1" t="b">
        <v>0</v>
      </c>
      <c r="BA588" s="1">
        <v>81.25</v>
      </c>
      <c r="BB588" s="1">
        <v>77.78</v>
      </c>
      <c r="BC588" s="1" t="b">
        <v>0</v>
      </c>
      <c r="BD588" s="1" t="b">
        <v>0</v>
      </c>
      <c r="BE588" s="1">
        <v>11.34</v>
      </c>
      <c r="BF588" s="1">
        <v>13.285</v>
      </c>
      <c r="BG588" s="1" t="b">
        <v>0</v>
      </c>
      <c r="BH588" s="1" t="b">
        <v>0</v>
      </c>
      <c r="BI588" s="1">
        <v>77.78</v>
      </c>
      <c r="BJ588" s="1">
        <v>75.0</v>
      </c>
      <c r="BK588" s="1" t="b">
        <v>0</v>
      </c>
      <c r="BL588" s="1" t="b">
        <v>0</v>
      </c>
      <c r="BM588" s="1">
        <v>13.121</v>
      </c>
      <c r="BN588" s="1">
        <v>14.568</v>
      </c>
      <c r="BO588" s="1" t="b">
        <v>0</v>
      </c>
      <c r="BP588" s="1" t="b">
        <v>0</v>
      </c>
      <c r="BQ588" s="1">
        <v>75.0</v>
      </c>
      <c r="BR588" s="1">
        <v>72.027</v>
      </c>
      <c r="BS588" s="1" t="b">
        <v>0</v>
      </c>
      <c r="BT588" s="1" t="b">
        <v>0</v>
      </c>
      <c r="BU588" s="1" t="s">
        <v>105</v>
      </c>
      <c r="BV588" s="1" t="s">
        <v>105</v>
      </c>
      <c r="BW588" s="1" t="s">
        <v>105</v>
      </c>
      <c r="BX588" s="1" t="s">
        <v>105</v>
      </c>
      <c r="BY588" s="1" t="s">
        <v>105</v>
      </c>
      <c r="BZ588" s="1" t="s">
        <v>105</v>
      </c>
      <c r="CA588" s="1" t="s">
        <v>105</v>
      </c>
      <c r="CB588" s="1" t="s">
        <v>105</v>
      </c>
      <c r="CC588" s="1" t="s">
        <v>105</v>
      </c>
      <c r="CD588" s="1" t="s">
        <v>105</v>
      </c>
      <c r="CE588" s="4"/>
      <c r="CF588" s="4"/>
    </row>
    <row r="589" hidden="1">
      <c r="A589" s="1" t="s">
        <v>82</v>
      </c>
      <c r="B589" s="1" t="s">
        <v>123</v>
      </c>
      <c r="C589" s="1">
        <v>7.0</v>
      </c>
      <c r="D589" s="5" t="s">
        <v>2586</v>
      </c>
      <c r="E589" s="1" t="s">
        <v>2587</v>
      </c>
      <c r="F589" s="1">
        <v>88.0</v>
      </c>
      <c r="G589" s="1">
        <v>-0.8126</v>
      </c>
      <c r="H589" s="1" t="s">
        <v>2588</v>
      </c>
      <c r="I589" s="4" t="b">
        <f>IFERROR(__xludf.DUMMYFUNCTION("IF(H589="""",,REGEXMATCH(H589,""[א-ת]""))"),FALSE)</f>
        <v>0</v>
      </c>
      <c r="J589" s="4"/>
      <c r="K589" s="4"/>
      <c r="L589" s="1">
        <v>-0.7783</v>
      </c>
      <c r="M589" s="1">
        <v>39.3</v>
      </c>
      <c r="N589" s="1">
        <v>47.73</v>
      </c>
      <c r="O589" s="1">
        <v>0.5423863636</v>
      </c>
      <c r="P589" s="4"/>
      <c r="Q589" s="4"/>
      <c r="R589" s="1" t="s">
        <v>127</v>
      </c>
      <c r="S589" s="1" t="s">
        <v>2587</v>
      </c>
      <c r="T589" s="1" t="s">
        <v>123</v>
      </c>
      <c r="U589" s="1">
        <v>8.0</v>
      </c>
      <c r="V589" s="5" t="s">
        <v>2586</v>
      </c>
      <c r="W589" s="1" t="s">
        <v>2587</v>
      </c>
      <c r="X589" s="1" t="s">
        <v>2589</v>
      </c>
      <c r="Y589" s="4"/>
      <c r="Z589" s="4"/>
      <c r="AA589" s="4" t="b">
        <f>IFERROR(__xludf.DUMMYFUNCTION("IF(X589="""",,REGEXMATCH(X589,""[א-ת]""))"),FALSE)</f>
        <v>0</v>
      </c>
      <c r="AB589" s="1">
        <v>35.81</v>
      </c>
      <c r="AC589" s="1">
        <v>45.45</v>
      </c>
      <c r="AD589" s="1">
        <v>0.659928950804759</v>
      </c>
      <c r="AE589" s="1">
        <v>-0.7096</v>
      </c>
      <c r="AF589" s="1">
        <v>-0.8126</v>
      </c>
      <c r="AG589" s="1">
        <v>6.337</v>
      </c>
      <c r="AH589" s="1">
        <v>6.781</v>
      </c>
      <c r="AI589" s="1" t="b">
        <v>0</v>
      </c>
      <c r="AJ589" s="1" t="b">
        <v>0</v>
      </c>
      <c r="AK589" s="1">
        <v>94.182</v>
      </c>
      <c r="AL589" s="1">
        <v>96.508</v>
      </c>
      <c r="AM589" s="1" t="b">
        <v>0</v>
      </c>
      <c r="AN589" s="1" t="b">
        <v>0</v>
      </c>
      <c r="AO589" s="1">
        <v>8.05</v>
      </c>
      <c r="AP589" s="1">
        <v>8.53399999999999</v>
      </c>
      <c r="AQ589" s="1" t="b">
        <v>0</v>
      </c>
      <c r="AR589" s="1" t="b">
        <v>0</v>
      </c>
      <c r="AS589" s="1">
        <v>86.9179999999999</v>
      </c>
      <c r="AT589" s="1">
        <v>87.152</v>
      </c>
      <c r="AU589" s="1" t="b">
        <v>0</v>
      </c>
      <c r="AV589" s="1" t="b">
        <v>0</v>
      </c>
      <c r="AW589" s="1">
        <v>9.61399999999999</v>
      </c>
      <c r="AX589" s="1">
        <v>11.026</v>
      </c>
      <c r="AY589" s="1" t="b">
        <v>0</v>
      </c>
      <c r="AZ589" s="1" t="b">
        <v>0</v>
      </c>
      <c r="BA589" s="1">
        <v>81.25</v>
      </c>
      <c r="BB589" s="1">
        <v>77.78</v>
      </c>
      <c r="BC589" s="1" t="b">
        <v>0</v>
      </c>
      <c r="BD589" s="1" t="b">
        <v>0</v>
      </c>
      <c r="BE589" s="1">
        <v>11.34</v>
      </c>
      <c r="BF589" s="1">
        <v>13.285</v>
      </c>
      <c r="BG589" s="1" t="b">
        <v>0</v>
      </c>
      <c r="BH589" s="1" t="b">
        <v>0</v>
      </c>
      <c r="BI589" s="1">
        <v>77.78</v>
      </c>
      <c r="BJ589" s="1">
        <v>75.0</v>
      </c>
      <c r="BK589" s="1" t="b">
        <v>0</v>
      </c>
      <c r="BL589" s="1" t="b">
        <v>0</v>
      </c>
      <c r="BM589" s="1">
        <v>13.121</v>
      </c>
      <c r="BN589" s="1">
        <v>14.568</v>
      </c>
      <c r="BO589" s="1" t="b">
        <v>0</v>
      </c>
      <c r="BP589" s="1" t="b">
        <v>0</v>
      </c>
      <c r="BQ589" s="1">
        <v>75.0</v>
      </c>
      <c r="BR589" s="1">
        <v>72.027</v>
      </c>
      <c r="BS589" s="1" t="b">
        <v>0</v>
      </c>
      <c r="BT589" s="1" t="b">
        <v>0</v>
      </c>
      <c r="BU589" s="1" t="s">
        <v>105</v>
      </c>
      <c r="BV589" s="1" t="s">
        <v>105</v>
      </c>
      <c r="BW589" s="1" t="s">
        <v>105</v>
      </c>
      <c r="BX589" s="1" t="s">
        <v>105</v>
      </c>
      <c r="BY589" s="1" t="s">
        <v>105</v>
      </c>
      <c r="BZ589" s="1" t="s">
        <v>105</v>
      </c>
      <c r="CA589" s="1" t="s">
        <v>105</v>
      </c>
      <c r="CB589" s="1" t="s">
        <v>105</v>
      </c>
      <c r="CC589" s="1" t="s">
        <v>105</v>
      </c>
      <c r="CD589" s="1" t="s">
        <v>105</v>
      </c>
      <c r="CE589" s="4"/>
      <c r="CF589" s="4"/>
    </row>
    <row r="590" hidden="1">
      <c r="A590" s="1" t="s">
        <v>82</v>
      </c>
      <c r="B590" s="1" t="s">
        <v>251</v>
      </c>
      <c r="C590" s="1">
        <v>4.0</v>
      </c>
      <c r="D590" s="5" t="s">
        <v>2590</v>
      </c>
      <c r="E590" s="1" t="s">
        <v>2591</v>
      </c>
      <c r="F590" s="1">
        <v>23.0</v>
      </c>
      <c r="G590" s="1">
        <v>0.3818</v>
      </c>
      <c r="H590" s="1" t="s">
        <v>2592</v>
      </c>
      <c r="I590" s="4" t="b">
        <f>IFERROR(__xludf.DUMMYFUNCTION("IF(H590="""",,REGEXMATCH(H590,""[א-ת]""))"),FALSE)</f>
        <v>0</v>
      </c>
      <c r="J590" s="4"/>
      <c r="K590" s="4"/>
      <c r="L590" s="1">
        <v>0.4215</v>
      </c>
      <c r="M590" s="1">
        <v>40.04</v>
      </c>
      <c r="N590" s="1">
        <v>43.48</v>
      </c>
      <c r="O590" s="1">
        <v>1.890434783</v>
      </c>
      <c r="P590" s="4"/>
      <c r="Q590" s="4"/>
      <c r="R590" s="1" t="s">
        <v>89</v>
      </c>
      <c r="S590" s="1" t="s">
        <v>2591</v>
      </c>
      <c r="T590" s="1" t="s">
        <v>251</v>
      </c>
      <c r="U590" s="1">
        <v>5.0</v>
      </c>
      <c r="V590" s="5" t="s">
        <v>2590</v>
      </c>
      <c r="W590" s="1" t="s">
        <v>2591</v>
      </c>
      <c r="X590" s="1" t="s">
        <v>2593</v>
      </c>
      <c r="Y590" s="4"/>
      <c r="Z590" s="4"/>
      <c r="AA590" s="4" t="b">
        <f>IFERROR(__xludf.DUMMYFUNCTION("IF(X590="""",,REGEXMATCH(X590,""[א-ת]""))"),FALSE)</f>
        <v>0</v>
      </c>
      <c r="AB590" s="1">
        <v>19.21</v>
      </c>
      <c r="AC590" s="1">
        <v>65.22</v>
      </c>
      <c r="AD590" s="1">
        <v>0.599930116810072</v>
      </c>
      <c r="AE590" s="1">
        <v>0.3818</v>
      </c>
      <c r="AF590" s="1">
        <v>0.3818</v>
      </c>
      <c r="AG590" s="1">
        <v>6.337</v>
      </c>
      <c r="AH590" s="1">
        <v>6.781</v>
      </c>
      <c r="AI590" s="1" t="b">
        <v>0</v>
      </c>
      <c r="AJ590" s="1" t="b">
        <v>0</v>
      </c>
      <c r="AK590" s="1">
        <v>94.182</v>
      </c>
      <c r="AL590" s="1">
        <v>96.508</v>
      </c>
      <c r="AM590" s="1" t="b">
        <v>0</v>
      </c>
      <c r="AN590" s="1" t="b">
        <v>0</v>
      </c>
      <c r="AO590" s="1">
        <v>8.05</v>
      </c>
      <c r="AP590" s="1">
        <v>8.53399999999999</v>
      </c>
      <c r="AQ590" s="1" t="b">
        <v>0</v>
      </c>
      <c r="AR590" s="1" t="b">
        <v>0</v>
      </c>
      <c r="AS590" s="1">
        <v>86.9179999999999</v>
      </c>
      <c r="AT590" s="1">
        <v>87.152</v>
      </c>
      <c r="AU590" s="1" t="b">
        <v>0</v>
      </c>
      <c r="AV590" s="1" t="b">
        <v>0</v>
      </c>
      <c r="AW590" s="1">
        <v>9.61399999999999</v>
      </c>
      <c r="AX590" s="1">
        <v>11.026</v>
      </c>
      <c r="AY590" s="1" t="b">
        <v>0</v>
      </c>
      <c r="AZ590" s="1" t="b">
        <v>0</v>
      </c>
      <c r="BA590" s="1">
        <v>81.25</v>
      </c>
      <c r="BB590" s="1">
        <v>77.78</v>
      </c>
      <c r="BC590" s="1" t="b">
        <v>0</v>
      </c>
      <c r="BD590" s="1" t="b">
        <v>0</v>
      </c>
      <c r="BE590" s="1">
        <v>11.34</v>
      </c>
      <c r="BF590" s="1">
        <v>13.285</v>
      </c>
      <c r="BG590" s="1" t="b">
        <v>0</v>
      </c>
      <c r="BH590" s="1" t="b">
        <v>0</v>
      </c>
      <c r="BI590" s="1">
        <v>77.78</v>
      </c>
      <c r="BJ590" s="1">
        <v>75.0</v>
      </c>
      <c r="BK590" s="1" t="b">
        <v>0</v>
      </c>
      <c r="BL590" s="1" t="b">
        <v>0</v>
      </c>
      <c r="BM590" s="1">
        <v>13.121</v>
      </c>
      <c r="BN590" s="1">
        <v>14.568</v>
      </c>
      <c r="BO590" s="1" t="b">
        <v>0</v>
      </c>
      <c r="BP590" s="1" t="b">
        <v>0</v>
      </c>
      <c r="BQ590" s="1">
        <v>75.0</v>
      </c>
      <c r="BR590" s="1">
        <v>72.027</v>
      </c>
      <c r="BS590" s="1" t="b">
        <v>0</v>
      </c>
      <c r="BT590" s="1" t="b">
        <v>0</v>
      </c>
      <c r="BU590" s="1" t="s">
        <v>105</v>
      </c>
      <c r="BV590" s="1" t="s">
        <v>105</v>
      </c>
      <c r="BW590" s="1" t="s">
        <v>105</v>
      </c>
      <c r="BX590" s="1" t="s">
        <v>105</v>
      </c>
      <c r="BY590" s="1" t="s">
        <v>105</v>
      </c>
      <c r="BZ590" s="1" t="s">
        <v>105</v>
      </c>
      <c r="CA590" s="1" t="s">
        <v>105</v>
      </c>
      <c r="CB590" s="1" t="s">
        <v>105</v>
      </c>
      <c r="CC590" s="1" t="s">
        <v>105</v>
      </c>
      <c r="CD590" s="1" t="s">
        <v>105</v>
      </c>
      <c r="CE590" s="4"/>
      <c r="CF590" s="4"/>
    </row>
    <row r="591" hidden="1">
      <c r="A591" s="1" t="s">
        <v>82</v>
      </c>
      <c r="B591" s="1" t="s">
        <v>197</v>
      </c>
      <c r="C591" s="1">
        <v>25.0</v>
      </c>
      <c r="D591" s="5" t="s">
        <v>2594</v>
      </c>
      <c r="E591" s="1" t="s">
        <v>2595</v>
      </c>
      <c r="F591" s="1">
        <v>35.0</v>
      </c>
      <c r="G591" s="1">
        <v>-0.5859</v>
      </c>
      <c r="H591" s="1" t="s">
        <v>2596</v>
      </c>
      <c r="I591" s="4" t="b">
        <f>IFERROR(__xludf.DUMMYFUNCTION("IF(H591="""",,REGEXMATCH(H591,""[א-ת]""))"),FALSE)</f>
        <v>0</v>
      </c>
      <c r="J591" s="4"/>
      <c r="K591" s="4"/>
      <c r="L591" s="1">
        <v>-0.3566</v>
      </c>
      <c r="M591" s="1">
        <v>40.08</v>
      </c>
      <c r="N591" s="1">
        <v>34.29</v>
      </c>
      <c r="O591" s="1">
        <v>0.9797142857</v>
      </c>
      <c r="P591" s="4"/>
      <c r="Q591" s="4"/>
      <c r="R591" s="1" t="s">
        <v>89</v>
      </c>
      <c r="S591" s="1" t="s">
        <v>2595</v>
      </c>
      <c r="T591" s="1" t="s">
        <v>197</v>
      </c>
      <c r="U591" s="1">
        <v>26.0</v>
      </c>
      <c r="V591" s="5" t="s">
        <v>2594</v>
      </c>
      <c r="W591" s="1" t="s">
        <v>2595</v>
      </c>
      <c r="X591" s="1" t="s">
        <v>2597</v>
      </c>
      <c r="Y591" s="4"/>
      <c r="Z591" s="4"/>
      <c r="AA591" s="4" t="b">
        <f>IFERROR(__xludf.DUMMYFUNCTION("IF(X591="""",,REGEXMATCH(X591,""[א-ת]""))"),FALSE)</f>
        <v>0</v>
      </c>
      <c r="AB591" s="1">
        <v>34.09</v>
      </c>
      <c r="AC591" s="1">
        <v>48.57</v>
      </c>
      <c r="AD591" s="1">
        <v>0.508763737795986</v>
      </c>
      <c r="AE591" s="1">
        <v>-0.3566</v>
      </c>
      <c r="AF591" s="1">
        <v>-0.5859</v>
      </c>
      <c r="AG591" s="1">
        <v>6.337</v>
      </c>
      <c r="AH591" s="1">
        <v>6.781</v>
      </c>
      <c r="AI591" s="1" t="b">
        <v>0</v>
      </c>
      <c r="AJ591" s="1" t="b">
        <v>0</v>
      </c>
      <c r="AK591" s="1">
        <v>94.182</v>
      </c>
      <c r="AL591" s="1">
        <v>96.508</v>
      </c>
      <c r="AM591" s="1" t="b">
        <v>0</v>
      </c>
      <c r="AN591" s="1" t="b">
        <v>0</v>
      </c>
      <c r="AO591" s="1">
        <v>8.05</v>
      </c>
      <c r="AP591" s="1">
        <v>8.53399999999999</v>
      </c>
      <c r="AQ591" s="1" t="b">
        <v>0</v>
      </c>
      <c r="AR591" s="1" t="b">
        <v>0</v>
      </c>
      <c r="AS591" s="1">
        <v>86.9179999999999</v>
      </c>
      <c r="AT591" s="1">
        <v>87.152</v>
      </c>
      <c r="AU591" s="1" t="b">
        <v>0</v>
      </c>
      <c r="AV591" s="1" t="b">
        <v>0</v>
      </c>
      <c r="AW591" s="1">
        <v>9.61399999999999</v>
      </c>
      <c r="AX591" s="1">
        <v>11.026</v>
      </c>
      <c r="AY591" s="1" t="b">
        <v>0</v>
      </c>
      <c r="AZ591" s="1" t="b">
        <v>0</v>
      </c>
      <c r="BA591" s="1">
        <v>81.25</v>
      </c>
      <c r="BB591" s="1">
        <v>77.78</v>
      </c>
      <c r="BC591" s="1" t="b">
        <v>0</v>
      </c>
      <c r="BD591" s="1" t="b">
        <v>0</v>
      </c>
      <c r="BE591" s="1">
        <v>11.34</v>
      </c>
      <c r="BF591" s="1">
        <v>13.285</v>
      </c>
      <c r="BG591" s="1" t="b">
        <v>0</v>
      </c>
      <c r="BH591" s="1" t="b">
        <v>0</v>
      </c>
      <c r="BI591" s="1">
        <v>77.78</v>
      </c>
      <c r="BJ591" s="1">
        <v>75.0</v>
      </c>
      <c r="BK591" s="1" t="b">
        <v>0</v>
      </c>
      <c r="BL591" s="1" t="b">
        <v>0</v>
      </c>
      <c r="BM591" s="1">
        <v>13.121</v>
      </c>
      <c r="BN591" s="1">
        <v>14.568</v>
      </c>
      <c r="BO591" s="1" t="b">
        <v>0</v>
      </c>
      <c r="BP591" s="1" t="b">
        <v>0</v>
      </c>
      <c r="BQ591" s="1">
        <v>75.0</v>
      </c>
      <c r="BR591" s="1">
        <v>72.027</v>
      </c>
      <c r="BS591" s="1" t="b">
        <v>0</v>
      </c>
      <c r="BT591" s="1" t="b">
        <v>0</v>
      </c>
      <c r="BU591" s="1" t="s">
        <v>105</v>
      </c>
      <c r="BV591" s="1" t="s">
        <v>105</v>
      </c>
      <c r="BW591" s="1" t="s">
        <v>105</v>
      </c>
      <c r="BX591" s="1" t="s">
        <v>105</v>
      </c>
      <c r="BY591" s="1" t="s">
        <v>105</v>
      </c>
      <c r="BZ591" s="1" t="s">
        <v>105</v>
      </c>
      <c r="CA591" s="1" t="s">
        <v>105</v>
      </c>
      <c r="CB591" s="1" t="s">
        <v>105</v>
      </c>
      <c r="CC591" s="1" t="s">
        <v>105</v>
      </c>
      <c r="CD591" s="1" t="s">
        <v>105</v>
      </c>
      <c r="CE591" s="4"/>
      <c r="CF591" s="4"/>
    </row>
    <row r="592" hidden="1">
      <c r="A592" s="1" t="s">
        <v>82</v>
      </c>
      <c r="B592" s="1" t="s">
        <v>251</v>
      </c>
      <c r="C592" s="1">
        <v>2.0</v>
      </c>
      <c r="D592" s="5" t="s">
        <v>2598</v>
      </c>
      <c r="E592" s="1" t="s">
        <v>2599</v>
      </c>
      <c r="F592" s="1">
        <v>48.0</v>
      </c>
      <c r="G592" s="1">
        <v>0.7184</v>
      </c>
      <c r="H592" s="1" t="s">
        <v>2600</v>
      </c>
      <c r="I592" s="4" t="b">
        <f>IFERROR(__xludf.DUMMYFUNCTION("IF(H592="""",,REGEXMATCH(H592,""[א-ת]""))"),FALSE)</f>
        <v>0</v>
      </c>
      <c r="J592" s="4"/>
      <c r="K592" s="4"/>
      <c r="L592" s="1">
        <v>0.8152</v>
      </c>
      <c r="M592" s="1">
        <v>40.12</v>
      </c>
      <c r="N592" s="1">
        <v>37.5</v>
      </c>
      <c r="O592" s="1">
        <v>0.78125</v>
      </c>
      <c r="P592" s="4"/>
      <c r="Q592" s="4"/>
      <c r="R592" s="1" t="s">
        <v>89</v>
      </c>
      <c r="S592" s="1" t="s">
        <v>2599</v>
      </c>
      <c r="T592" s="1" t="s">
        <v>251</v>
      </c>
      <c r="U592" s="1">
        <v>3.0</v>
      </c>
      <c r="V592" s="5" t="s">
        <v>2598</v>
      </c>
      <c r="W592" s="1" t="s">
        <v>2599</v>
      </c>
      <c r="X592" s="1" t="s">
        <v>2601</v>
      </c>
      <c r="Y592" s="4"/>
      <c r="Z592" s="4"/>
      <c r="AA592" s="4" t="b">
        <f>IFERROR(__xludf.DUMMYFUNCTION("IF(X592="""",,REGEXMATCH(X592,""[א-ת]""))"),FALSE)</f>
        <v>0</v>
      </c>
      <c r="AB592" s="1">
        <v>25.46</v>
      </c>
      <c r="AC592" s="1">
        <v>41.67</v>
      </c>
      <c r="AD592" s="1">
        <v>0.715936854431084</v>
      </c>
      <c r="AE592" s="1">
        <v>0.2124</v>
      </c>
      <c r="AF592" s="1">
        <v>0.7184</v>
      </c>
      <c r="AG592" s="1">
        <v>6.337</v>
      </c>
      <c r="AH592" s="1">
        <v>6.781</v>
      </c>
      <c r="AI592" s="1" t="b">
        <v>0</v>
      </c>
      <c r="AJ592" s="1" t="b">
        <v>0</v>
      </c>
      <c r="AK592" s="1">
        <v>94.182</v>
      </c>
      <c r="AL592" s="1">
        <v>96.508</v>
      </c>
      <c r="AM592" s="1" t="b">
        <v>0</v>
      </c>
      <c r="AN592" s="1" t="b">
        <v>0</v>
      </c>
      <c r="AO592" s="1">
        <v>8.05</v>
      </c>
      <c r="AP592" s="1">
        <v>8.53399999999999</v>
      </c>
      <c r="AQ592" s="1" t="b">
        <v>0</v>
      </c>
      <c r="AR592" s="1" t="b">
        <v>0</v>
      </c>
      <c r="AS592" s="1">
        <v>86.9179999999999</v>
      </c>
      <c r="AT592" s="1">
        <v>87.152</v>
      </c>
      <c r="AU592" s="1" t="b">
        <v>0</v>
      </c>
      <c r="AV592" s="1" t="b">
        <v>0</v>
      </c>
      <c r="AW592" s="1">
        <v>9.61399999999999</v>
      </c>
      <c r="AX592" s="1">
        <v>11.026</v>
      </c>
      <c r="AY592" s="1" t="b">
        <v>0</v>
      </c>
      <c r="AZ592" s="1" t="b">
        <v>0</v>
      </c>
      <c r="BA592" s="1">
        <v>81.25</v>
      </c>
      <c r="BB592" s="1">
        <v>77.78</v>
      </c>
      <c r="BC592" s="1" t="b">
        <v>0</v>
      </c>
      <c r="BD592" s="1" t="b">
        <v>0</v>
      </c>
      <c r="BE592" s="1">
        <v>11.34</v>
      </c>
      <c r="BF592" s="1">
        <v>13.285</v>
      </c>
      <c r="BG592" s="1" t="b">
        <v>0</v>
      </c>
      <c r="BH592" s="1" t="b">
        <v>0</v>
      </c>
      <c r="BI592" s="1">
        <v>77.78</v>
      </c>
      <c r="BJ592" s="1">
        <v>75.0</v>
      </c>
      <c r="BK592" s="1" t="b">
        <v>0</v>
      </c>
      <c r="BL592" s="1" t="b">
        <v>0</v>
      </c>
      <c r="BM592" s="1">
        <v>13.121</v>
      </c>
      <c r="BN592" s="1">
        <v>14.568</v>
      </c>
      <c r="BO592" s="1" t="b">
        <v>0</v>
      </c>
      <c r="BP592" s="1" t="b">
        <v>0</v>
      </c>
      <c r="BQ592" s="1">
        <v>75.0</v>
      </c>
      <c r="BR592" s="1">
        <v>72.027</v>
      </c>
      <c r="BS592" s="1" t="b">
        <v>0</v>
      </c>
      <c r="BT592" s="1" t="b">
        <v>0</v>
      </c>
      <c r="BU592" s="1" t="s">
        <v>105</v>
      </c>
      <c r="BV592" s="1" t="s">
        <v>105</v>
      </c>
      <c r="BW592" s="1" t="s">
        <v>105</v>
      </c>
      <c r="BX592" s="1" t="s">
        <v>105</v>
      </c>
      <c r="BY592" s="1" t="s">
        <v>105</v>
      </c>
      <c r="BZ592" s="1" t="s">
        <v>105</v>
      </c>
      <c r="CA592" s="1" t="s">
        <v>105</v>
      </c>
      <c r="CB592" s="1" t="s">
        <v>105</v>
      </c>
      <c r="CC592" s="1" t="s">
        <v>105</v>
      </c>
      <c r="CD592" s="1" t="s">
        <v>105</v>
      </c>
      <c r="CE592" s="4"/>
      <c r="CF592" s="4"/>
    </row>
    <row r="593" hidden="1">
      <c r="A593" s="1" t="s">
        <v>82</v>
      </c>
      <c r="B593" s="1" t="s">
        <v>139</v>
      </c>
      <c r="C593" s="1">
        <v>24.0</v>
      </c>
      <c r="D593" s="5" t="s">
        <v>2602</v>
      </c>
      <c r="E593" s="1" t="s">
        <v>2603</v>
      </c>
      <c r="F593" s="1">
        <v>59.0</v>
      </c>
      <c r="G593" s="1">
        <v>0.6705</v>
      </c>
      <c r="H593" s="1" t="s">
        <v>2604</v>
      </c>
      <c r="I593" s="4" t="b">
        <f>IFERROR(__xludf.DUMMYFUNCTION("IF(H593="""",,REGEXMATCH(H593,""[א-ת]""))"),FALSE)</f>
        <v>0</v>
      </c>
      <c r="J593" s="4"/>
      <c r="K593" s="4"/>
      <c r="L593" s="1">
        <v>0.6705</v>
      </c>
      <c r="M593" s="1">
        <v>40.16</v>
      </c>
      <c r="N593" s="1">
        <v>42.37</v>
      </c>
      <c r="O593" s="1">
        <v>0.7181355932</v>
      </c>
      <c r="P593" s="4"/>
      <c r="Q593" s="4"/>
      <c r="R593" s="1" t="s">
        <v>96</v>
      </c>
      <c r="S593" s="1" t="s">
        <v>2603</v>
      </c>
      <c r="T593" s="1" t="s">
        <v>139</v>
      </c>
      <c r="U593" s="1">
        <v>25.0</v>
      </c>
      <c r="V593" s="5" t="s">
        <v>2602</v>
      </c>
      <c r="W593" s="1" t="s">
        <v>2603</v>
      </c>
      <c r="X593" s="1" t="s">
        <v>2605</v>
      </c>
      <c r="Y593" s="4"/>
      <c r="Z593" s="4"/>
      <c r="AA593" s="4" t="b">
        <f>IFERROR(__xludf.DUMMYFUNCTION("IF(X593="""",,REGEXMATCH(X593,""[א-ת]""))"),FALSE)</f>
        <v>0</v>
      </c>
      <c r="AB593" s="1">
        <v>23.49</v>
      </c>
      <c r="AC593" s="1">
        <v>57.63</v>
      </c>
      <c r="AD593" s="1">
        <v>0.389128261837747</v>
      </c>
      <c r="AE593" s="1">
        <v>0.6249</v>
      </c>
      <c r="AF593" s="1">
        <v>0.6705</v>
      </c>
      <c r="AG593" s="1">
        <v>6.337</v>
      </c>
      <c r="AH593" s="1">
        <v>6.781</v>
      </c>
      <c r="AI593" s="1" t="b">
        <v>0</v>
      </c>
      <c r="AJ593" s="1" t="b">
        <v>0</v>
      </c>
      <c r="AK593" s="1">
        <v>94.182</v>
      </c>
      <c r="AL593" s="1">
        <v>96.508</v>
      </c>
      <c r="AM593" s="1" t="b">
        <v>0</v>
      </c>
      <c r="AN593" s="1" t="b">
        <v>0</v>
      </c>
      <c r="AO593" s="1">
        <v>8.05</v>
      </c>
      <c r="AP593" s="1">
        <v>8.53399999999999</v>
      </c>
      <c r="AQ593" s="1" t="b">
        <v>0</v>
      </c>
      <c r="AR593" s="1" t="b">
        <v>0</v>
      </c>
      <c r="AS593" s="1">
        <v>86.9179999999999</v>
      </c>
      <c r="AT593" s="1">
        <v>87.152</v>
      </c>
      <c r="AU593" s="1" t="b">
        <v>0</v>
      </c>
      <c r="AV593" s="1" t="b">
        <v>0</v>
      </c>
      <c r="AW593" s="1">
        <v>9.61399999999999</v>
      </c>
      <c r="AX593" s="1">
        <v>11.026</v>
      </c>
      <c r="AY593" s="1" t="b">
        <v>0</v>
      </c>
      <c r="AZ593" s="1" t="b">
        <v>0</v>
      </c>
      <c r="BA593" s="1">
        <v>81.25</v>
      </c>
      <c r="BB593" s="1">
        <v>77.78</v>
      </c>
      <c r="BC593" s="1" t="b">
        <v>0</v>
      </c>
      <c r="BD593" s="1" t="b">
        <v>0</v>
      </c>
      <c r="BE593" s="1">
        <v>11.34</v>
      </c>
      <c r="BF593" s="1">
        <v>13.285</v>
      </c>
      <c r="BG593" s="1" t="b">
        <v>0</v>
      </c>
      <c r="BH593" s="1" t="b">
        <v>0</v>
      </c>
      <c r="BI593" s="1">
        <v>77.78</v>
      </c>
      <c r="BJ593" s="1">
        <v>75.0</v>
      </c>
      <c r="BK593" s="1" t="b">
        <v>0</v>
      </c>
      <c r="BL593" s="1" t="b">
        <v>0</v>
      </c>
      <c r="BM593" s="1">
        <v>13.121</v>
      </c>
      <c r="BN593" s="1">
        <v>14.568</v>
      </c>
      <c r="BO593" s="1" t="b">
        <v>0</v>
      </c>
      <c r="BP593" s="1" t="b">
        <v>0</v>
      </c>
      <c r="BQ593" s="1">
        <v>75.0</v>
      </c>
      <c r="BR593" s="1">
        <v>72.027</v>
      </c>
      <c r="BS593" s="1" t="b">
        <v>0</v>
      </c>
      <c r="BT593" s="1" t="b">
        <v>0</v>
      </c>
      <c r="BU593" s="1" t="s">
        <v>105</v>
      </c>
      <c r="BV593" s="1" t="s">
        <v>105</v>
      </c>
      <c r="BW593" s="1" t="s">
        <v>105</v>
      </c>
      <c r="BX593" s="1" t="s">
        <v>105</v>
      </c>
      <c r="BY593" s="1" t="s">
        <v>105</v>
      </c>
      <c r="BZ593" s="1" t="s">
        <v>105</v>
      </c>
      <c r="CA593" s="1" t="s">
        <v>105</v>
      </c>
      <c r="CB593" s="1" t="s">
        <v>105</v>
      </c>
      <c r="CC593" s="1" t="s">
        <v>105</v>
      </c>
      <c r="CD593" s="1" t="s">
        <v>105</v>
      </c>
      <c r="CE593" s="4"/>
      <c r="CF593" s="4"/>
    </row>
    <row r="594" hidden="1">
      <c r="A594" s="1" t="s">
        <v>82</v>
      </c>
      <c r="B594" s="1" t="s">
        <v>524</v>
      </c>
      <c r="C594" s="1">
        <v>12.0</v>
      </c>
      <c r="D594" s="5" t="s">
        <v>2606</v>
      </c>
      <c r="E594" s="1" t="s">
        <v>2607</v>
      </c>
      <c r="F594" s="1">
        <v>86.0</v>
      </c>
      <c r="G594" s="1">
        <v>-0.5499</v>
      </c>
      <c r="H594" s="1" t="s">
        <v>2608</v>
      </c>
      <c r="I594" s="4" t="b">
        <f>IFERROR(__xludf.DUMMYFUNCTION("IF(H594="""",,REGEXMATCH(H594,""[א-ת]""))"),FALSE)</f>
        <v>0</v>
      </c>
      <c r="J594" s="4"/>
      <c r="K594" s="4"/>
      <c r="L594" s="1">
        <v>0.3071</v>
      </c>
      <c r="M594" s="1">
        <v>40.34</v>
      </c>
      <c r="N594" s="1">
        <v>36.05</v>
      </c>
      <c r="O594" s="1">
        <v>0.4191860465</v>
      </c>
      <c r="P594" s="4"/>
      <c r="Q594" s="4"/>
      <c r="R594" s="1" t="s">
        <v>89</v>
      </c>
      <c r="S594" s="1" t="s">
        <v>2607</v>
      </c>
      <c r="T594" s="1" t="s">
        <v>524</v>
      </c>
      <c r="U594" s="1">
        <v>13.0</v>
      </c>
      <c r="V594" s="5" t="s">
        <v>2606</v>
      </c>
      <c r="W594" s="1" t="s">
        <v>2607</v>
      </c>
      <c r="X594" s="1" t="s">
        <v>2609</v>
      </c>
      <c r="Y594" s="4"/>
      <c r="Z594" s="4"/>
      <c r="AA594" s="4" t="b">
        <f>IFERROR(__xludf.DUMMYFUNCTION("IF(X594="""",,REGEXMATCH(X594,""[א-ת]""))"),FALSE)</f>
        <v>0</v>
      </c>
      <c r="AB594" s="1">
        <v>33.37</v>
      </c>
      <c r="AC594" s="1">
        <v>37.21</v>
      </c>
      <c r="AD594" s="1">
        <v>0.701454699312961</v>
      </c>
      <c r="AE594" s="1">
        <v>0.5423</v>
      </c>
      <c r="AF594" s="1">
        <v>-0.5499</v>
      </c>
      <c r="AG594" s="1">
        <v>6.337</v>
      </c>
      <c r="AH594" s="1">
        <v>6.781</v>
      </c>
      <c r="AI594" s="1" t="b">
        <v>0</v>
      </c>
      <c r="AJ594" s="1" t="b">
        <v>0</v>
      </c>
      <c r="AK594" s="1">
        <v>94.182</v>
      </c>
      <c r="AL594" s="1">
        <v>96.508</v>
      </c>
      <c r="AM594" s="1" t="b">
        <v>0</v>
      </c>
      <c r="AN594" s="1" t="b">
        <v>0</v>
      </c>
      <c r="AO594" s="1">
        <v>8.05</v>
      </c>
      <c r="AP594" s="1">
        <v>8.53399999999999</v>
      </c>
      <c r="AQ594" s="1" t="b">
        <v>0</v>
      </c>
      <c r="AR594" s="1" t="b">
        <v>0</v>
      </c>
      <c r="AS594" s="1">
        <v>86.9179999999999</v>
      </c>
      <c r="AT594" s="1">
        <v>87.152</v>
      </c>
      <c r="AU594" s="1" t="b">
        <v>0</v>
      </c>
      <c r="AV594" s="1" t="b">
        <v>0</v>
      </c>
      <c r="AW594" s="1">
        <v>9.61399999999999</v>
      </c>
      <c r="AX594" s="1">
        <v>11.026</v>
      </c>
      <c r="AY594" s="1" t="b">
        <v>0</v>
      </c>
      <c r="AZ594" s="1" t="b">
        <v>0</v>
      </c>
      <c r="BA594" s="1">
        <v>81.25</v>
      </c>
      <c r="BB594" s="1">
        <v>77.78</v>
      </c>
      <c r="BC594" s="1" t="b">
        <v>0</v>
      </c>
      <c r="BD594" s="1" t="b">
        <v>0</v>
      </c>
      <c r="BE594" s="1">
        <v>11.34</v>
      </c>
      <c r="BF594" s="1">
        <v>13.285</v>
      </c>
      <c r="BG594" s="1" t="b">
        <v>0</v>
      </c>
      <c r="BH594" s="1" t="b">
        <v>0</v>
      </c>
      <c r="BI594" s="1">
        <v>77.78</v>
      </c>
      <c r="BJ594" s="1">
        <v>75.0</v>
      </c>
      <c r="BK594" s="1" t="b">
        <v>0</v>
      </c>
      <c r="BL594" s="1" t="b">
        <v>0</v>
      </c>
      <c r="BM594" s="1">
        <v>13.121</v>
      </c>
      <c r="BN594" s="1">
        <v>14.568</v>
      </c>
      <c r="BO594" s="1" t="b">
        <v>0</v>
      </c>
      <c r="BP594" s="1" t="b">
        <v>0</v>
      </c>
      <c r="BQ594" s="1">
        <v>75.0</v>
      </c>
      <c r="BR594" s="1">
        <v>72.027</v>
      </c>
      <c r="BS594" s="1" t="b">
        <v>0</v>
      </c>
      <c r="BT594" s="1" t="b">
        <v>0</v>
      </c>
      <c r="BU594" s="1" t="s">
        <v>105</v>
      </c>
      <c r="BV594" s="1" t="s">
        <v>105</v>
      </c>
      <c r="BW594" s="1" t="s">
        <v>105</v>
      </c>
      <c r="BX594" s="1" t="s">
        <v>105</v>
      </c>
      <c r="BY594" s="1" t="s">
        <v>105</v>
      </c>
      <c r="BZ594" s="1" t="s">
        <v>105</v>
      </c>
      <c r="CA594" s="1" t="s">
        <v>105</v>
      </c>
      <c r="CB594" s="1" t="s">
        <v>105</v>
      </c>
      <c r="CC594" s="1" t="s">
        <v>105</v>
      </c>
      <c r="CD594" s="1" t="s">
        <v>105</v>
      </c>
      <c r="CE594" s="4"/>
      <c r="CF594" s="4"/>
    </row>
    <row r="595" hidden="1">
      <c r="A595" s="1" t="s">
        <v>82</v>
      </c>
      <c r="B595" s="1" t="s">
        <v>524</v>
      </c>
      <c r="C595" s="1">
        <v>10.0</v>
      </c>
      <c r="D595" s="5" t="s">
        <v>2610</v>
      </c>
      <c r="E595" s="1" t="s">
        <v>2611</v>
      </c>
      <c r="F595" s="1">
        <v>35.0</v>
      </c>
      <c r="G595" s="1">
        <v>-0.5927</v>
      </c>
      <c r="H595" s="1" t="s">
        <v>2612</v>
      </c>
      <c r="I595" s="4" t="b">
        <f>IFERROR(__xludf.DUMMYFUNCTION("IF(H595="""",,REGEXMATCH(H595,""[א-ת]""))"),FALSE)</f>
        <v>0</v>
      </c>
      <c r="J595" s="4"/>
      <c r="K595" s="4"/>
      <c r="L595" s="1">
        <v>-0.5927</v>
      </c>
      <c r="M595" s="1">
        <v>40.4</v>
      </c>
      <c r="N595" s="1">
        <v>37.14</v>
      </c>
      <c r="O595" s="1">
        <v>1.061142857</v>
      </c>
      <c r="P595" s="4"/>
      <c r="Q595" s="4"/>
      <c r="R595" s="1" t="s">
        <v>89</v>
      </c>
      <c r="S595" s="1" t="s">
        <v>2611</v>
      </c>
      <c r="T595" s="1" t="s">
        <v>524</v>
      </c>
      <c r="U595" s="1">
        <v>11.0</v>
      </c>
      <c r="V595" s="5" t="s">
        <v>2610</v>
      </c>
      <c r="W595" s="1" t="s">
        <v>2611</v>
      </c>
      <c r="X595" s="1" t="s">
        <v>2613</v>
      </c>
      <c r="Y595" s="4"/>
      <c r="Z595" s="4"/>
      <c r="AA595" s="4" t="b">
        <f>IFERROR(__xludf.DUMMYFUNCTION("IF(X595="""",,REGEXMATCH(X595,""[א-ת]""))"),FALSE)</f>
        <v>0</v>
      </c>
      <c r="AB595" s="1">
        <v>32.55</v>
      </c>
      <c r="AC595" s="1">
        <v>45.71</v>
      </c>
      <c r="AD595" s="1">
        <v>0.534979110623751</v>
      </c>
      <c r="AE595" s="1">
        <v>0.0</v>
      </c>
      <c r="AF595" s="1">
        <v>-0.5927</v>
      </c>
      <c r="AG595" s="1">
        <v>6.337</v>
      </c>
      <c r="AH595" s="1">
        <v>6.781</v>
      </c>
      <c r="AI595" s="1" t="b">
        <v>0</v>
      </c>
      <c r="AJ595" s="1" t="b">
        <v>0</v>
      </c>
      <c r="AK595" s="1">
        <v>94.182</v>
      </c>
      <c r="AL595" s="1">
        <v>96.508</v>
      </c>
      <c r="AM595" s="1" t="b">
        <v>0</v>
      </c>
      <c r="AN595" s="1" t="b">
        <v>0</v>
      </c>
      <c r="AO595" s="1">
        <v>8.05</v>
      </c>
      <c r="AP595" s="1">
        <v>8.53399999999999</v>
      </c>
      <c r="AQ595" s="1" t="b">
        <v>0</v>
      </c>
      <c r="AR595" s="1" t="b">
        <v>0</v>
      </c>
      <c r="AS595" s="1">
        <v>86.9179999999999</v>
      </c>
      <c r="AT595" s="1">
        <v>87.152</v>
      </c>
      <c r="AU595" s="1" t="b">
        <v>0</v>
      </c>
      <c r="AV595" s="1" t="b">
        <v>0</v>
      </c>
      <c r="AW595" s="1">
        <v>9.61399999999999</v>
      </c>
      <c r="AX595" s="1">
        <v>11.026</v>
      </c>
      <c r="AY595" s="1" t="b">
        <v>0</v>
      </c>
      <c r="AZ595" s="1" t="b">
        <v>0</v>
      </c>
      <c r="BA595" s="1">
        <v>81.25</v>
      </c>
      <c r="BB595" s="1">
        <v>77.78</v>
      </c>
      <c r="BC595" s="1" t="b">
        <v>0</v>
      </c>
      <c r="BD595" s="1" t="b">
        <v>0</v>
      </c>
      <c r="BE595" s="1">
        <v>11.34</v>
      </c>
      <c r="BF595" s="1">
        <v>13.285</v>
      </c>
      <c r="BG595" s="1" t="b">
        <v>0</v>
      </c>
      <c r="BH595" s="1" t="b">
        <v>0</v>
      </c>
      <c r="BI595" s="1">
        <v>77.78</v>
      </c>
      <c r="BJ595" s="1">
        <v>75.0</v>
      </c>
      <c r="BK595" s="1" t="b">
        <v>0</v>
      </c>
      <c r="BL595" s="1" t="b">
        <v>0</v>
      </c>
      <c r="BM595" s="1">
        <v>13.121</v>
      </c>
      <c r="BN595" s="1">
        <v>14.568</v>
      </c>
      <c r="BO595" s="1" t="b">
        <v>0</v>
      </c>
      <c r="BP595" s="1" t="b">
        <v>0</v>
      </c>
      <c r="BQ595" s="1">
        <v>75.0</v>
      </c>
      <c r="BR595" s="1">
        <v>72.027</v>
      </c>
      <c r="BS595" s="1" t="b">
        <v>0</v>
      </c>
      <c r="BT595" s="1" t="b">
        <v>0</v>
      </c>
      <c r="BU595" s="1" t="s">
        <v>105</v>
      </c>
      <c r="BV595" s="1" t="s">
        <v>105</v>
      </c>
      <c r="BW595" s="1" t="s">
        <v>105</v>
      </c>
      <c r="BX595" s="1" t="s">
        <v>105</v>
      </c>
      <c r="BY595" s="1" t="s">
        <v>105</v>
      </c>
      <c r="BZ595" s="1" t="s">
        <v>105</v>
      </c>
      <c r="CA595" s="1" t="s">
        <v>105</v>
      </c>
      <c r="CB595" s="1" t="s">
        <v>105</v>
      </c>
      <c r="CC595" s="1" t="s">
        <v>105</v>
      </c>
      <c r="CD595" s="1" t="s">
        <v>105</v>
      </c>
      <c r="CE595" s="4"/>
      <c r="CF595" s="4"/>
    </row>
    <row r="596" hidden="1">
      <c r="A596" s="1" t="s">
        <v>82</v>
      </c>
      <c r="B596" s="1" t="s">
        <v>158</v>
      </c>
      <c r="C596" s="1">
        <v>3.0</v>
      </c>
      <c r="D596" s="5" t="s">
        <v>2614</v>
      </c>
      <c r="E596" s="1" t="s">
        <v>2615</v>
      </c>
      <c r="F596" s="1">
        <v>62.0</v>
      </c>
      <c r="G596" s="1">
        <v>0.7783</v>
      </c>
      <c r="H596" s="1" t="s">
        <v>2616</v>
      </c>
      <c r="I596" s="4" t="b">
        <f>IFERROR(__xludf.DUMMYFUNCTION("IF(H596="""",,REGEXMATCH(H596,""[א-ת]""))"),FALSE)</f>
        <v>0</v>
      </c>
      <c r="J596" s="4"/>
      <c r="K596" s="4"/>
      <c r="L596" s="1">
        <v>0.7783</v>
      </c>
      <c r="M596" s="1">
        <v>40.81</v>
      </c>
      <c r="N596" s="1">
        <v>45.16</v>
      </c>
      <c r="O596" s="1">
        <v>0.7283870968</v>
      </c>
      <c r="P596" s="4"/>
      <c r="Q596" s="4"/>
      <c r="R596" s="1" t="s">
        <v>89</v>
      </c>
      <c r="S596" s="1" t="s">
        <v>2615</v>
      </c>
      <c r="T596" s="1" t="s">
        <v>158</v>
      </c>
      <c r="U596" s="1">
        <v>4.0</v>
      </c>
      <c r="V596" s="5" t="s">
        <v>2614</v>
      </c>
      <c r="W596" s="1" t="s">
        <v>2615</v>
      </c>
      <c r="X596" s="1" t="s">
        <v>2617</v>
      </c>
      <c r="Y596" s="4"/>
      <c r="Z596" s="4"/>
      <c r="AA596" s="4" t="b">
        <f>IFERROR(__xludf.DUMMYFUNCTION("IF(X596="""",,REGEXMATCH(X596,""[א-ת]""))"),FALSE)</f>
        <v>0</v>
      </c>
      <c r="AB596" s="1">
        <v>37.54</v>
      </c>
      <c r="AC596" s="1">
        <v>40.32</v>
      </c>
      <c r="AD596" s="1">
        <v>0.670710387286123</v>
      </c>
      <c r="AE596" s="1">
        <v>0.7783</v>
      </c>
      <c r="AF596" s="1">
        <v>0.7783</v>
      </c>
      <c r="AG596" s="1">
        <v>6.337</v>
      </c>
      <c r="AH596" s="1">
        <v>6.781</v>
      </c>
      <c r="AI596" s="1" t="b">
        <v>0</v>
      </c>
      <c r="AJ596" s="1" t="b">
        <v>0</v>
      </c>
      <c r="AK596" s="1">
        <v>94.182</v>
      </c>
      <c r="AL596" s="1">
        <v>96.508</v>
      </c>
      <c r="AM596" s="1" t="b">
        <v>0</v>
      </c>
      <c r="AN596" s="1" t="b">
        <v>0</v>
      </c>
      <c r="AO596" s="1">
        <v>8.05</v>
      </c>
      <c r="AP596" s="1">
        <v>8.53399999999999</v>
      </c>
      <c r="AQ596" s="1" t="b">
        <v>0</v>
      </c>
      <c r="AR596" s="1" t="b">
        <v>0</v>
      </c>
      <c r="AS596" s="1">
        <v>86.9179999999999</v>
      </c>
      <c r="AT596" s="1">
        <v>87.152</v>
      </c>
      <c r="AU596" s="1" t="b">
        <v>0</v>
      </c>
      <c r="AV596" s="1" t="b">
        <v>0</v>
      </c>
      <c r="AW596" s="1">
        <v>9.61399999999999</v>
      </c>
      <c r="AX596" s="1">
        <v>11.026</v>
      </c>
      <c r="AY596" s="1" t="b">
        <v>0</v>
      </c>
      <c r="AZ596" s="1" t="b">
        <v>0</v>
      </c>
      <c r="BA596" s="1">
        <v>81.25</v>
      </c>
      <c r="BB596" s="1">
        <v>77.78</v>
      </c>
      <c r="BC596" s="1" t="b">
        <v>0</v>
      </c>
      <c r="BD596" s="1" t="b">
        <v>0</v>
      </c>
      <c r="BE596" s="1">
        <v>11.34</v>
      </c>
      <c r="BF596" s="1">
        <v>13.285</v>
      </c>
      <c r="BG596" s="1" t="b">
        <v>0</v>
      </c>
      <c r="BH596" s="1" t="b">
        <v>0</v>
      </c>
      <c r="BI596" s="1">
        <v>77.78</v>
      </c>
      <c r="BJ596" s="1">
        <v>75.0</v>
      </c>
      <c r="BK596" s="1" t="b">
        <v>0</v>
      </c>
      <c r="BL596" s="1" t="b">
        <v>0</v>
      </c>
      <c r="BM596" s="1">
        <v>13.121</v>
      </c>
      <c r="BN596" s="1">
        <v>14.568</v>
      </c>
      <c r="BO596" s="1" t="b">
        <v>0</v>
      </c>
      <c r="BP596" s="1" t="b">
        <v>0</v>
      </c>
      <c r="BQ596" s="1">
        <v>75.0</v>
      </c>
      <c r="BR596" s="1">
        <v>72.027</v>
      </c>
      <c r="BS596" s="1" t="b">
        <v>0</v>
      </c>
      <c r="BT596" s="1" t="b">
        <v>0</v>
      </c>
      <c r="BU596" s="1" t="s">
        <v>105</v>
      </c>
      <c r="BV596" s="1" t="s">
        <v>105</v>
      </c>
      <c r="BW596" s="1" t="s">
        <v>105</v>
      </c>
      <c r="BX596" s="1" t="s">
        <v>105</v>
      </c>
      <c r="BY596" s="1" t="s">
        <v>105</v>
      </c>
      <c r="BZ596" s="1" t="s">
        <v>105</v>
      </c>
      <c r="CA596" s="1" t="s">
        <v>105</v>
      </c>
      <c r="CB596" s="1" t="s">
        <v>105</v>
      </c>
      <c r="CC596" s="1" t="s">
        <v>105</v>
      </c>
      <c r="CD596" s="1" t="s">
        <v>105</v>
      </c>
      <c r="CE596" s="4"/>
      <c r="CF596" s="4"/>
    </row>
    <row r="597" hidden="1">
      <c r="A597" s="1" t="s">
        <v>82</v>
      </c>
      <c r="B597" s="1" t="s">
        <v>92</v>
      </c>
      <c r="C597" s="1">
        <v>30.0</v>
      </c>
      <c r="D597" s="5" t="s">
        <v>2618</v>
      </c>
      <c r="E597" s="1" t="s">
        <v>2619</v>
      </c>
      <c r="F597" s="1">
        <v>29.0</v>
      </c>
      <c r="G597" s="1">
        <v>0.8658</v>
      </c>
      <c r="H597" s="1" t="s">
        <v>2620</v>
      </c>
      <c r="I597" s="4" t="b">
        <f>IFERROR(__xludf.DUMMYFUNCTION("IF(H597="""",,REGEXMATCH(H597,""[א-ת]""))"),FALSE)</f>
        <v>0</v>
      </c>
      <c r="J597" s="1" t="s">
        <v>2621</v>
      </c>
      <c r="K597" s="4"/>
      <c r="L597" s="1">
        <v>0.8658</v>
      </c>
      <c r="M597" s="1">
        <v>41.1</v>
      </c>
      <c r="N597" s="1">
        <v>27.59</v>
      </c>
      <c r="O597" s="1">
        <v>0.9513793103</v>
      </c>
      <c r="P597" s="4"/>
      <c r="Q597" s="4"/>
      <c r="R597" s="1" t="s">
        <v>96</v>
      </c>
      <c r="S597" s="1" t="s">
        <v>2619</v>
      </c>
      <c r="T597" s="1" t="s">
        <v>92</v>
      </c>
      <c r="U597" s="1">
        <v>31.0</v>
      </c>
      <c r="V597" s="5" t="s">
        <v>2618</v>
      </c>
      <c r="W597" s="1" t="s">
        <v>2619</v>
      </c>
      <c r="X597" s="1" t="s">
        <v>2622</v>
      </c>
      <c r="Y597" s="4"/>
      <c r="Z597" s="4"/>
      <c r="AA597" s="4" t="b">
        <f>IFERROR(__xludf.DUMMYFUNCTION("IF(X597="""",,REGEXMATCH(X597,""[א-ת]""))"),FALSE)</f>
        <v>0</v>
      </c>
      <c r="AB597" s="1">
        <v>46.83</v>
      </c>
      <c r="AC597" s="1">
        <v>34.48</v>
      </c>
      <c r="AD597" s="1">
        <v>0.701935632930549</v>
      </c>
      <c r="AE597" s="1">
        <v>0.7003</v>
      </c>
      <c r="AF597" s="1">
        <v>0.8658</v>
      </c>
      <c r="AG597" s="1">
        <v>6.337</v>
      </c>
      <c r="AH597" s="1">
        <v>6.781</v>
      </c>
      <c r="AI597" s="1" t="b">
        <v>0</v>
      </c>
      <c r="AJ597" s="1" t="b">
        <v>0</v>
      </c>
      <c r="AK597" s="1">
        <v>94.182</v>
      </c>
      <c r="AL597" s="1">
        <v>96.508</v>
      </c>
      <c r="AM597" s="1" t="b">
        <v>0</v>
      </c>
      <c r="AN597" s="1" t="b">
        <v>0</v>
      </c>
      <c r="AO597" s="1">
        <v>8.05</v>
      </c>
      <c r="AP597" s="1">
        <v>8.53399999999999</v>
      </c>
      <c r="AQ597" s="1" t="b">
        <v>0</v>
      </c>
      <c r="AR597" s="1" t="b">
        <v>0</v>
      </c>
      <c r="AS597" s="1">
        <v>86.9179999999999</v>
      </c>
      <c r="AT597" s="1">
        <v>87.152</v>
      </c>
      <c r="AU597" s="1" t="b">
        <v>0</v>
      </c>
      <c r="AV597" s="1" t="b">
        <v>0</v>
      </c>
      <c r="AW597" s="1">
        <v>9.61399999999999</v>
      </c>
      <c r="AX597" s="1">
        <v>11.026</v>
      </c>
      <c r="AY597" s="1" t="b">
        <v>0</v>
      </c>
      <c r="AZ597" s="1" t="b">
        <v>0</v>
      </c>
      <c r="BA597" s="1">
        <v>81.25</v>
      </c>
      <c r="BB597" s="1">
        <v>77.78</v>
      </c>
      <c r="BC597" s="1" t="b">
        <v>0</v>
      </c>
      <c r="BD597" s="1" t="b">
        <v>0</v>
      </c>
      <c r="BE597" s="1">
        <v>11.34</v>
      </c>
      <c r="BF597" s="1">
        <v>13.285</v>
      </c>
      <c r="BG597" s="1" t="b">
        <v>0</v>
      </c>
      <c r="BH597" s="1" t="b">
        <v>0</v>
      </c>
      <c r="BI597" s="1">
        <v>77.78</v>
      </c>
      <c r="BJ597" s="1">
        <v>75.0</v>
      </c>
      <c r="BK597" s="1" t="b">
        <v>0</v>
      </c>
      <c r="BL597" s="1" t="b">
        <v>0</v>
      </c>
      <c r="BM597" s="1">
        <v>13.121</v>
      </c>
      <c r="BN597" s="1">
        <v>14.568</v>
      </c>
      <c r="BO597" s="1" t="b">
        <v>0</v>
      </c>
      <c r="BP597" s="1" t="b">
        <v>0</v>
      </c>
      <c r="BQ597" s="1">
        <v>75.0</v>
      </c>
      <c r="BR597" s="1">
        <v>72.027</v>
      </c>
      <c r="BS597" s="1" t="b">
        <v>0</v>
      </c>
      <c r="BT597" s="1" t="b">
        <v>0</v>
      </c>
      <c r="BU597" s="1" t="s">
        <v>105</v>
      </c>
      <c r="BV597" s="1" t="s">
        <v>105</v>
      </c>
      <c r="BW597" s="1" t="s">
        <v>105</v>
      </c>
      <c r="BX597" s="1" t="s">
        <v>105</v>
      </c>
      <c r="BY597" s="1" t="s">
        <v>105</v>
      </c>
      <c r="BZ597" s="1" t="s">
        <v>105</v>
      </c>
      <c r="CA597" s="1" t="s">
        <v>105</v>
      </c>
      <c r="CB597" s="1" t="s">
        <v>105</v>
      </c>
      <c r="CC597" s="1" t="s">
        <v>105</v>
      </c>
      <c r="CD597" s="1" t="s">
        <v>105</v>
      </c>
      <c r="CE597" s="4"/>
      <c r="CF597" s="4"/>
    </row>
    <row r="598" hidden="1">
      <c r="A598" s="1" t="s">
        <v>82</v>
      </c>
      <c r="B598" s="1" t="s">
        <v>139</v>
      </c>
      <c r="C598" s="1">
        <v>17.0</v>
      </c>
      <c r="D598" s="5" t="s">
        <v>2623</v>
      </c>
      <c r="E598" s="1" t="s">
        <v>2624</v>
      </c>
      <c r="F598" s="1">
        <v>15.0</v>
      </c>
      <c r="G598" s="1">
        <v>0.5994</v>
      </c>
      <c r="H598" s="1" t="s">
        <v>2625</v>
      </c>
      <c r="I598" s="4" t="b">
        <f>IFERROR(__xludf.DUMMYFUNCTION("IF(H598="""",,REGEXMATCH(H598,""[א-ת]""))"),FALSE)</f>
        <v>0</v>
      </c>
      <c r="J598" s="4"/>
      <c r="K598" s="4"/>
      <c r="L598" s="1">
        <v>0.5994</v>
      </c>
      <c r="M598" s="1">
        <v>41.35</v>
      </c>
      <c r="N598" s="1">
        <v>46.67</v>
      </c>
      <c r="O598" s="1">
        <v>3.111333333</v>
      </c>
      <c r="P598" s="4"/>
      <c r="Q598" s="4"/>
      <c r="R598" s="1" t="s">
        <v>96</v>
      </c>
      <c r="S598" s="1" t="s">
        <v>2624</v>
      </c>
      <c r="T598" s="1" t="s">
        <v>139</v>
      </c>
      <c r="U598" s="1">
        <v>18.0</v>
      </c>
      <c r="V598" s="5" t="s">
        <v>2623</v>
      </c>
      <c r="W598" s="1" t="s">
        <v>2624</v>
      </c>
      <c r="X598" s="1" t="s">
        <v>2626</v>
      </c>
      <c r="Y598" s="4"/>
      <c r="Z598" s="4"/>
      <c r="AA598" s="4" t="b">
        <f>IFERROR(__xludf.DUMMYFUNCTION("IF(X598="""",,REGEXMATCH(X598,""[א-ת]""))"),FALSE)</f>
        <v>0</v>
      </c>
      <c r="AB598" s="1">
        <v>15.89</v>
      </c>
      <c r="AC598" s="1">
        <v>66.67</v>
      </c>
      <c r="AD598" s="1">
        <v>0.595815293944305</v>
      </c>
      <c r="AE598" s="1">
        <v>0.4215</v>
      </c>
      <c r="AF598" s="1">
        <v>0.5994</v>
      </c>
      <c r="AG598" s="1">
        <v>6.337</v>
      </c>
      <c r="AH598" s="1">
        <v>6.781</v>
      </c>
      <c r="AI598" s="1" t="b">
        <v>0</v>
      </c>
      <c r="AJ598" s="1" t="b">
        <v>0</v>
      </c>
      <c r="AK598" s="1">
        <v>94.182</v>
      </c>
      <c r="AL598" s="1">
        <v>96.508</v>
      </c>
      <c r="AM598" s="1" t="b">
        <v>0</v>
      </c>
      <c r="AN598" s="1" t="b">
        <v>0</v>
      </c>
      <c r="AO598" s="1">
        <v>8.05</v>
      </c>
      <c r="AP598" s="1">
        <v>8.53399999999999</v>
      </c>
      <c r="AQ598" s="1" t="b">
        <v>0</v>
      </c>
      <c r="AR598" s="1" t="b">
        <v>0</v>
      </c>
      <c r="AS598" s="1">
        <v>86.9179999999999</v>
      </c>
      <c r="AT598" s="1">
        <v>87.152</v>
      </c>
      <c r="AU598" s="1" t="b">
        <v>0</v>
      </c>
      <c r="AV598" s="1" t="b">
        <v>0</v>
      </c>
      <c r="AW598" s="1">
        <v>9.61399999999999</v>
      </c>
      <c r="AX598" s="1">
        <v>11.026</v>
      </c>
      <c r="AY598" s="1" t="b">
        <v>0</v>
      </c>
      <c r="AZ598" s="1" t="b">
        <v>0</v>
      </c>
      <c r="BA598" s="1">
        <v>81.25</v>
      </c>
      <c r="BB598" s="1">
        <v>77.78</v>
      </c>
      <c r="BC598" s="1" t="b">
        <v>0</v>
      </c>
      <c r="BD598" s="1" t="b">
        <v>0</v>
      </c>
      <c r="BE598" s="1">
        <v>11.34</v>
      </c>
      <c r="BF598" s="1">
        <v>13.285</v>
      </c>
      <c r="BG598" s="1" t="b">
        <v>0</v>
      </c>
      <c r="BH598" s="1" t="b">
        <v>0</v>
      </c>
      <c r="BI598" s="1">
        <v>77.78</v>
      </c>
      <c r="BJ598" s="1">
        <v>75.0</v>
      </c>
      <c r="BK598" s="1" t="b">
        <v>0</v>
      </c>
      <c r="BL598" s="1" t="b">
        <v>0</v>
      </c>
      <c r="BM598" s="1">
        <v>13.121</v>
      </c>
      <c r="BN598" s="1">
        <v>14.568</v>
      </c>
      <c r="BO598" s="1" t="b">
        <v>0</v>
      </c>
      <c r="BP598" s="1" t="b">
        <v>0</v>
      </c>
      <c r="BQ598" s="1">
        <v>75.0</v>
      </c>
      <c r="BR598" s="1">
        <v>72.027</v>
      </c>
      <c r="BS598" s="1" t="b">
        <v>0</v>
      </c>
      <c r="BT598" s="1" t="b">
        <v>0</v>
      </c>
      <c r="BU598" s="1" t="s">
        <v>105</v>
      </c>
      <c r="BV598" s="1" t="s">
        <v>105</v>
      </c>
      <c r="BW598" s="1" t="s">
        <v>105</v>
      </c>
      <c r="BX598" s="1" t="s">
        <v>105</v>
      </c>
      <c r="BY598" s="1" t="s">
        <v>105</v>
      </c>
      <c r="BZ598" s="1" t="s">
        <v>105</v>
      </c>
      <c r="CA598" s="1" t="s">
        <v>105</v>
      </c>
      <c r="CB598" s="1" t="s">
        <v>105</v>
      </c>
      <c r="CC598" s="1" t="s">
        <v>105</v>
      </c>
      <c r="CD598" s="1" t="s">
        <v>105</v>
      </c>
      <c r="CE598" s="4"/>
      <c r="CF598" s="4"/>
    </row>
    <row r="599" hidden="1">
      <c r="A599" s="1" t="s">
        <v>82</v>
      </c>
      <c r="B599" s="1" t="s">
        <v>176</v>
      </c>
      <c r="C599" s="1">
        <v>6.0</v>
      </c>
      <c r="D599" s="5" t="s">
        <v>2627</v>
      </c>
      <c r="E599" s="1" t="s">
        <v>2628</v>
      </c>
      <c r="F599" s="1">
        <v>36.0</v>
      </c>
      <c r="G599" s="1">
        <v>0.0</v>
      </c>
      <c r="H599" s="1" t="s">
        <v>2629</v>
      </c>
      <c r="I599" s="4" t="b">
        <f>IFERROR(__xludf.DUMMYFUNCTION("IF(H599="""",,REGEXMATCH(H599,""[א-ת]""))"),FALSE)</f>
        <v>0</v>
      </c>
      <c r="J599" s="4"/>
      <c r="K599" s="4"/>
      <c r="L599" s="1">
        <v>0.0</v>
      </c>
      <c r="M599" s="1">
        <v>42.09</v>
      </c>
      <c r="N599" s="1">
        <v>47.22</v>
      </c>
      <c r="O599" s="1">
        <v>1.311666667</v>
      </c>
      <c r="P599" s="4"/>
      <c r="Q599" s="4"/>
      <c r="R599" s="1" t="s">
        <v>89</v>
      </c>
      <c r="S599" s="1" t="s">
        <v>2628</v>
      </c>
      <c r="T599" s="1" t="s">
        <v>176</v>
      </c>
      <c r="U599" s="1">
        <v>7.0</v>
      </c>
      <c r="V599" s="5" t="s">
        <v>2627</v>
      </c>
      <c r="W599" s="1" t="s">
        <v>2628</v>
      </c>
      <c r="X599" s="1" t="s">
        <v>2630</v>
      </c>
      <c r="Y599" s="4"/>
      <c r="Z599" s="4"/>
      <c r="AA599" s="4" t="b">
        <f>IFERROR(__xludf.DUMMYFUNCTION("IF(X599="""",,REGEXMATCH(X599,""[א-ת]""))"),TRUE)</f>
        <v>1</v>
      </c>
      <c r="AB599" s="1">
        <v>20.29</v>
      </c>
      <c r="AC599" s="1">
        <v>108.33</v>
      </c>
      <c r="AD599" s="1">
        <v>0.71486871723556</v>
      </c>
      <c r="AE599" s="1">
        <v>0.0</v>
      </c>
      <c r="AF599" s="1">
        <v>0.0</v>
      </c>
      <c r="AG599" s="1">
        <v>6.337</v>
      </c>
      <c r="AH599" s="1">
        <v>6.781</v>
      </c>
      <c r="AI599" s="1" t="b">
        <v>0</v>
      </c>
      <c r="AJ599" s="1" t="b">
        <v>0</v>
      </c>
      <c r="AK599" s="1">
        <v>94.182</v>
      </c>
      <c r="AL599" s="1">
        <v>96.508</v>
      </c>
      <c r="AM599" s="1" t="b">
        <v>0</v>
      </c>
      <c r="AN599" s="1" t="b">
        <v>1</v>
      </c>
      <c r="AO599" s="1">
        <v>8.05</v>
      </c>
      <c r="AP599" s="1">
        <v>8.53399999999999</v>
      </c>
      <c r="AQ599" s="1" t="b">
        <v>0</v>
      </c>
      <c r="AR599" s="1" t="b">
        <v>0</v>
      </c>
      <c r="AS599" s="1">
        <v>86.9179999999999</v>
      </c>
      <c r="AT599" s="1">
        <v>87.152</v>
      </c>
      <c r="AU599" s="1" t="b">
        <v>0</v>
      </c>
      <c r="AV599" s="1" t="b">
        <v>1</v>
      </c>
      <c r="AW599" s="1">
        <v>9.61399999999999</v>
      </c>
      <c r="AX599" s="1">
        <v>11.026</v>
      </c>
      <c r="AY599" s="1" t="b">
        <v>0</v>
      </c>
      <c r="AZ599" s="1" t="b">
        <v>0</v>
      </c>
      <c r="BA599" s="1">
        <v>81.25</v>
      </c>
      <c r="BB599" s="1">
        <v>77.78</v>
      </c>
      <c r="BC599" s="1" t="b">
        <v>0</v>
      </c>
      <c r="BD599" s="1" t="b">
        <v>1</v>
      </c>
      <c r="BE599" s="1">
        <v>11.34</v>
      </c>
      <c r="BF599" s="1">
        <v>13.285</v>
      </c>
      <c r="BG599" s="1" t="b">
        <v>0</v>
      </c>
      <c r="BH599" s="1" t="b">
        <v>0</v>
      </c>
      <c r="BI599" s="1">
        <v>77.78</v>
      </c>
      <c r="BJ599" s="1">
        <v>75.0</v>
      </c>
      <c r="BK599" s="1" t="b">
        <v>0</v>
      </c>
      <c r="BL599" s="1" t="b">
        <v>1</v>
      </c>
      <c r="BM599" s="1">
        <v>13.121</v>
      </c>
      <c r="BN599" s="1">
        <v>14.568</v>
      </c>
      <c r="BO599" s="1" t="b">
        <v>0</v>
      </c>
      <c r="BP599" s="1" t="b">
        <v>0</v>
      </c>
      <c r="BQ599" s="1">
        <v>75.0</v>
      </c>
      <c r="BR599" s="1">
        <v>72.027</v>
      </c>
      <c r="BS599" s="1" t="b">
        <v>0</v>
      </c>
      <c r="BT599" s="1" t="b">
        <v>1</v>
      </c>
      <c r="BU599" s="1" t="s">
        <v>105</v>
      </c>
      <c r="BV599" s="1" t="s">
        <v>157</v>
      </c>
      <c r="BW599" s="1" t="s">
        <v>105</v>
      </c>
      <c r="BX599" s="1" t="s">
        <v>157</v>
      </c>
      <c r="BY599" s="1" t="s">
        <v>105</v>
      </c>
      <c r="BZ599" s="1" t="s">
        <v>157</v>
      </c>
      <c r="CA599" s="1" t="s">
        <v>105</v>
      </c>
      <c r="CB599" s="1" t="s">
        <v>157</v>
      </c>
      <c r="CC599" s="1" t="s">
        <v>105</v>
      </c>
      <c r="CD599" s="1" t="s">
        <v>157</v>
      </c>
      <c r="CE599" s="4"/>
      <c r="CF599" s="4"/>
    </row>
    <row r="600" hidden="1">
      <c r="A600" s="1" t="s">
        <v>82</v>
      </c>
      <c r="B600" s="1" t="s">
        <v>111</v>
      </c>
      <c r="C600" s="1">
        <v>34.0</v>
      </c>
      <c r="D600" s="5" t="s">
        <v>2631</v>
      </c>
      <c r="E600" s="1" t="s">
        <v>2632</v>
      </c>
      <c r="F600" s="1">
        <v>70.0</v>
      </c>
      <c r="G600" s="1">
        <v>0.8519</v>
      </c>
      <c r="H600" s="1" t="s">
        <v>2633</v>
      </c>
      <c r="I600" s="4" t="b">
        <f>IFERROR(__xludf.DUMMYFUNCTION("IF(H600="""",,REGEXMATCH(H600,""[א-ת]""))"),FALSE)</f>
        <v>0</v>
      </c>
      <c r="J600" s="4"/>
      <c r="K600" s="4"/>
      <c r="L600" s="1">
        <v>0.9186</v>
      </c>
      <c r="M600" s="1">
        <v>42.3</v>
      </c>
      <c r="N600" s="1">
        <v>45.71</v>
      </c>
      <c r="O600" s="1">
        <v>0.653</v>
      </c>
      <c r="P600" s="4"/>
      <c r="Q600" s="4"/>
      <c r="R600" s="1" t="s">
        <v>89</v>
      </c>
      <c r="S600" s="1" t="s">
        <v>2632</v>
      </c>
      <c r="T600" s="1" t="s">
        <v>111</v>
      </c>
      <c r="U600" s="1">
        <v>35.0</v>
      </c>
      <c r="V600" s="5" t="s">
        <v>2631</v>
      </c>
      <c r="W600" s="1" t="s">
        <v>2632</v>
      </c>
      <c r="X600" s="1" t="s">
        <v>2634</v>
      </c>
      <c r="Y600" s="4"/>
      <c r="Z600" s="4"/>
      <c r="AA600" s="4" t="b">
        <f>IFERROR(__xludf.DUMMYFUNCTION("IF(X600="""",,REGEXMATCH(X600,""[א-ת]""))"),FALSE)</f>
        <v>0</v>
      </c>
      <c r="AB600" s="1">
        <v>41.95</v>
      </c>
      <c r="AC600" s="1">
        <v>45.71</v>
      </c>
      <c r="AD600" s="1">
        <v>0.590589797553429</v>
      </c>
      <c r="AE600" s="1">
        <v>0.9186</v>
      </c>
      <c r="AF600" s="1">
        <v>0.8519</v>
      </c>
      <c r="AG600" s="1">
        <v>6.337</v>
      </c>
      <c r="AH600" s="1">
        <v>6.781</v>
      </c>
      <c r="AI600" s="1" t="b">
        <v>0</v>
      </c>
      <c r="AJ600" s="1" t="b">
        <v>0</v>
      </c>
      <c r="AK600" s="1">
        <v>94.182</v>
      </c>
      <c r="AL600" s="1">
        <v>96.508</v>
      </c>
      <c r="AM600" s="1" t="b">
        <v>0</v>
      </c>
      <c r="AN600" s="1" t="b">
        <v>0</v>
      </c>
      <c r="AO600" s="1">
        <v>8.05</v>
      </c>
      <c r="AP600" s="1">
        <v>8.53399999999999</v>
      </c>
      <c r="AQ600" s="1" t="b">
        <v>0</v>
      </c>
      <c r="AR600" s="1" t="b">
        <v>0</v>
      </c>
      <c r="AS600" s="1">
        <v>86.9179999999999</v>
      </c>
      <c r="AT600" s="1">
        <v>87.152</v>
      </c>
      <c r="AU600" s="1" t="b">
        <v>0</v>
      </c>
      <c r="AV600" s="1" t="b">
        <v>0</v>
      </c>
      <c r="AW600" s="1">
        <v>9.61399999999999</v>
      </c>
      <c r="AX600" s="1">
        <v>11.026</v>
      </c>
      <c r="AY600" s="1" t="b">
        <v>0</v>
      </c>
      <c r="AZ600" s="1" t="b">
        <v>0</v>
      </c>
      <c r="BA600" s="1">
        <v>81.25</v>
      </c>
      <c r="BB600" s="1">
        <v>77.78</v>
      </c>
      <c r="BC600" s="1" t="b">
        <v>0</v>
      </c>
      <c r="BD600" s="1" t="b">
        <v>0</v>
      </c>
      <c r="BE600" s="1">
        <v>11.34</v>
      </c>
      <c r="BF600" s="1">
        <v>13.285</v>
      </c>
      <c r="BG600" s="1" t="b">
        <v>0</v>
      </c>
      <c r="BH600" s="1" t="b">
        <v>0</v>
      </c>
      <c r="BI600" s="1">
        <v>77.78</v>
      </c>
      <c r="BJ600" s="1">
        <v>75.0</v>
      </c>
      <c r="BK600" s="1" t="b">
        <v>0</v>
      </c>
      <c r="BL600" s="1" t="b">
        <v>0</v>
      </c>
      <c r="BM600" s="1">
        <v>13.121</v>
      </c>
      <c r="BN600" s="1">
        <v>14.568</v>
      </c>
      <c r="BO600" s="1" t="b">
        <v>0</v>
      </c>
      <c r="BP600" s="1" t="b">
        <v>0</v>
      </c>
      <c r="BQ600" s="1">
        <v>75.0</v>
      </c>
      <c r="BR600" s="1">
        <v>72.027</v>
      </c>
      <c r="BS600" s="1" t="b">
        <v>0</v>
      </c>
      <c r="BT600" s="1" t="b">
        <v>0</v>
      </c>
      <c r="BU600" s="1" t="s">
        <v>105</v>
      </c>
      <c r="BV600" s="1" t="s">
        <v>105</v>
      </c>
      <c r="BW600" s="1" t="s">
        <v>105</v>
      </c>
      <c r="BX600" s="1" t="s">
        <v>105</v>
      </c>
      <c r="BY600" s="1" t="s">
        <v>105</v>
      </c>
      <c r="BZ600" s="1" t="s">
        <v>105</v>
      </c>
      <c r="CA600" s="1" t="s">
        <v>105</v>
      </c>
      <c r="CB600" s="1" t="s">
        <v>105</v>
      </c>
      <c r="CC600" s="1" t="s">
        <v>105</v>
      </c>
      <c r="CD600" s="1" t="s">
        <v>105</v>
      </c>
      <c r="CE600" s="4"/>
      <c r="CF600" s="4"/>
    </row>
    <row r="601" hidden="1">
      <c r="A601" s="1" t="s">
        <v>82</v>
      </c>
      <c r="B601" s="1" t="s">
        <v>83</v>
      </c>
      <c r="C601" s="1">
        <v>29.0</v>
      </c>
      <c r="D601" s="5" t="s">
        <v>2635</v>
      </c>
      <c r="E601" s="1" t="s">
        <v>2636</v>
      </c>
      <c r="F601" s="1">
        <v>58.0</v>
      </c>
      <c r="G601" s="1">
        <v>0.296</v>
      </c>
      <c r="H601" s="1" t="s">
        <v>2637</v>
      </c>
      <c r="I601" s="4" t="b">
        <f>IFERROR(__xludf.DUMMYFUNCTION("IF(H601="""",,REGEXMATCH(H601,""[א-ת]""))"),FALSE)</f>
        <v>0</v>
      </c>
      <c r="J601" s="4"/>
      <c r="K601" s="4"/>
      <c r="L601" s="1">
        <v>0.6249</v>
      </c>
      <c r="M601" s="1">
        <v>42.33</v>
      </c>
      <c r="N601" s="1">
        <v>44.83</v>
      </c>
      <c r="O601" s="1">
        <v>0.7729310345</v>
      </c>
      <c r="P601" s="4"/>
      <c r="Q601" s="4"/>
      <c r="R601" s="1" t="s">
        <v>89</v>
      </c>
      <c r="S601" s="1" t="s">
        <v>2636</v>
      </c>
      <c r="T601" s="1" t="s">
        <v>83</v>
      </c>
      <c r="U601" s="1">
        <v>30.0</v>
      </c>
      <c r="V601" s="5" t="s">
        <v>2635</v>
      </c>
      <c r="W601" s="1" t="s">
        <v>2636</v>
      </c>
      <c r="X601" s="1" t="s">
        <v>2638</v>
      </c>
      <c r="Y601" s="4"/>
      <c r="Z601" s="4"/>
      <c r="AA601" s="4" t="b">
        <f>IFERROR(__xludf.DUMMYFUNCTION("IF(X601="""",,REGEXMATCH(X601,""[א-ת]""))"),FALSE)</f>
        <v>0</v>
      </c>
      <c r="AB601" s="1">
        <v>23.95</v>
      </c>
      <c r="AC601" s="1">
        <v>55.17</v>
      </c>
      <c r="AD601" s="1">
        <v>0.596961229353426</v>
      </c>
      <c r="AE601" s="1">
        <v>0.8625</v>
      </c>
      <c r="AF601" s="1">
        <v>0.296</v>
      </c>
      <c r="AG601" s="1">
        <v>6.337</v>
      </c>
      <c r="AH601" s="1">
        <v>6.781</v>
      </c>
      <c r="AI601" s="1" t="b">
        <v>0</v>
      </c>
      <c r="AJ601" s="1" t="b">
        <v>0</v>
      </c>
      <c r="AK601" s="1">
        <v>94.182</v>
      </c>
      <c r="AL601" s="1">
        <v>96.508</v>
      </c>
      <c r="AM601" s="1" t="b">
        <v>0</v>
      </c>
      <c r="AN601" s="1" t="b">
        <v>0</v>
      </c>
      <c r="AO601" s="1">
        <v>8.05</v>
      </c>
      <c r="AP601" s="1">
        <v>8.53399999999999</v>
      </c>
      <c r="AQ601" s="1" t="b">
        <v>0</v>
      </c>
      <c r="AR601" s="1" t="b">
        <v>0</v>
      </c>
      <c r="AS601" s="1">
        <v>86.9179999999999</v>
      </c>
      <c r="AT601" s="1">
        <v>87.152</v>
      </c>
      <c r="AU601" s="1" t="b">
        <v>0</v>
      </c>
      <c r="AV601" s="1" t="b">
        <v>0</v>
      </c>
      <c r="AW601" s="1">
        <v>9.61399999999999</v>
      </c>
      <c r="AX601" s="1">
        <v>11.026</v>
      </c>
      <c r="AY601" s="1" t="b">
        <v>0</v>
      </c>
      <c r="AZ601" s="1" t="b">
        <v>0</v>
      </c>
      <c r="BA601" s="1">
        <v>81.25</v>
      </c>
      <c r="BB601" s="1">
        <v>77.78</v>
      </c>
      <c r="BC601" s="1" t="b">
        <v>0</v>
      </c>
      <c r="BD601" s="1" t="b">
        <v>0</v>
      </c>
      <c r="BE601" s="1">
        <v>11.34</v>
      </c>
      <c r="BF601" s="1">
        <v>13.285</v>
      </c>
      <c r="BG601" s="1" t="b">
        <v>0</v>
      </c>
      <c r="BH601" s="1" t="b">
        <v>0</v>
      </c>
      <c r="BI601" s="1">
        <v>77.78</v>
      </c>
      <c r="BJ601" s="1">
        <v>75.0</v>
      </c>
      <c r="BK601" s="1" t="b">
        <v>0</v>
      </c>
      <c r="BL601" s="1" t="b">
        <v>0</v>
      </c>
      <c r="BM601" s="1">
        <v>13.121</v>
      </c>
      <c r="BN601" s="1">
        <v>14.568</v>
      </c>
      <c r="BO601" s="1" t="b">
        <v>0</v>
      </c>
      <c r="BP601" s="1" t="b">
        <v>0</v>
      </c>
      <c r="BQ601" s="1">
        <v>75.0</v>
      </c>
      <c r="BR601" s="1">
        <v>72.027</v>
      </c>
      <c r="BS601" s="1" t="b">
        <v>0</v>
      </c>
      <c r="BT601" s="1" t="b">
        <v>0</v>
      </c>
      <c r="BU601" s="1" t="s">
        <v>105</v>
      </c>
      <c r="BV601" s="1" t="s">
        <v>105</v>
      </c>
      <c r="BW601" s="1" t="s">
        <v>105</v>
      </c>
      <c r="BX601" s="1" t="s">
        <v>105</v>
      </c>
      <c r="BY601" s="1" t="s">
        <v>105</v>
      </c>
      <c r="BZ601" s="1" t="s">
        <v>105</v>
      </c>
      <c r="CA601" s="1" t="s">
        <v>105</v>
      </c>
      <c r="CB601" s="1" t="s">
        <v>105</v>
      </c>
      <c r="CC601" s="1" t="s">
        <v>105</v>
      </c>
      <c r="CD601" s="1" t="s">
        <v>105</v>
      </c>
      <c r="CE601" s="4"/>
      <c r="CF601" s="4"/>
    </row>
    <row r="602" hidden="1">
      <c r="A602" s="1" t="s">
        <v>82</v>
      </c>
      <c r="B602" s="1" t="s">
        <v>197</v>
      </c>
      <c r="C602" s="1">
        <v>21.0</v>
      </c>
      <c r="D602" s="5" t="s">
        <v>2639</v>
      </c>
      <c r="E602" s="1" t="s">
        <v>2640</v>
      </c>
      <c r="F602" s="1">
        <v>45.0</v>
      </c>
      <c r="G602" s="1">
        <v>0.0</v>
      </c>
      <c r="H602" s="1" t="s">
        <v>2641</v>
      </c>
      <c r="I602" s="4" t="b">
        <f>IFERROR(__xludf.DUMMYFUNCTION("IF(H602="""",,REGEXMATCH(H602,""[א-ת]""))"),FALSE)</f>
        <v>0</v>
      </c>
      <c r="J602" s="4"/>
      <c r="K602" s="4"/>
      <c r="L602" s="1">
        <v>0.0</v>
      </c>
      <c r="M602" s="1">
        <v>42.39</v>
      </c>
      <c r="N602" s="1">
        <v>46.67</v>
      </c>
      <c r="O602" s="1">
        <v>1.037111111</v>
      </c>
      <c r="P602" s="4"/>
      <c r="Q602" s="4"/>
      <c r="R602" s="1" t="s">
        <v>89</v>
      </c>
      <c r="S602" s="1" t="s">
        <v>2640</v>
      </c>
      <c r="T602" s="1" t="s">
        <v>197</v>
      </c>
      <c r="U602" s="1">
        <v>22.0</v>
      </c>
      <c r="V602" s="5" t="s">
        <v>2639</v>
      </c>
      <c r="W602" s="1" t="s">
        <v>2640</v>
      </c>
      <c r="X602" s="1" t="s">
        <v>2642</v>
      </c>
      <c r="Y602" s="4"/>
      <c r="Z602" s="4"/>
      <c r="AA602" s="4" t="b">
        <f>IFERROR(__xludf.DUMMYFUNCTION("IF(X602="""",,REGEXMATCH(X602,""[א-ת]""))"),FALSE)</f>
        <v>0</v>
      </c>
      <c r="AB602" s="1">
        <v>35.58</v>
      </c>
      <c r="AC602" s="1">
        <v>35.56</v>
      </c>
      <c r="AD602" s="1">
        <v>0.725480162947803</v>
      </c>
      <c r="AE602" s="1">
        <v>0.0</v>
      </c>
      <c r="AF602" s="1">
        <v>0.0</v>
      </c>
      <c r="AG602" s="1">
        <v>6.337</v>
      </c>
      <c r="AH602" s="1">
        <v>6.781</v>
      </c>
      <c r="AI602" s="1" t="b">
        <v>0</v>
      </c>
      <c r="AJ602" s="1" t="b">
        <v>0</v>
      </c>
      <c r="AK602" s="1">
        <v>94.182</v>
      </c>
      <c r="AL602" s="1">
        <v>96.508</v>
      </c>
      <c r="AM602" s="1" t="b">
        <v>0</v>
      </c>
      <c r="AN602" s="1" t="b">
        <v>0</v>
      </c>
      <c r="AO602" s="1">
        <v>8.05</v>
      </c>
      <c r="AP602" s="1">
        <v>8.53399999999999</v>
      </c>
      <c r="AQ602" s="1" t="b">
        <v>0</v>
      </c>
      <c r="AR602" s="1" t="b">
        <v>0</v>
      </c>
      <c r="AS602" s="1">
        <v>86.9179999999999</v>
      </c>
      <c r="AT602" s="1">
        <v>87.152</v>
      </c>
      <c r="AU602" s="1" t="b">
        <v>0</v>
      </c>
      <c r="AV602" s="1" t="b">
        <v>0</v>
      </c>
      <c r="AW602" s="1">
        <v>9.61399999999999</v>
      </c>
      <c r="AX602" s="1">
        <v>11.026</v>
      </c>
      <c r="AY602" s="1" t="b">
        <v>0</v>
      </c>
      <c r="AZ602" s="1" t="b">
        <v>0</v>
      </c>
      <c r="BA602" s="1">
        <v>81.25</v>
      </c>
      <c r="BB602" s="1">
        <v>77.78</v>
      </c>
      <c r="BC602" s="1" t="b">
        <v>0</v>
      </c>
      <c r="BD602" s="1" t="b">
        <v>0</v>
      </c>
      <c r="BE602" s="1">
        <v>11.34</v>
      </c>
      <c r="BF602" s="1">
        <v>13.285</v>
      </c>
      <c r="BG602" s="1" t="b">
        <v>0</v>
      </c>
      <c r="BH602" s="1" t="b">
        <v>0</v>
      </c>
      <c r="BI602" s="1">
        <v>77.78</v>
      </c>
      <c r="BJ602" s="1">
        <v>75.0</v>
      </c>
      <c r="BK602" s="1" t="b">
        <v>0</v>
      </c>
      <c r="BL602" s="1" t="b">
        <v>0</v>
      </c>
      <c r="BM602" s="1">
        <v>13.121</v>
      </c>
      <c r="BN602" s="1">
        <v>14.568</v>
      </c>
      <c r="BO602" s="1" t="b">
        <v>0</v>
      </c>
      <c r="BP602" s="1" t="b">
        <v>0</v>
      </c>
      <c r="BQ602" s="1">
        <v>75.0</v>
      </c>
      <c r="BR602" s="1">
        <v>72.027</v>
      </c>
      <c r="BS602" s="1" t="b">
        <v>0</v>
      </c>
      <c r="BT602" s="1" t="b">
        <v>0</v>
      </c>
      <c r="BU602" s="1" t="s">
        <v>105</v>
      </c>
      <c r="BV602" s="1" t="s">
        <v>105</v>
      </c>
      <c r="BW602" s="1" t="s">
        <v>105</v>
      </c>
      <c r="BX602" s="1" t="s">
        <v>105</v>
      </c>
      <c r="BY602" s="1" t="s">
        <v>105</v>
      </c>
      <c r="BZ602" s="1" t="s">
        <v>105</v>
      </c>
      <c r="CA602" s="1" t="s">
        <v>105</v>
      </c>
      <c r="CB602" s="1" t="s">
        <v>105</v>
      </c>
      <c r="CC602" s="1" t="s">
        <v>105</v>
      </c>
      <c r="CD602" s="1" t="s">
        <v>105</v>
      </c>
      <c r="CE602" s="4"/>
      <c r="CF602" s="4"/>
    </row>
    <row r="603">
      <c r="A603" s="1" t="s">
        <v>82</v>
      </c>
      <c r="B603" s="1" t="s">
        <v>262</v>
      </c>
      <c r="C603" s="1">
        <v>25.0</v>
      </c>
      <c r="D603" s="5" t="s">
        <v>2643</v>
      </c>
      <c r="E603" s="1" t="s">
        <v>2644</v>
      </c>
      <c r="F603" s="1">
        <v>30.0</v>
      </c>
      <c r="G603" s="1">
        <v>0.8896</v>
      </c>
      <c r="H603" s="1" t="s">
        <v>2645</v>
      </c>
      <c r="I603" s="4" t="b">
        <f>IFERROR(__xludf.DUMMYFUNCTION("IF(H603="""",,REGEXMATCH(H603,""[א-ת]""))"),FALSE)</f>
        <v>0</v>
      </c>
      <c r="J603" s="4"/>
      <c r="K603" s="4"/>
      <c r="L603" s="1">
        <v>0.9036</v>
      </c>
      <c r="M603" s="1">
        <v>42.57</v>
      </c>
      <c r="N603" s="1">
        <v>43.33</v>
      </c>
      <c r="O603" s="1">
        <v>1.444333333</v>
      </c>
      <c r="P603" s="4"/>
      <c r="Q603" s="4"/>
      <c r="R603" s="1" t="s">
        <v>96</v>
      </c>
      <c r="S603" s="1" t="s">
        <v>2644</v>
      </c>
      <c r="T603" s="1" t="s">
        <v>262</v>
      </c>
      <c r="U603" s="1">
        <v>26.0</v>
      </c>
      <c r="V603" s="5" t="s">
        <v>2643</v>
      </c>
      <c r="W603" s="1" t="s">
        <v>2644</v>
      </c>
      <c r="X603" s="1" t="s">
        <v>2646</v>
      </c>
      <c r="Y603" s="1" t="s">
        <v>2647</v>
      </c>
      <c r="Z603" s="1" t="s">
        <v>2648</v>
      </c>
      <c r="AA603" s="4" t="b">
        <f>IFERROR(__xludf.DUMMYFUNCTION("IF(X603="""",,REGEXMATCH(X603,""[א-ת]""))"),TRUE)</f>
        <v>1</v>
      </c>
      <c r="AB603" s="1">
        <v>6.48</v>
      </c>
      <c r="AC603" s="1">
        <v>153.33</v>
      </c>
      <c r="AD603" s="1">
        <v>0.518948665425966</v>
      </c>
      <c r="AE603" s="1">
        <v>0.9153</v>
      </c>
      <c r="AF603" s="1">
        <v>0.8896</v>
      </c>
      <c r="AG603" s="1">
        <v>6.337</v>
      </c>
      <c r="AH603" s="1">
        <v>6.781</v>
      </c>
      <c r="AI603" s="1" t="b">
        <v>0</v>
      </c>
      <c r="AJ603" s="1" t="b">
        <v>1</v>
      </c>
      <c r="AK603" s="1">
        <v>94.182</v>
      </c>
      <c r="AL603" s="1">
        <v>96.508</v>
      </c>
      <c r="AM603" s="1" t="b">
        <v>0</v>
      </c>
      <c r="AN603" s="1" t="b">
        <v>1</v>
      </c>
      <c r="AO603" s="1">
        <v>8.05</v>
      </c>
      <c r="AP603" s="1">
        <v>8.53399999999999</v>
      </c>
      <c r="AQ603" s="1" t="b">
        <v>0</v>
      </c>
      <c r="AR603" s="1" t="b">
        <v>1</v>
      </c>
      <c r="AS603" s="1">
        <v>86.9179999999999</v>
      </c>
      <c r="AT603" s="1">
        <v>87.152</v>
      </c>
      <c r="AU603" s="1" t="b">
        <v>0</v>
      </c>
      <c r="AV603" s="1" t="b">
        <v>1</v>
      </c>
      <c r="AW603" s="1">
        <v>9.61399999999999</v>
      </c>
      <c r="AX603" s="1">
        <v>11.026</v>
      </c>
      <c r="AY603" s="1" t="b">
        <v>0</v>
      </c>
      <c r="AZ603" s="1" t="b">
        <v>1</v>
      </c>
      <c r="BA603" s="1">
        <v>81.25</v>
      </c>
      <c r="BB603" s="1">
        <v>77.78</v>
      </c>
      <c r="BC603" s="1" t="b">
        <v>0</v>
      </c>
      <c r="BD603" s="1" t="b">
        <v>1</v>
      </c>
      <c r="BE603" s="1">
        <v>11.34</v>
      </c>
      <c r="BF603" s="1">
        <v>13.285</v>
      </c>
      <c r="BG603" s="1" t="b">
        <v>0</v>
      </c>
      <c r="BH603" s="1" t="b">
        <v>1</v>
      </c>
      <c r="BI603" s="1">
        <v>77.78</v>
      </c>
      <c r="BJ603" s="1">
        <v>75.0</v>
      </c>
      <c r="BK603" s="1" t="b">
        <v>0</v>
      </c>
      <c r="BL603" s="1" t="b">
        <v>1</v>
      </c>
      <c r="BM603" s="1">
        <v>13.121</v>
      </c>
      <c r="BN603" s="1">
        <v>14.568</v>
      </c>
      <c r="BO603" s="1" t="b">
        <v>0</v>
      </c>
      <c r="BP603" s="1" t="b">
        <v>1</v>
      </c>
      <c r="BQ603" s="1">
        <v>75.0</v>
      </c>
      <c r="BR603" s="1">
        <v>72.027</v>
      </c>
      <c r="BS603" s="1" t="b">
        <v>0</v>
      </c>
      <c r="BT603" s="1" t="b">
        <v>1</v>
      </c>
      <c r="BU603" s="1" t="s">
        <v>157</v>
      </c>
      <c r="BV603" s="1" t="s">
        <v>157</v>
      </c>
      <c r="BW603" s="1" t="s">
        <v>157</v>
      </c>
      <c r="BX603" s="1" t="s">
        <v>157</v>
      </c>
      <c r="BY603" s="1" t="s">
        <v>157</v>
      </c>
      <c r="BZ603" s="1" t="s">
        <v>157</v>
      </c>
      <c r="CA603" s="1" t="s">
        <v>157</v>
      </c>
      <c r="CB603" s="1" t="s">
        <v>157</v>
      </c>
      <c r="CC603" s="1" t="s">
        <v>157</v>
      </c>
      <c r="CD603" s="1" t="s">
        <v>157</v>
      </c>
      <c r="CE603" s="4"/>
      <c r="CF603" s="4"/>
    </row>
    <row r="604" hidden="1">
      <c r="A604" s="1" t="s">
        <v>82</v>
      </c>
      <c r="B604" s="1" t="s">
        <v>123</v>
      </c>
      <c r="C604" s="1">
        <v>30.0</v>
      </c>
      <c r="D604" s="5" t="s">
        <v>2649</v>
      </c>
      <c r="E604" s="1" t="s">
        <v>2650</v>
      </c>
      <c r="F604" s="1">
        <v>75.0</v>
      </c>
      <c r="G604" s="1">
        <v>-0.7096</v>
      </c>
      <c r="H604" s="1" t="s">
        <v>2651</v>
      </c>
      <c r="I604" s="4" t="b">
        <f>IFERROR(__xludf.DUMMYFUNCTION("IF(H604="""",,REGEXMATCH(H604,""[א-ת]""))"),FALSE)</f>
        <v>0</v>
      </c>
      <c r="J604" s="4"/>
      <c r="K604" s="4"/>
      <c r="L604" s="1">
        <v>-0.2982</v>
      </c>
      <c r="M604" s="1">
        <v>42.66</v>
      </c>
      <c r="N604" s="1">
        <v>44.0</v>
      </c>
      <c r="O604" s="1">
        <v>0.5866666667</v>
      </c>
      <c r="P604" s="4"/>
      <c r="Q604" s="4"/>
      <c r="R604" s="1" t="s">
        <v>127</v>
      </c>
      <c r="S604" s="1" t="s">
        <v>2650</v>
      </c>
      <c r="T604" s="1" t="s">
        <v>123</v>
      </c>
      <c r="U604" s="1">
        <v>31.0</v>
      </c>
      <c r="V604" s="5" t="s">
        <v>2649</v>
      </c>
      <c r="W604" s="1" t="s">
        <v>2650</v>
      </c>
      <c r="X604" s="1" t="s">
        <v>2652</v>
      </c>
      <c r="Y604" s="4"/>
      <c r="Z604" s="4"/>
      <c r="AA604" s="4" t="b">
        <f>IFERROR(__xludf.DUMMYFUNCTION("IF(X604="""",,REGEXMATCH(X604,""[א-ת]""))"),FALSE)</f>
        <v>0</v>
      </c>
      <c r="AB604" s="1">
        <v>24.6</v>
      </c>
      <c r="AC604" s="1">
        <v>58.67</v>
      </c>
      <c r="AD604" s="1">
        <v>0.466483242280347</v>
      </c>
      <c r="AE604" s="1">
        <v>-0.6136</v>
      </c>
      <c r="AF604" s="1">
        <v>-0.7096</v>
      </c>
      <c r="AG604" s="1">
        <v>6.337</v>
      </c>
      <c r="AH604" s="1">
        <v>6.781</v>
      </c>
      <c r="AI604" s="1" t="b">
        <v>0</v>
      </c>
      <c r="AJ604" s="1" t="b">
        <v>0</v>
      </c>
      <c r="AK604" s="1">
        <v>94.182</v>
      </c>
      <c r="AL604" s="1">
        <v>96.508</v>
      </c>
      <c r="AM604" s="1" t="b">
        <v>0</v>
      </c>
      <c r="AN604" s="1" t="b">
        <v>0</v>
      </c>
      <c r="AO604" s="1">
        <v>8.05</v>
      </c>
      <c r="AP604" s="1">
        <v>8.53399999999999</v>
      </c>
      <c r="AQ604" s="1" t="b">
        <v>0</v>
      </c>
      <c r="AR604" s="1" t="b">
        <v>0</v>
      </c>
      <c r="AS604" s="1">
        <v>86.9179999999999</v>
      </c>
      <c r="AT604" s="1">
        <v>87.152</v>
      </c>
      <c r="AU604" s="1" t="b">
        <v>0</v>
      </c>
      <c r="AV604" s="1" t="b">
        <v>0</v>
      </c>
      <c r="AW604" s="1">
        <v>9.61399999999999</v>
      </c>
      <c r="AX604" s="1">
        <v>11.026</v>
      </c>
      <c r="AY604" s="1" t="b">
        <v>0</v>
      </c>
      <c r="AZ604" s="1" t="b">
        <v>0</v>
      </c>
      <c r="BA604" s="1">
        <v>81.25</v>
      </c>
      <c r="BB604" s="1">
        <v>77.78</v>
      </c>
      <c r="BC604" s="1" t="b">
        <v>0</v>
      </c>
      <c r="BD604" s="1" t="b">
        <v>0</v>
      </c>
      <c r="BE604" s="1">
        <v>11.34</v>
      </c>
      <c r="BF604" s="1">
        <v>13.285</v>
      </c>
      <c r="BG604" s="1" t="b">
        <v>0</v>
      </c>
      <c r="BH604" s="1" t="b">
        <v>0</v>
      </c>
      <c r="BI604" s="1">
        <v>77.78</v>
      </c>
      <c r="BJ604" s="1">
        <v>75.0</v>
      </c>
      <c r="BK604" s="1" t="b">
        <v>0</v>
      </c>
      <c r="BL604" s="1" t="b">
        <v>0</v>
      </c>
      <c r="BM604" s="1">
        <v>13.121</v>
      </c>
      <c r="BN604" s="1">
        <v>14.568</v>
      </c>
      <c r="BO604" s="1" t="b">
        <v>0</v>
      </c>
      <c r="BP604" s="1" t="b">
        <v>0</v>
      </c>
      <c r="BQ604" s="1">
        <v>75.0</v>
      </c>
      <c r="BR604" s="1">
        <v>72.027</v>
      </c>
      <c r="BS604" s="1" t="b">
        <v>0</v>
      </c>
      <c r="BT604" s="1" t="b">
        <v>0</v>
      </c>
      <c r="BU604" s="1" t="s">
        <v>105</v>
      </c>
      <c r="BV604" s="1" t="s">
        <v>105</v>
      </c>
      <c r="BW604" s="1" t="s">
        <v>105</v>
      </c>
      <c r="BX604" s="1" t="s">
        <v>105</v>
      </c>
      <c r="BY604" s="1" t="s">
        <v>105</v>
      </c>
      <c r="BZ604" s="1" t="s">
        <v>105</v>
      </c>
      <c r="CA604" s="1" t="s">
        <v>105</v>
      </c>
      <c r="CB604" s="1" t="s">
        <v>105</v>
      </c>
      <c r="CC604" s="1" t="s">
        <v>105</v>
      </c>
      <c r="CD604" s="1" t="s">
        <v>105</v>
      </c>
      <c r="CE604" s="4"/>
      <c r="CF604" s="4"/>
    </row>
    <row r="605" hidden="1">
      <c r="A605" s="1" t="s">
        <v>82</v>
      </c>
      <c r="B605" s="1" t="s">
        <v>92</v>
      </c>
      <c r="C605" s="1">
        <v>9.0</v>
      </c>
      <c r="D605" s="5" t="s">
        <v>2653</v>
      </c>
      <c r="E605" s="1" t="s">
        <v>2654</v>
      </c>
      <c r="F605" s="1">
        <v>65.0</v>
      </c>
      <c r="G605" s="1">
        <v>0.3506</v>
      </c>
      <c r="H605" s="1" t="s">
        <v>2655</v>
      </c>
      <c r="I605" s="4" t="b">
        <f>IFERROR(__xludf.DUMMYFUNCTION("IF(H605="""",,REGEXMATCH(H605,""[א-ת]""))"),FALSE)</f>
        <v>0</v>
      </c>
      <c r="J605" s="1" t="s">
        <v>2656</v>
      </c>
      <c r="K605" s="4"/>
      <c r="L605" s="1">
        <v>0.1901</v>
      </c>
      <c r="M605" s="1">
        <v>42.91</v>
      </c>
      <c r="N605" s="1">
        <v>35.38</v>
      </c>
      <c r="O605" s="1">
        <v>0.5443076923</v>
      </c>
      <c r="P605" s="4"/>
      <c r="Q605" s="4"/>
      <c r="R605" s="1" t="s">
        <v>96</v>
      </c>
      <c r="S605" s="1" t="s">
        <v>2654</v>
      </c>
      <c r="T605" s="1" t="s">
        <v>92</v>
      </c>
      <c r="U605" s="1">
        <v>10.0</v>
      </c>
      <c r="V605" s="5" t="s">
        <v>2653</v>
      </c>
      <c r="W605" s="1" t="s">
        <v>2654</v>
      </c>
      <c r="X605" s="1" t="s">
        <v>2657</v>
      </c>
      <c r="Y605" s="4"/>
      <c r="Z605" s="4"/>
      <c r="AA605" s="4" t="b">
        <f>IFERROR(__xludf.DUMMYFUNCTION("IF(X605="""",,REGEXMATCH(X605,""[א-ת]""))"),FALSE)</f>
        <v>0</v>
      </c>
      <c r="AB605" s="1">
        <v>29.76</v>
      </c>
      <c r="AC605" s="1">
        <v>50.77</v>
      </c>
      <c r="AD605" s="1">
        <v>0.641160660127392</v>
      </c>
      <c r="AE605" s="1">
        <v>0.3506</v>
      </c>
      <c r="AF605" s="1">
        <v>0.3506</v>
      </c>
      <c r="AG605" s="1">
        <v>6.337</v>
      </c>
      <c r="AH605" s="1">
        <v>6.781</v>
      </c>
      <c r="AI605" s="1" t="b">
        <v>0</v>
      </c>
      <c r="AJ605" s="1" t="b">
        <v>0</v>
      </c>
      <c r="AK605" s="1">
        <v>94.182</v>
      </c>
      <c r="AL605" s="1">
        <v>96.508</v>
      </c>
      <c r="AM605" s="1" t="b">
        <v>0</v>
      </c>
      <c r="AN605" s="1" t="b">
        <v>0</v>
      </c>
      <c r="AO605" s="1">
        <v>8.05</v>
      </c>
      <c r="AP605" s="1">
        <v>8.53399999999999</v>
      </c>
      <c r="AQ605" s="1" t="b">
        <v>0</v>
      </c>
      <c r="AR605" s="1" t="b">
        <v>0</v>
      </c>
      <c r="AS605" s="1">
        <v>86.9179999999999</v>
      </c>
      <c r="AT605" s="1">
        <v>87.152</v>
      </c>
      <c r="AU605" s="1" t="b">
        <v>0</v>
      </c>
      <c r="AV605" s="1" t="b">
        <v>0</v>
      </c>
      <c r="AW605" s="1">
        <v>9.61399999999999</v>
      </c>
      <c r="AX605" s="1">
        <v>11.026</v>
      </c>
      <c r="AY605" s="1" t="b">
        <v>0</v>
      </c>
      <c r="AZ605" s="1" t="b">
        <v>0</v>
      </c>
      <c r="BA605" s="1">
        <v>81.25</v>
      </c>
      <c r="BB605" s="1">
        <v>77.78</v>
      </c>
      <c r="BC605" s="1" t="b">
        <v>0</v>
      </c>
      <c r="BD605" s="1" t="b">
        <v>0</v>
      </c>
      <c r="BE605" s="1">
        <v>11.34</v>
      </c>
      <c r="BF605" s="1">
        <v>13.285</v>
      </c>
      <c r="BG605" s="1" t="b">
        <v>0</v>
      </c>
      <c r="BH605" s="1" t="b">
        <v>0</v>
      </c>
      <c r="BI605" s="1">
        <v>77.78</v>
      </c>
      <c r="BJ605" s="1">
        <v>75.0</v>
      </c>
      <c r="BK605" s="1" t="b">
        <v>0</v>
      </c>
      <c r="BL605" s="1" t="b">
        <v>0</v>
      </c>
      <c r="BM605" s="1">
        <v>13.121</v>
      </c>
      <c r="BN605" s="1">
        <v>14.568</v>
      </c>
      <c r="BO605" s="1" t="b">
        <v>0</v>
      </c>
      <c r="BP605" s="1" t="b">
        <v>0</v>
      </c>
      <c r="BQ605" s="1">
        <v>75.0</v>
      </c>
      <c r="BR605" s="1">
        <v>72.027</v>
      </c>
      <c r="BS605" s="1" t="b">
        <v>0</v>
      </c>
      <c r="BT605" s="1" t="b">
        <v>0</v>
      </c>
      <c r="BU605" s="1" t="s">
        <v>105</v>
      </c>
      <c r="BV605" s="1" t="s">
        <v>105</v>
      </c>
      <c r="BW605" s="1" t="s">
        <v>105</v>
      </c>
      <c r="BX605" s="1" t="s">
        <v>105</v>
      </c>
      <c r="BY605" s="1" t="s">
        <v>105</v>
      </c>
      <c r="BZ605" s="1" t="s">
        <v>105</v>
      </c>
      <c r="CA605" s="1" t="s">
        <v>105</v>
      </c>
      <c r="CB605" s="1" t="s">
        <v>105</v>
      </c>
      <c r="CC605" s="1" t="s">
        <v>105</v>
      </c>
      <c r="CD605" s="1" t="s">
        <v>105</v>
      </c>
      <c r="CE605" s="4"/>
      <c r="CF605" s="4"/>
    </row>
    <row r="606" hidden="1">
      <c r="A606" s="1" t="s">
        <v>82</v>
      </c>
      <c r="B606" s="1" t="s">
        <v>524</v>
      </c>
      <c r="C606" s="1">
        <v>11.0</v>
      </c>
      <c r="D606" s="5" t="s">
        <v>2658</v>
      </c>
      <c r="E606" s="1" t="s">
        <v>2659</v>
      </c>
      <c r="F606" s="1">
        <v>50.0</v>
      </c>
      <c r="G606" s="1">
        <v>0.0</v>
      </c>
      <c r="H606" s="1" t="s">
        <v>2660</v>
      </c>
      <c r="I606" s="4" t="b">
        <f>IFERROR(__xludf.DUMMYFUNCTION("IF(H606="""",,REGEXMATCH(H606,""[א-ת]""))"),FALSE)</f>
        <v>0</v>
      </c>
      <c r="J606" s="4"/>
      <c r="K606" s="4"/>
      <c r="L606" s="1">
        <v>-0.2023</v>
      </c>
      <c r="M606" s="1">
        <v>42.94</v>
      </c>
      <c r="N606" s="1">
        <v>36.0</v>
      </c>
      <c r="O606" s="1">
        <v>0.72</v>
      </c>
      <c r="P606" s="4"/>
      <c r="Q606" s="4"/>
      <c r="R606" s="1" t="s">
        <v>89</v>
      </c>
      <c r="S606" s="1" t="s">
        <v>2659</v>
      </c>
      <c r="T606" s="1" t="s">
        <v>524</v>
      </c>
      <c r="U606" s="1">
        <v>12.0</v>
      </c>
      <c r="V606" s="5" t="s">
        <v>2658</v>
      </c>
      <c r="W606" s="1" t="s">
        <v>2659</v>
      </c>
      <c r="X606" s="1" t="s">
        <v>2661</v>
      </c>
      <c r="Y606" s="4"/>
      <c r="Z606" s="4"/>
      <c r="AA606" s="4" t="b">
        <f>IFERROR(__xludf.DUMMYFUNCTION("IF(X606="""",,REGEXMATCH(X606,""[א-ת]""))"),FALSE)</f>
        <v>0</v>
      </c>
      <c r="AB606" s="1">
        <v>29.38</v>
      </c>
      <c r="AC606" s="1">
        <v>42.0</v>
      </c>
      <c r="AD606" s="1">
        <v>0.580505026917041</v>
      </c>
      <c r="AE606" s="1">
        <v>0.3612</v>
      </c>
      <c r="AF606" s="1">
        <v>0.0</v>
      </c>
      <c r="AG606" s="1">
        <v>6.337</v>
      </c>
      <c r="AH606" s="1">
        <v>6.781</v>
      </c>
      <c r="AI606" s="1" t="b">
        <v>0</v>
      </c>
      <c r="AJ606" s="1" t="b">
        <v>0</v>
      </c>
      <c r="AK606" s="1">
        <v>94.182</v>
      </c>
      <c r="AL606" s="1">
        <v>96.508</v>
      </c>
      <c r="AM606" s="1" t="b">
        <v>0</v>
      </c>
      <c r="AN606" s="1" t="b">
        <v>0</v>
      </c>
      <c r="AO606" s="1">
        <v>8.05</v>
      </c>
      <c r="AP606" s="1">
        <v>8.53399999999999</v>
      </c>
      <c r="AQ606" s="1" t="b">
        <v>0</v>
      </c>
      <c r="AR606" s="1" t="b">
        <v>0</v>
      </c>
      <c r="AS606" s="1">
        <v>86.9179999999999</v>
      </c>
      <c r="AT606" s="1">
        <v>87.152</v>
      </c>
      <c r="AU606" s="1" t="b">
        <v>0</v>
      </c>
      <c r="AV606" s="1" t="b">
        <v>0</v>
      </c>
      <c r="AW606" s="1">
        <v>9.61399999999999</v>
      </c>
      <c r="AX606" s="1">
        <v>11.026</v>
      </c>
      <c r="AY606" s="1" t="b">
        <v>0</v>
      </c>
      <c r="AZ606" s="1" t="b">
        <v>0</v>
      </c>
      <c r="BA606" s="1">
        <v>81.25</v>
      </c>
      <c r="BB606" s="1">
        <v>77.78</v>
      </c>
      <c r="BC606" s="1" t="b">
        <v>0</v>
      </c>
      <c r="BD606" s="1" t="b">
        <v>0</v>
      </c>
      <c r="BE606" s="1">
        <v>11.34</v>
      </c>
      <c r="BF606" s="1">
        <v>13.285</v>
      </c>
      <c r="BG606" s="1" t="b">
        <v>0</v>
      </c>
      <c r="BH606" s="1" t="b">
        <v>0</v>
      </c>
      <c r="BI606" s="1">
        <v>77.78</v>
      </c>
      <c r="BJ606" s="1">
        <v>75.0</v>
      </c>
      <c r="BK606" s="1" t="b">
        <v>0</v>
      </c>
      <c r="BL606" s="1" t="b">
        <v>0</v>
      </c>
      <c r="BM606" s="1">
        <v>13.121</v>
      </c>
      <c r="BN606" s="1">
        <v>14.568</v>
      </c>
      <c r="BO606" s="1" t="b">
        <v>0</v>
      </c>
      <c r="BP606" s="1" t="b">
        <v>0</v>
      </c>
      <c r="BQ606" s="1">
        <v>75.0</v>
      </c>
      <c r="BR606" s="1">
        <v>72.027</v>
      </c>
      <c r="BS606" s="1" t="b">
        <v>0</v>
      </c>
      <c r="BT606" s="1" t="b">
        <v>0</v>
      </c>
      <c r="BU606" s="1" t="s">
        <v>105</v>
      </c>
      <c r="BV606" s="1" t="s">
        <v>105</v>
      </c>
      <c r="BW606" s="1" t="s">
        <v>105</v>
      </c>
      <c r="BX606" s="1" t="s">
        <v>105</v>
      </c>
      <c r="BY606" s="1" t="s">
        <v>105</v>
      </c>
      <c r="BZ606" s="1" t="s">
        <v>105</v>
      </c>
      <c r="CA606" s="1" t="s">
        <v>105</v>
      </c>
      <c r="CB606" s="1" t="s">
        <v>105</v>
      </c>
      <c r="CC606" s="1" t="s">
        <v>105</v>
      </c>
      <c r="CD606" s="1" t="s">
        <v>105</v>
      </c>
      <c r="CE606" s="4"/>
      <c r="CF606" s="4"/>
    </row>
    <row r="607" hidden="1">
      <c r="A607" s="1" t="s">
        <v>82</v>
      </c>
      <c r="B607" s="1" t="s">
        <v>262</v>
      </c>
      <c r="C607" s="1">
        <v>22.0</v>
      </c>
      <c r="D607" s="5" t="s">
        <v>2662</v>
      </c>
      <c r="E607" s="1" t="s">
        <v>2663</v>
      </c>
      <c r="F607" s="1">
        <v>42.0</v>
      </c>
      <c r="G607" s="1">
        <v>0.0</v>
      </c>
      <c r="H607" s="1" t="s">
        <v>2664</v>
      </c>
      <c r="I607" s="4" t="b">
        <f>IFERROR(__xludf.DUMMYFUNCTION("IF(H607="""",,REGEXMATCH(H607,""[א-ת]""))"),FALSE)</f>
        <v>0</v>
      </c>
      <c r="J607" s="4"/>
      <c r="K607" s="4"/>
      <c r="L607" s="1">
        <v>0.0</v>
      </c>
      <c r="M607" s="1">
        <v>43.24</v>
      </c>
      <c r="N607" s="1">
        <v>54.76</v>
      </c>
      <c r="O607" s="1">
        <v>1.303809524</v>
      </c>
      <c r="P607" s="4"/>
      <c r="Q607" s="4"/>
      <c r="R607" s="1" t="s">
        <v>96</v>
      </c>
      <c r="S607" s="1" t="s">
        <v>2663</v>
      </c>
      <c r="T607" s="1" t="s">
        <v>262</v>
      </c>
      <c r="U607" s="1">
        <v>23.0</v>
      </c>
      <c r="V607" s="5" t="s">
        <v>2662</v>
      </c>
      <c r="W607" s="1" t="s">
        <v>2663</v>
      </c>
      <c r="X607" s="1" t="s">
        <v>2665</v>
      </c>
      <c r="Y607" s="4"/>
      <c r="Z607" s="4"/>
      <c r="AA607" s="4" t="b">
        <f>IFERROR(__xludf.DUMMYFUNCTION("IF(X607="""",,REGEXMATCH(X607,""[א-ת]""))"),FALSE)</f>
        <v>0</v>
      </c>
      <c r="AB607" s="1">
        <v>25.06</v>
      </c>
      <c r="AC607" s="1">
        <v>57.14</v>
      </c>
      <c r="AD607" s="1">
        <v>0.588414125500905</v>
      </c>
      <c r="AE607" s="1">
        <v>0.0</v>
      </c>
      <c r="AF607" s="1">
        <v>0.0</v>
      </c>
      <c r="AG607" s="1">
        <v>6.337</v>
      </c>
      <c r="AH607" s="1">
        <v>6.781</v>
      </c>
      <c r="AI607" s="1" t="b">
        <v>0</v>
      </c>
      <c r="AJ607" s="1" t="b">
        <v>0</v>
      </c>
      <c r="AK607" s="1">
        <v>94.182</v>
      </c>
      <c r="AL607" s="1">
        <v>96.508</v>
      </c>
      <c r="AM607" s="1" t="b">
        <v>0</v>
      </c>
      <c r="AN607" s="1" t="b">
        <v>0</v>
      </c>
      <c r="AO607" s="1">
        <v>8.05</v>
      </c>
      <c r="AP607" s="1">
        <v>8.53399999999999</v>
      </c>
      <c r="AQ607" s="1" t="b">
        <v>0</v>
      </c>
      <c r="AR607" s="1" t="b">
        <v>0</v>
      </c>
      <c r="AS607" s="1">
        <v>86.9179999999999</v>
      </c>
      <c r="AT607" s="1">
        <v>87.152</v>
      </c>
      <c r="AU607" s="1" t="b">
        <v>0</v>
      </c>
      <c r="AV607" s="1" t="b">
        <v>0</v>
      </c>
      <c r="AW607" s="1">
        <v>9.61399999999999</v>
      </c>
      <c r="AX607" s="1">
        <v>11.026</v>
      </c>
      <c r="AY607" s="1" t="b">
        <v>0</v>
      </c>
      <c r="AZ607" s="1" t="b">
        <v>0</v>
      </c>
      <c r="BA607" s="1">
        <v>81.25</v>
      </c>
      <c r="BB607" s="1">
        <v>77.78</v>
      </c>
      <c r="BC607" s="1" t="b">
        <v>0</v>
      </c>
      <c r="BD607" s="1" t="b">
        <v>0</v>
      </c>
      <c r="BE607" s="1">
        <v>11.34</v>
      </c>
      <c r="BF607" s="1">
        <v>13.285</v>
      </c>
      <c r="BG607" s="1" t="b">
        <v>0</v>
      </c>
      <c r="BH607" s="1" t="b">
        <v>0</v>
      </c>
      <c r="BI607" s="1">
        <v>77.78</v>
      </c>
      <c r="BJ607" s="1">
        <v>75.0</v>
      </c>
      <c r="BK607" s="1" t="b">
        <v>0</v>
      </c>
      <c r="BL607" s="1" t="b">
        <v>0</v>
      </c>
      <c r="BM607" s="1">
        <v>13.121</v>
      </c>
      <c r="BN607" s="1">
        <v>14.568</v>
      </c>
      <c r="BO607" s="1" t="b">
        <v>0</v>
      </c>
      <c r="BP607" s="1" t="b">
        <v>0</v>
      </c>
      <c r="BQ607" s="1">
        <v>75.0</v>
      </c>
      <c r="BR607" s="1">
        <v>72.027</v>
      </c>
      <c r="BS607" s="1" t="b">
        <v>0</v>
      </c>
      <c r="BT607" s="1" t="b">
        <v>0</v>
      </c>
      <c r="BU607" s="1" t="s">
        <v>105</v>
      </c>
      <c r="BV607" s="1" t="s">
        <v>105</v>
      </c>
      <c r="BW607" s="1" t="s">
        <v>105</v>
      </c>
      <c r="BX607" s="1" t="s">
        <v>105</v>
      </c>
      <c r="BY607" s="1" t="s">
        <v>105</v>
      </c>
      <c r="BZ607" s="1" t="s">
        <v>105</v>
      </c>
      <c r="CA607" s="1" t="s">
        <v>105</v>
      </c>
      <c r="CB607" s="1" t="s">
        <v>105</v>
      </c>
      <c r="CC607" s="1" t="s">
        <v>105</v>
      </c>
      <c r="CD607" s="1" t="s">
        <v>105</v>
      </c>
      <c r="CE607" s="4"/>
      <c r="CF607" s="4"/>
    </row>
    <row r="608" hidden="1">
      <c r="A608" s="1" t="s">
        <v>82</v>
      </c>
      <c r="B608" s="1" t="s">
        <v>427</v>
      </c>
      <c r="C608" s="1">
        <v>9.0</v>
      </c>
      <c r="D608" s="5" t="s">
        <v>2666</v>
      </c>
      <c r="E608" s="1" t="s">
        <v>2667</v>
      </c>
      <c r="F608" s="1">
        <v>75.0</v>
      </c>
      <c r="G608" s="1">
        <v>0.9531</v>
      </c>
      <c r="H608" s="1" t="s">
        <v>2668</v>
      </c>
      <c r="I608" s="4" t="b">
        <f>IFERROR(__xludf.DUMMYFUNCTION("IF(H608="""",,REGEXMATCH(H608,""[א-ת]""))"),FALSE)</f>
        <v>0</v>
      </c>
      <c r="J608" s="4"/>
      <c r="K608" s="4"/>
      <c r="L608" s="1">
        <v>0.9638</v>
      </c>
      <c r="M608" s="1">
        <v>43.35</v>
      </c>
      <c r="N608" s="1">
        <v>41.33</v>
      </c>
      <c r="O608" s="1">
        <v>0.5510666667</v>
      </c>
      <c r="P608" s="4"/>
      <c r="Q608" s="4"/>
      <c r="R608" s="1" t="s">
        <v>96</v>
      </c>
      <c r="S608" s="1" t="s">
        <v>2667</v>
      </c>
      <c r="T608" s="1" t="s">
        <v>427</v>
      </c>
      <c r="U608" s="1">
        <v>10.0</v>
      </c>
      <c r="V608" s="5" t="s">
        <v>2666</v>
      </c>
      <c r="W608" s="1" t="s">
        <v>2667</v>
      </c>
      <c r="X608" s="1" t="s">
        <v>2669</v>
      </c>
      <c r="Y608" s="4"/>
      <c r="Z608" s="4"/>
      <c r="AA608" s="4" t="b">
        <f>IFERROR(__xludf.DUMMYFUNCTION("IF(X608="""",,REGEXMATCH(X608,""[א-ת]""))"),FALSE)</f>
        <v>0</v>
      </c>
      <c r="AB608" s="1">
        <v>41.33</v>
      </c>
      <c r="AC608" s="1">
        <v>34.67</v>
      </c>
      <c r="AD608" s="1">
        <v>0.702306398410995</v>
      </c>
      <c r="AE608" s="1">
        <v>0.9274</v>
      </c>
      <c r="AF608" s="1">
        <v>0.9531</v>
      </c>
      <c r="AG608" s="1">
        <v>6.337</v>
      </c>
      <c r="AH608" s="1">
        <v>6.781</v>
      </c>
      <c r="AI608" s="1" t="b">
        <v>0</v>
      </c>
      <c r="AJ608" s="1" t="b">
        <v>0</v>
      </c>
      <c r="AK608" s="1">
        <v>94.182</v>
      </c>
      <c r="AL608" s="1">
        <v>96.508</v>
      </c>
      <c r="AM608" s="1" t="b">
        <v>0</v>
      </c>
      <c r="AN608" s="1" t="b">
        <v>0</v>
      </c>
      <c r="AO608" s="1">
        <v>8.05</v>
      </c>
      <c r="AP608" s="1">
        <v>8.53399999999999</v>
      </c>
      <c r="AQ608" s="1" t="b">
        <v>0</v>
      </c>
      <c r="AR608" s="1" t="b">
        <v>0</v>
      </c>
      <c r="AS608" s="1">
        <v>86.9179999999999</v>
      </c>
      <c r="AT608" s="1">
        <v>87.152</v>
      </c>
      <c r="AU608" s="1" t="b">
        <v>0</v>
      </c>
      <c r="AV608" s="1" t="b">
        <v>0</v>
      </c>
      <c r="AW608" s="1">
        <v>9.61399999999999</v>
      </c>
      <c r="AX608" s="1">
        <v>11.026</v>
      </c>
      <c r="AY608" s="1" t="b">
        <v>0</v>
      </c>
      <c r="AZ608" s="1" t="b">
        <v>0</v>
      </c>
      <c r="BA608" s="1">
        <v>81.25</v>
      </c>
      <c r="BB608" s="1">
        <v>77.78</v>
      </c>
      <c r="BC608" s="1" t="b">
        <v>0</v>
      </c>
      <c r="BD608" s="1" t="b">
        <v>0</v>
      </c>
      <c r="BE608" s="1">
        <v>11.34</v>
      </c>
      <c r="BF608" s="1">
        <v>13.285</v>
      </c>
      <c r="BG608" s="1" t="b">
        <v>0</v>
      </c>
      <c r="BH608" s="1" t="b">
        <v>0</v>
      </c>
      <c r="BI608" s="1">
        <v>77.78</v>
      </c>
      <c r="BJ608" s="1">
        <v>75.0</v>
      </c>
      <c r="BK608" s="1" t="b">
        <v>0</v>
      </c>
      <c r="BL608" s="1" t="b">
        <v>0</v>
      </c>
      <c r="BM608" s="1">
        <v>13.121</v>
      </c>
      <c r="BN608" s="1">
        <v>14.568</v>
      </c>
      <c r="BO608" s="1" t="b">
        <v>0</v>
      </c>
      <c r="BP608" s="1" t="b">
        <v>0</v>
      </c>
      <c r="BQ608" s="1">
        <v>75.0</v>
      </c>
      <c r="BR608" s="1">
        <v>72.027</v>
      </c>
      <c r="BS608" s="1" t="b">
        <v>0</v>
      </c>
      <c r="BT608" s="1" t="b">
        <v>0</v>
      </c>
      <c r="BU608" s="1" t="s">
        <v>105</v>
      </c>
      <c r="BV608" s="1" t="s">
        <v>105</v>
      </c>
      <c r="BW608" s="1" t="s">
        <v>105</v>
      </c>
      <c r="BX608" s="1" t="s">
        <v>105</v>
      </c>
      <c r="BY608" s="1" t="s">
        <v>105</v>
      </c>
      <c r="BZ608" s="1" t="s">
        <v>105</v>
      </c>
      <c r="CA608" s="1" t="s">
        <v>105</v>
      </c>
      <c r="CB608" s="1" t="s">
        <v>105</v>
      </c>
      <c r="CC608" s="1" t="s">
        <v>105</v>
      </c>
      <c r="CD608" s="1" t="s">
        <v>105</v>
      </c>
      <c r="CE608" s="4"/>
      <c r="CF608" s="4"/>
    </row>
    <row r="609" hidden="1">
      <c r="A609" s="1" t="s">
        <v>82</v>
      </c>
      <c r="B609" s="1" t="s">
        <v>158</v>
      </c>
      <c r="C609" s="1">
        <v>2.0</v>
      </c>
      <c r="D609" s="5" t="s">
        <v>2670</v>
      </c>
      <c r="E609" s="1" t="s">
        <v>2671</v>
      </c>
      <c r="F609" s="1">
        <v>46.0</v>
      </c>
      <c r="G609" s="1">
        <v>0.0</v>
      </c>
      <c r="H609" s="1" t="s">
        <v>2672</v>
      </c>
      <c r="I609" s="4" t="b">
        <f>IFERROR(__xludf.DUMMYFUNCTION("IF(H609="""",,REGEXMATCH(H609,""[א-ת]""))"),FALSE)</f>
        <v>0</v>
      </c>
      <c r="J609" s="4"/>
      <c r="K609" s="4"/>
      <c r="L609" s="1">
        <v>0.0</v>
      </c>
      <c r="M609" s="1">
        <v>43.56</v>
      </c>
      <c r="N609" s="1">
        <v>47.83</v>
      </c>
      <c r="O609" s="1">
        <v>1.039782609</v>
      </c>
      <c r="P609" s="4"/>
      <c r="Q609" s="4"/>
      <c r="R609" s="1" t="s">
        <v>89</v>
      </c>
      <c r="S609" s="1" t="s">
        <v>2671</v>
      </c>
      <c r="T609" s="1" t="s">
        <v>158</v>
      </c>
      <c r="U609" s="1">
        <v>3.0</v>
      </c>
      <c r="V609" s="5" t="s">
        <v>2670</v>
      </c>
      <c r="W609" s="1" t="s">
        <v>2671</v>
      </c>
      <c r="X609" s="1" t="s">
        <v>2673</v>
      </c>
      <c r="Y609" s="4"/>
      <c r="Z609" s="4"/>
      <c r="AA609" s="4" t="b">
        <f>IFERROR(__xludf.DUMMYFUNCTION("IF(X609="""",,REGEXMATCH(X609,""[א-ת]""))"),FALSE)</f>
        <v>0</v>
      </c>
      <c r="AB609" s="1">
        <v>46.62</v>
      </c>
      <c r="AC609" s="1">
        <v>36.96</v>
      </c>
      <c r="AD609" s="1">
        <v>0.592086706164383</v>
      </c>
      <c r="AE609" s="1">
        <v>0.0</v>
      </c>
      <c r="AF609" s="1">
        <v>0.0</v>
      </c>
      <c r="AG609" s="1">
        <v>6.337</v>
      </c>
      <c r="AH609" s="1">
        <v>6.781</v>
      </c>
      <c r="AI609" s="1" t="b">
        <v>0</v>
      </c>
      <c r="AJ609" s="1" t="b">
        <v>0</v>
      </c>
      <c r="AK609" s="1">
        <v>94.182</v>
      </c>
      <c r="AL609" s="1">
        <v>96.508</v>
      </c>
      <c r="AM609" s="1" t="b">
        <v>0</v>
      </c>
      <c r="AN609" s="1" t="b">
        <v>0</v>
      </c>
      <c r="AO609" s="1">
        <v>8.05</v>
      </c>
      <c r="AP609" s="1">
        <v>8.53399999999999</v>
      </c>
      <c r="AQ609" s="1" t="b">
        <v>0</v>
      </c>
      <c r="AR609" s="1" t="b">
        <v>0</v>
      </c>
      <c r="AS609" s="1">
        <v>86.9179999999999</v>
      </c>
      <c r="AT609" s="1">
        <v>87.152</v>
      </c>
      <c r="AU609" s="1" t="b">
        <v>0</v>
      </c>
      <c r="AV609" s="1" t="b">
        <v>0</v>
      </c>
      <c r="AW609" s="1">
        <v>9.61399999999999</v>
      </c>
      <c r="AX609" s="1">
        <v>11.026</v>
      </c>
      <c r="AY609" s="1" t="b">
        <v>0</v>
      </c>
      <c r="AZ609" s="1" t="b">
        <v>0</v>
      </c>
      <c r="BA609" s="1">
        <v>81.25</v>
      </c>
      <c r="BB609" s="1">
        <v>77.78</v>
      </c>
      <c r="BC609" s="1" t="b">
        <v>0</v>
      </c>
      <c r="BD609" s="1" t="b">
        <v>0</v>
      </c>
      <c r="BE609" s="1">
        <v>11.34</v>
      </c>
      <c r="BF609" s="1">
        <v>13.285</v>
      </c>
      <c r="BG609" s="1" t="b">
        <v>0</v>
      </c>
      <c r="BH609" s="1" t="b">
        <v>0</v>
      </c>
      <c r="BI609" s="1">
        <v>77.78</v>
      </c>
      <c r="BJ609" s="1">
        <v>75.0</v>
      </c>
      <c r="BK609" s="1" t="b">
        <v>0</v>
      </c>
      <c r="BL609" s="1" t="b">
        <v>0</v>
      </c>
      <c r="BM609" s="1">
        <v>13.121</v>
      </c>
      <c r="BN609" s="1">
        <v>14.568</v>
      </c>
      <c r="BO609" s="1" t="b">
        <v>0</v>
      </c>
      <c r="BP609" s="1" t="b">
        <v>0</v>
      </c>
      <c r="BQ609" s="1">
        <v>75.0</v>
      </c>
      <c r="BR609" s="1">
        <v>72.027</v>
      </c>
      <c r="BS609" s="1" t="b">
        <v>0</v>
      </c>
      <c r="BT609" s="1" t="b">
        <v>0</v>
      </c>
      <c r="BU609" s="1" t="s">
        <v>105</v>
      </c>
      <c r="BV609" s="1" t="s">
        <v>105</v>
      </c>
      <c r="BW609" s="1" t="s">
        <v>105</v>
      </c>
      <c r="BX609" s="1" t="s">
        <v>105</v>
      </c>
      <c r="BY609" s="1" t="s">
        <v>105</v>
      </c>
      <c r="BZ609" s="1" t="s">
        <v>105</v>
      </c>
      <c r="CA609" s="1" t="s">
        <v>105</v>
      </c>
      <c r="CB609" s="1" t="s">
        <v>105</v>
      </c>
      <c r="CC609" s="1" t="s">
        <v>105</v>
      </c>
      <c r="CD609" s="1" t="s">
        <v>105</v>
      </c>
      <c r="CE609" s="4"/>
      <c r="CF609" s="4"/>
    </row>
    <row r="610" hidden="1">
      <c r="A610" s="1" t="s">
        <v>82</v>
      </c>
      <c r="B610" s="1" t="s">
        <v>262</v>
      </c>
      <c r="C610" s="1">
        <v>36.0</v>
      </c>
      <c r="D610" s="5" t="s">
        <v>2674</v>
      </c>
      <c r="E610" s="1" t="s">
        <v>2675</v>
      </c>
      <c r="F610" s="1">
        <v>130.0</v>
      </c>
      <c r="G610" s="1">
        <v>0.8713</v>
      </c>
      <c r="H610" s="1" t="s">
        <v>2676</v>
      </c>
      <c r="I610" s="4" t="b">
        <f>IFERROR(__xludf.DUMMYFUNCTION("IF(H610="""",,REGEXMATCH(H610,""[א-ת]""))"),FALSE)</f>
        <v>0</v>
      </c>
      <c r="J610" s="4"/>
      <c r="K610" s="4"/>
      <c r="L610" s="1">
        <v>0.9634</v>
      </c>
      <c r="M610" s="1">
        <v>43.73</v>
      </c>
      <c r="N610" s="1">
        <v>40.0</v>
      </c>
      <c r="O610" s="1">
        <v>0.3076923077</v>
      </c>
      <c r="P610" s="4"/>
      <c r="Q610" s="4"/>
      <c r="R610" s="1" t="s">
        <v>96</v>
      </c>
      <c r="S610" s="1" t="s">
        <v>2675</v>
      </c>
      <c r="T610" s="1" t="s">
        <v>262</v>
      </c>
      <c r="U610" s="1">
        <v>37.0</v>
      </c>
      <c r="V610" s="5" t="s">
        <v>2674</v>
      </c>
      <c r="W610" s="1" t="s">
        <v>2675</v>
      </c>
      <c r="X610" s="1" t="s">
        <v>2677</v>
      </c>
      <c r="Y610" s="4"/>
      <c r="Z610" s="4"/>
      <c r="AA610" s="4" t="b">
        <f>IFERROR(__xludf.DUMMYFUNCTION("IF(X610="""",,REGEXMATCH(X610,""[א-ת]""))"),FALSE)</f>
        <v>0</v>
      </c>
      <c r="AB610" s="1">
        <v>28.98</v>
      </c>
      <c r="AC610" s="1">
        <v>46.92</v>
      </c>
      <c r="AD610" s="1">
        <v>0.600543090187352</v>
      </c>
      <c r="AE610" s="1">
        <v>0.8946</v>
      </c>
      <c r="AF610" s="1">
        <v>0.8713</v>
      </c>
      <c r="AG610" s="1">
        <v>6.337</v>
      </c>
      <c r="AH610" s="1">
        <v>6.781</v>
      </c>
      <c r="AI610" s="1" t="b">
        <v>0</v>
      </c>
      <c r="AJ610" s="1" t="b">
        <v>0</v>
      </c>
      <c r="AK610" s="1">
        <v>94.182</v>
      </c>
      <c r="AL610" s="1">
        <v>96.508</v>
      </c>
      <c r="AM610" s="1" t="b">
        <v>0</v>
      </c>
      <c r="AN610" s="1" t="b">
        <v>0</v>
      </c>
      <c r="AO610" s="1">
        <v>8.05</v>
      </c>
      <c r="AP610" s="1">
        <v>8.53399999999999</v>
      </c>
      <c r="AQ610" s="1" t="b">
        <v>0</v>
      </c>
      <c r="AR610" s="1" t="b">
        <v>0</v>
      </c>
      <c r="AS610" s="1">
        <v>86.9179999999999</v>
      </c>
      <c r="AT610" s="1">
        <v>87.152</v>
      </c>
      <c r="AU610" s="1" t="b">
        <v>0</v>
      </c>
      <c r="AV610" s="1" t="b">
        <v>0</v>
      </c>
      <c r="AW610" s="1">
        <v>9.61399999999999</v>
      </c>
      <c r="AX610" s="1">
        <v>11.026</v>
      </c>
      <c r="AY610" s="1" t="b">
        <v>0</v>
      </c>
      <c r="AZ610" s="1" t="b">
        <v>0</v>
      </c>
      <c r="BA610" s="1">
        <v>81.25</v>
      </c>
      <c r="BB610" s="1">
        <v>77.78</v>
      </c>
      <c r="BC610" s="1" t="b">
        <v>0</v>
      </c>
      <c r="BD610" s="1" t="b">
        <v>0</v>
      </c>
      <c r="BE610" s="1">
        <v>11.34</v>
      </c>
      <c r="BF610" s="1">
        <v>13.285</v>
      </c>
      <c r="BG610" s="1" t="b">
        <v>0</v>
      </c>
      <c r="BH610" s="1" t="b">
        <v>0</v>
      </c>
      <c r="BI610" s="1">
        <v>77.78</v>
      </c>
      <c r="BJ610" s="1">
        <v>75.0</v>
      </c>
      <c r="BK610" s="1" t="b">
        <v>0</v>
      </c>
      <c r="BL610" s="1" t="b">
        <v>0</v>
      </c>
      <c r="BM610" s="1">
        <v>13.121</v>
      </c>
      <c r="BN610" s="1">
        <v>14.568</v>
      </c>
      <c r="BO610" s="1" t="b">
        <v>0</v>
      </c>
      <c r="BP610" s="1" t="b">
        <v>0</v>
      </c>
      <c r="BQ610" s="1">
        <v>75.0</v>
      </c>
      <c r="BR610" s="1">
        <v>72.027</v>
      </c>
      <c r="BS610" s="1" t="b">
        <v>0</v>
      </c>
      <c r="BT610" s="1" t="b">
        <v>0</v>
      </c>
      <c r="BU610" s="1" t="s">
        <v>105</v>
      </c>
      <c r="BV610" s="1" t="s">
        <v>105</v>
      </c>
      <c r="BW610" s="1" t="s">
        <v>105</v>
      </c>
      <c r="BX610" s="1" t="s">
        <v>105</v>
      </c>
      <c r="BY610" s="1" t="s">
        <v>105</v>
      </c>
      <c r="BZ610" s="1" t="s">
        <v>105</v>
      </c>
      <c r="CA610" s="1" t="s">
        <v>105</v>
      </c>
      <c r="CB610" s="1" t="s">
        <v>105</v>
      </c>
      <c r="CC610" s="1" t="s">
        <v>105</v>
      </c>
      <c r="CD610" s="1" t="s">
        <v>105</v>
      </c>
      <c r="CE610" s="4"/>
      <c r="CF610" s="4"/>
    </row>
    <row r="611" hidden="1">
      <c r="A611" s="1" t="s">
        <v>82</v>
      </c>
      <c r="B611" s="1" t="s">
        <v>83</v>
      </c>
      <c r="C611" s="1">
        <v>27.0</v>
      </c>
      <c r="D611" s="5" t="s">
        <v>2678</v>
      </c>
      <c r="E611" s="1" t="s">
        <v>2679</v>
      </c>
      <c r="F611" s="1">
        <v>54.0</v>
      </c>
      <c r="G611" s="1">
        <v>0.0</v>
      </c>
      <c r="H611" s="1" t="s">
        <v>2680</v>
      </c>
      <c r="I611" s="4" t="b">
        <f>IFERROR(__xludf.DUMMYFUNCTION("IF(H611="""",,REGEXMATCH(H611,""[א-ת]""))"),FALSE)</f>
        <v>0</v>
      </c>
      <c r="J611" s="4"/>
      <c r="K611" s="4"/>
      <c r="L611" s="1">
        <v>0.0</v>
      </c>
      <c r="M611" s="1">
        <v>43.74</v>
      </c>
      <c r="N611" s="1">
        <v>44.44</v>
      </c>
      <c r="O611" s="1">
        <v>0.822962963</v>
      </c>
      <c r="P611" s="4"/>
      <c r="Q611" s="4"/>
      <c r="R611" s="1" t="s">
        <v>89</v>
      </c>
      <c r="S611" s="1" t="s">
        <v>2679</v>
      </c>
      <c r="T611" s="1" t="s">
        <v>83</v>
      </c>
      <c r="U611" s="1">
        <v>28.0</v>
      </c>
      <c r="V611" s="5" t="s">
        <v>2678</v>
      </c>
      <c r="W611" s="1" t="s">
        <v>2679</v>
      </c>
      <c r="X611" s="1" t="s">
        <v>2681</v>
      </c>
      <c r="Y611" s="4"/>
      <c r="Z611" s="4"/>
      <c r="AA611" s="4" t="b">
        <f>IFERROR(__xludf.DUMMYFUNCTION("IF(X611="""",,REGEXMATCH(X611,""[א-ת]""))"),FALSE)</f>
        <v>0</v>
      </c>
      <c r="AB611" s="1">
        <v>34.14</v>
      </c>
      <c r="AC611" s="1">
        <v>46.3</v>
      </c>
      <c r="AD611" s="1">
        <v>0.253893330133826</v>
      </c>
      <c r="AE611" s="1">
        <v>0.0</v>
      </c>
      <c r="AF611" s="1">
        <v>0.0</v>
      </c>
      <c r="AG611" s="1">
        <v>6.337</v>
      </c>
      <c r="AH611" s="1">
        <v>6.781</v>
      </c>
      <c r="AI611" s="1" t="b">
        <v>0</v>
      </c>
      <c r="AJ611" s="1" t="b">
        <v>0</v>
      </c>
      <c r="AK611" s="1">
        <v>94.182</v>
      </c>
      <c r="AL611" s="1">
        <v>96.508</v>
      </c>
      <c r="AM611" s="1" t="b">
        <v>0</v>
      </c>
      <c r="AN611" s="1" t="b">
        <v>0</v>
      </c>
      <c r="AO611" s="1">
        <v>8.05</v>
      </c>
      <c r="AP611" s="1">
        <v>8.53399999999999</v>
      </c>
      <c r="AQ611" s="1" t="b">
        <v>0</v>
      </c>
      <c r="AR611" s="1" t="b">
        <v>0</v>
      </c>
      <c r="AS611" s="1">
        <v>86.9179999999999</v>
      </c>
      <c r="AT611" s="1">
        <v>87.152</v>
      </c>
      <c r="AU611" s="1" t="b">
        <v>0</v>
      </c>
      <c r="AV611" s="1" t="b">
        <v>0</v>
      </c>
      <c r="AW611" s="1">
        <v>9.61399999999999</v>
      </c>
      <c r="AX611" s="1">
        <v>11.026</v>
      </c>
      <c r="AY611" s="1" t="b">
        <v>0</v>
      </c>
      <c r="AZ611" s="1" t="b">
        <v>0</v>
      </c>
      <c r="BA611" s="1">
        <v>81.25</v>
      </c>
      <c r="BB611" s="1">
        <v>77.78</v>
      </c>
      <c r="BC611" s="1" t="b">
        <v>0</v>
      </c>
      <c r="BD611" s="1" t="b">
        <v>0</v>
      </c>
      <c r="BE611" s="1">
        <v>11.34</v>
      </c>
      <c r="BF611" s="1">
        <v>13.285</v>
      </c>
      <c r="BG611" s="1" t="b">
        <v>0</v>
      </c>
      <c r="BH611" s="1" t="b">
        <v>0</v>
      </c>
      <c r="BI611" s="1">
        <v>77.78</v>
      </c>
      <c r="BJ611" s="1">
        <v>75.0</v>
      </c>
      <c r="BK611" s="1" t="b">
        <v>0</v>
      </c>
      <c r="BL611" s="1" t="b">
        <v>0</v>
      </c>
      <c r="BM611" s="1">
        <v>13.121</v>
      </c>
      <c r="BN611" s="1">
        <v>14.568</v>
      </c>
      <c r="BO611" s="1" t="b">
        <v>0</v>
      </c>
      <c r="BP611" s="1" t="b">
        <v>0</v>
      </c>
      <c r="BQ611" s="1">
        <v>75.0</v>
      </c>
      <c r="BR611" s="1">
        <v>72.027</v>
      </c>
      <c r="BS611" s="1" t="b">
        <v>0</v>
      </c>
      <c r="BT611" s="1" t="b">
        <v>0</v>
      </c>
      <c r="BU611" s="1" t="s">
        <v>105</v>
      </c>
      <c r="BV611" s="1" t="s">
        <v>105</v>
      </c>
      <c r="BW611" s="1" t="s">
        <v>105</v>
      </c>
      <c r="BX611" s="1" t="s">
        <v>105</v>
      </c>
      <c r="BY611" s="1" t="s">
        <v>105</v>
      </c>
      <c r="BZ611" s="1" t="s">
        <v>105</v>
      </c>
      <c r="CA611" s="1" t="s">
        <v>105</v>
      </c>
      <c r="CB611" s="1" t="s">
        <v>105</v>
      </c>
      <c r="CC611" s="1" t="s">
        <v>105</v>
      </c>
      <c r="CD611" s="1" t="s">
        <v>105</v>
      </c>
      <c r="CE611" s="4"/>
      <c r="CF611" s="4"/>
    </row>
    <row r="612" hidden="1">
      <c r="A612" s="1" t="s">
        <v>82</v>
      </c>
      <c r="B612" s="1" t="s">
        <v>83</v>
      </c>
      <c r="C612" s="1">
        <v>23.0</v>
      </c>
      <c r="D612" s="5" t="s">
        <v>2682</v>
      </c>
      <c r="E612" s="1" t="s">
        <v>2683</v>
      </c>
      <c r="F612" s="1">
        <v>53.0</v>
      </c>
      <c r="G612" s="1">
        <v>0.7506</v>
      </c>
      <c r="H612" s="1" t="s">
        <v>2684</v>
      </c>
      <c r="I612" s="4" t="b">
        <f>IFERROR(__xludf.DUMMYFUNCTION("IF(H612="""",,REGEXMATCH(H612,""[א-ת]""))"),FALSE)</f>
        <v>0</v>
      </c>
      <c r="J612" s="4"/>
      <c r="K612" s="4"/>
      <c r="L612" s="1">
        <v>0.8316</v>
      </c>
      <c r="M612" s="1">
        <v>43.88</v>
      </c>
      <c r="N612" s="1">
        <v>41.51</v>
      </c>
      <c r="O612" s="1">
        <v>0.7832075472</v>
      </c>
      <c r="P612" s="4"/>
      <c r="Q612" s="4"/>
      <c r="R612" s="1" t="s">
        <v>89</v>
      </c>
      <c r="S612" s="1" t="s">
        <v>2683</v>
      </c>
      <c r="T612" s="1" t="s">
        <v>83</v>
      </c>
      <c r="U612" s="1">
        <v>24.0</v>
      </c>
      <c r="V612" s="5" t="s">
        <v>2682</v>
      </c>
      <c r="W612" s="1" t="s">
        <v>2683</v>
      </c>
      <c r="X612" s="1" t="s">
        <v>2685</v>
      </c>
      <c r="Y612" s="4"/>
      <c r="Z612" s="4"/>
      <c r="AA612" s="4" t="b">
        <f>IFERROR(__xludf.DUMMYFUNCTION("IF(X612="""",,REGEXMATCH(X612,""[א-ת]""))"),FALSE)</f>
        <v>0</v>
      </c>
      <c r="AB612" s="1">
        <v>46.31</v>
      </c>
      <c r="AC612" s="1">
        <v>37.74</v>
      </c>
      <c r="AD612" s="1">
        <v>0.763164970631005</v>
      </c>
      <c r="AE612" s="1">
        <v>0.7506</v>
      </c>
      <c r="AF612" s="1">
        <v>0.7506</v>
      </c>
      <c r="AG612" s="1">
        <v>6.337</v>
      </c>
      <c r="AH612" s="1">
        <v>6.781</v>
      </c>
      <c r="AI612" s="1" t="b">
        <v>0</v>
      </c>
      <c r="AJ612" s="1" t="b">
        <v>0</v>
      </c>
      <c r="AK612" s="1">
        <v>94.182</v>
      </c>
      <c r="AL612" s="1">
        <v>96.508</v>
      </c>
      <c r="AM612" s="1" t="b">
        <v>0</v>
      </c>
      <c r="AN612" s="1" t="b">
        <v>0</v>
      </c>
      <c r="AO612" s="1">
        <v>8.05</v>
      </c>
      <c r="AP612" s="1">
        <v>8.53399999999999</v>
      </c>
      <c r="AQ612" s="1" t="b">
        <v>0</v>
      </c>
      <c r="AR612" s="1" t="b">
        <v>0</v>
      </c>
      <c r="AS612" s="1">
        <v>86.9179999999999</v>
      </c>
      <c r="AT612" s="1">
        <v>87.152</v>
      </c>
      <c r="AU612" s="1" t="b">
        <v>0</v>
      </c>
      <c r="AV612" s="1" t="b">
        <v>0</v>
      </c>
      <c r="AW612" s="1">
        <v>9.61399999999999</v>
      </c>
      <c r="AX612" s="1">
        <v>11.026</v>
      </c>
      <c r="AY612" s="1" t="b">
        <v>0</v>
      </c>
      <c r="AZ612" s="1" t="b">
        <v>0</v>
      </c>
      <c r="BA612" s="1">
        <v>81.25</v>
      </c>
      <c r="BB612" s="1">
        <v>77.78</v>
      </c>
      <c r="BC612" s="1" t="b">
        <v>0</v>
      </c>
      <c r="BD612" s="1" t="b">
        <v>0</v>
      </c>
      <c r="BE612" s="1">
        <v>11.34</v>
      </c>
      <c r="BF612" s="1">
        <v>13.285</v>
      </c>
      <c r="BG612" s="1" t="b">
        <v>0</v>
      </c>
      <c r="BH612" s="1" t="b">
        <v>0</v>
      </c>
      <c r="BI612" s="1">
        <v>77.78</v>
      </c>
      <c r="BJ612" s="1">
        <v>75.0</v>
      </c>
      <c r="BK612" s="1" t="b">
        <v>0</v>
      </c>
      <c r="BL612" s="1" t="b">
        <v>0</v>
      </c>
      <c r="BM612" s="1">
        <v>13.121</v>
      </c>
      <c r="BN612" s="1">
        <v>14.568</v>
      </c>
      <c r="BO612" s="1" t="b">
        <v>0</v>
      </c>
      <c r="BP612" s="1" t="b">
        <v>0</v>
      </c>
      <c r="BQ612" s="1">
        <v>75.0</v>
      </c>
      <c r="BR612" s="1">
        <v>72.027</v>
      </c>
      <c r="BS612" s="1" t="b">
        <v>0</v>
      </c>
      <c r="BT612" s="1" t="b">
        <v>0</v>
      </c>
      <c r="BU612" s="1" t="s">
        <v>105</v>
      </c>
      <c r="BV612" s="1" t="s">
        <v>105</v>
      </c>
      <c r="BW612" s="1" t="s">
        <v>105</v>
      </c>
      <c r="BX612" s="1" t="s">
        <v>105</v>
      </c>
      <c r="BY612" s="1" t="s">
        <v>105</v>
      </c>
      <c r="BZ612" s="1" t="s">
        <v>105</v>
      </c>
      <c r="CA612" s="1" t="s">
        <v>105</v>
      </c>
      <c r="CB612" s="1" t="s">
        <v>105</v>
      </c>
      <c r="CC612" s="1" t="s">
        <v>105</v>
      </c>
      <c r="CD612" s="1" t="s">
        <v>105</v>
      </c>
      <c r="CE612" s="4"/>
      <c r="CF612" s="4"/>
    </row>
    <row r="613" hidden="1">
      <c r="A613" s="1" t="s">
        <v>82</v>
      </c>
      <c r="B613" s="1" t="s">
        <v>197</v>
      </c>
      <c r="C613" s="1">
        <v>4.0</v>
      </c>
      <c r="D613" s="5" t="s">
        <v>2686</v>
      </c>
      <c r="E613" s="1" t="s">
        <v>2687</v>
      </c>
      <c r="F613" s="1">
        <v>33.0</v>
      </c>
      <c r="G613" s="1">
        <v>-0.3182</v>
      </c>
      <c r="H613" s="1" t="s">
        <v>2688</v>
      </c>
      <c r="I613" s="4" t="b">
        <f>IFERROR(__xludf.DUMMYFUNCTION("IF(H613="""",,REGEXMATCH(H613,""[א-ת]""))"),FALSE)</f>
        <v>0</v>
      </c>
      <c r="J613" s="4"/>
      <c r="K613" s="4"/>
      <c r="L613" s="1">
        <v>-0.3612</v>
      </c>
      <c r="M613" s="1">
        <v>43.99</v>
      </c>
      <c r="N613" s="1">
        <v>30.3</v>
      </c>
      <c r="O613" s="1">
        <v>0.9181818182</v>
      </c>
      <c r="P613" s="4"/>
      <c r="Q613" s="4"/>
      <c r="R613" s="1" t="s">
        <v>89</v>
      </c>
      <c r="S613" s="1" t="s">
        <v>2687</v>
      </c>
      <c r="T613" s="1" t="s">
        <v>197</v>
      </c>
      <c r="U613" s="1">
        <v>5.0</v>
      </c>
      <c r="V613" s="5" t="s">
        <v>2686</v>
      </c>
      <c r="W613" s="1" t="s">
        <v>2687</v>
      </c>
      <c r="X613" s="1" t="s">
        <v>2689</v>
      </c>
      <c r="Y613" s="4"/>
      <c r="Z613" s="4"/>
      <c r="AA613" s="4" t="b">
        <f>IFERROR(__xludf.DUMMYFUNCTION("IF(X613="""",,REGEXMATCH(X613,""[א-ת]""))"),FALSE)</f>
        <v>0</v>
      </c>
      <c r="AB613" s="1">
        <v>32.23</v>
      </c>
      <c r="AC613" s="1">
        <v>39.39</v>
      </c>
      <c r="AD613" s="1">
        <v>0.662102439446762</v>
      </c>
      <c r="AE613" s="1">
        <v>-0.4199</v>
      </c>
      <c r="AF613" s="1">
        <v>-0.3182</v>
      </c>
      <c r="AG613" s="1">
        <v>6.337</v>
      </c>
      <c r="AH613" s="1">
        <v>6.781</v>
      </c>
      <c r="AI613" s="1" t="b">
        <v>0</v>
      </c>
      <c r="AJ613" s="1" t="b">
        <v>0</v>
      </c>
      <c r="AK613" s="1">
        <v>94.182</v>
      </c>
      <c r="AL613" s="1">
        <v>96.508</v>
      </c>
      <c r="AM613" s="1" t="b">
        <v>0</v>
      </c>
      <c r="AN613" s="1" t="b">
        <v>0</v>
      </c>
      <c r="AO613" s="1">
        <v>8.05</v>
      </c>
      <c r="AP613" s="1">
        <v>8.53399999999999</v>
      </c>
      <c r="AQ613" s="1" t="b">
        <v>0</v>
      </c>
      <c r="AR613" s="1" t="b">
        <v>0</v>
      </c>
      <c r="AS613" s="1">
        <v>86.9179999999999</v>
      </c>
      <c r="AT613" s="1">
        <v>87.152</v>
      </c>
      <c r="AU613" s="1" t="b">
        <v>0</v>
      </c>
      <c r="AV613" s="1" t="b">
        <v>0</v>
      </c>
      <c r="AW613" s="1">
        <v>9.61399999999999</v>
      </c>
      <c r="AX613" s="1">
        <v>11.026</v>
      </c>
      <c r="AY613" s="1" t="b">
        <v>0</v>
      </c>
      <c r="AZ613" s="1" t="b">
        <v>0</v>
      </c>
      <c r="BA613" s="1">
        <v>81.25</v>
      </c>
      <c r="BB613" s="1">
        <v>77.78</v>
      </c>
      <c r="BC613" s="1" t="b">
        <v>0</v>
      </c>
      <c r="BD613" s="1" t="b">
        <v>0</v>
      </c>
      <c r="BE613" s="1">
        <v>11.34</v>
      </c>
      <c r="BF613" s="1">
        <v>13.285</v>
      </c>
      <c r="BG613" s="1" t="b">
        <v>0</v>
      </c>
      <c r="BH613" s="1" t="b">
        <v>0</v>
      </c>
      <c r="BI613" s="1">
        <v>77.78</v>
      </c>
      <c r="BJ613" s="1">
        <v>75.0</v>
      </c>
      <c r="BK613" s="1" t="b">
        <v>0</v>
      </c>
      <c r="BL613" s="1" t="b">
        <v>0</v>
      </c>
      <c r="BM613" s="1">
        <v>13.121</v>
      </c>
      <c r="BN613" s="1">
        <v>14.568</v>
      </c>
      <c r="BO613" s="1" t="b">
        <v>0</v>
      </c>
      <c r="BP613" s="1" t="b">
        <v>0</v>
      </c>
      <c r="BQ613" s="1">
        <v>75.0</v>
      </c>
      <c r="BR613" s="1">
        <v>72.027</v>
      </c>
      <c r="BS613" s="1" t="b">
        <v>0</v>
      </c>
      <c r="BT613" s="1" t="b">
        <v>0</v>
      </c>
      <c r="BU613" s="1" t="s">
        <v>105</v>
      </c>
      <c r="BV613" s="1" t="s">
        <v>105</v>
      </c>
      <c r="BW613" s="1" t="s">
        <v>105</v>
      </c>
      <c r="BX613" s="1" t="s">
        <v>105</v>
      </c>
      <c r="BY613" s="1" t="s">
        <v>105</v>
      </c>
      <c r="BZ613" s="1" t="s">
        <v>105</v>
      </c>
      <c r="CA613" s="1" t="s">
        <v>105</v>
      </c>
      <c r="CB613" s="1" t="s">
        <v>105</v>
      </c>
      <c r="CC613" s="1" t="s">
        <v>105</v>
      </c>
      <c r="CD613" s="1" t="s">
        <v>105</v>
      </c>
      <c r="CE613" s="4"/>
      <c r="CF613" s="4"/>
    </row>
    <row r="614" hidden="1">
      <c r="A614" s="1" t="s">
        <v>82</v>
      </c>
      <c r="B614" s="1" t="s">
        <v>262</v>
      </c>
      <c r="C614" s="1">
        <v>32.0</v>
      </c>
      <c r="D614" s="5" t="s">
        <v>2690</v>
      </c>
      <c r="E614" s="1" t="s">
        <v>2691</v>
      </c>
      <c r="F614" s="1">
        <v>110.0</v>
      </c>
      <c r="G614" s="1">
        <v>0.4404</v>
      </c>
      <c r="H614" s="1" t="s">
        <v>2692</v>
      </c>
      <c r="I614" s="4" t="b">
        <f>IFERROR(__xludf.DUMMYFUNCTION("IF(H614="""",,REGEXMATCH(H614,""[א-ת]""))"),FALSE)</f>
        <v>0</v>
      </c>
      <c r="J614" s="4"/>
      <c r="K614" s="4"/>
      <c r="L614" s="1">
        <v>0.168</v>
      </c>
      <c r="M614" s="1">
        <v>44.27</v>
      </c>
      <c r="N614" s="1">
        <v>41.82</v>
      </c>
      <c r="O614" s="1">
        <v>0.3801818182</v>
      </c>
      <c r="P614" s="4"/>
      <c r="Q614" s="4"/>
      <c r="R614" s="1" t="s">
        <v>96</v>
      </c>
      <c r="S614" s="1" t="s">
        <v>2691</v>
      </c>
      <c r="T614" s="1" t="s">
        <v>262</v>
      </c>
      <c r="U614" s="1">
        <v>33.0</v>
      </c>
      <c r="V614" s="5" t="s">
        <v>2690</v>
      </c>
      <c r="W614" s="1" t="s">
        <v>2691</v>
      </c>
      <c r="X614" s="1" t="s">
        <v>2693</v>
      </c>
      <c r="Y614" s="4"/>
      <c r="Z614" s="4"/>
      <c r="AA614" s="4" t="b">
        <f>IFERROR(__xludf.DUMMYFUNCTION("IF(X614="""",,REGEXMATCH(X614,""[א-ת]""))"),FALSE)</f>
        <v>0</v>
      </c>
      <c r="AB614" s="1">
        <v>45.98</v>
      </c>
      <c r="AC614" s="1">
        <v>35.45</v>
      </c>
      <c r="AD614" s="1">
        <v>0.66430929640705</v>
      </c>
      <c r="AE614" s="1">
        <v>0.264</v>
      </c>
      <c r="AF614" s="1">
        <v>0.4404</v>
      </c>
      <c r="AG614" s="1">
        <v>6.337</v>
      </c>
      <c r="AH614" s="1">
        <v>6.781</v>
      </c>
      <c r="AI614" s="1" t="b">
        <v>0</v>
      </c>
      <c r="AJ614" s="1" t="b">
        <v>0</v>
      </c>
      <c r="AK614" s="1">
        <v>94.182</v>
      </c>
      <c r="AL614" s="1">
        <v>96.508</v>
      </c>
      <c r="AM614" s="1" t="b">
        <v>0</v>
      </c>
      <c r="AN614" s="1" t="b">
        <v>0</v>
      </c>
      <c r="AO614" s="1">
        <v>8.05</v>
      </c>
      <c r="AP614" s="1">
        <v>8.53399999999999</v>
      </c>
      <c r="AQ614" s="1" t="b">
        <v>0</v>
      </c>
      <c r="AR614" s="1" t="b">
        <v>0</v>
      </c>
      <c r="AS614" s="1">
        <v>86.9179999999999</v>
      </c>
      <c r="AT614" s="1">
        <v>87.152</v>
      </c>
      <c r="AU614" s="1" t="b">
        <v>0</v>
      </c>
      <c r="AV614" s="1" t="b">
        <v>0</v>
      </c>
      <c r="AW614" s="1">
        <v>9.61399999999999</v>
      </c>
      <c r="AX614" s="1">
        <v>11.026</v>
      </c>
      <c r="AY614" s="1" t="b">
        <v>0</v>
      </c>
      <c r="AZ614" s="1" t="b">
        <v>0</v>
      </c>
      <c r="BA614" s="1">
        <v>81.25</v>
      </c>
      <c r="BB614" s="1">
        <v>77.78</v>
      </c>
      <c r="BC614" s="1" t="b">
        <v>0</v>
      </c>
      <c r="BD614" s="1" t="b">
        <v>0</v>
      </c>
      <c r="BE614" s="1">
        <v>11.34</v>
      </c>
      <c r="BF614" s="1">
        <v>13.285</v>
      </c>
      <c r="BG614" s="1" t="b">
        <v>0</v>
      </c>
      <c r="BH614" s="1" t="b">
        <v>0</v>
      </c>
      <c r="BI614" s="1">
        <v>77.78</v>
      </c>
      <c r="BJ614" s="1">
        <v>75.0</v>
      </c>
      <c r="BK614" s="1" t="b">
        <v>0</v>
      </c>
      <c r="BL614" s="1" t="b">
        <v>0</v>
      </c>
      <c r="BM614" s="1">
        <v>13.121</v>
      </c>
      <c r="BN614" s="1">
        <v>14.568</v>
      </c>
      <c r="BO614" s="1" t="b">
        <v>0</v>
      </c>
      <c r="BP614" s="1" t="b">
        <v>0</v>
      </c>
      <c r="BQ614" s="1">
        <v>75.0</v>
      </c>
      <c r="BR614" s="1">
        <v>72.027</v>
      </c>
      <c r="BS614" s="1" t="b">
        <v>0</v>
      </c>
      <c r="BT614" s="1" t="b">
        <v>0</v>
      </c>
      <c r="BU614" s="1" t="s">
        <v>105</v>
      </c>
      <c r="BV614" s="1" t="s">
        <v>105</v>
      </c>
      <c r="BW614" s="1" t="s">
        <v>105</v>
      </c>
      <c r="BX614" s="1" t="s">
        <v>105</v>
      </c>
      <c r="BY614" s="1" t="s">
        <v>105</v>
      </c>
      <c r="BZ614" s="1" t="s">
        <v>105</v>
      </c>
      <c r="CA614" s="1" t="s">
        <v>105</v>
      </c>
      <c r="CB614" s="1" t="s">
        <v>105</v>
      </c>
      <c r="CC614" s="1" t="s">
        <v>105</v>
      </c>
      <c r="CD614" s="1" t="s">
        <v>105</v>
      </c>
      <c r="CE614" s="4"/>
      <c r="CF614" s="4"/>
    </row>
    <row r="615" hidden="1">
      <c r="A615" s="1" t="s">
        <v>82</v>
      </c>
      <c r="B615" s="1" t="s">
        <v>92</v>
      </c>
      <c r="C615" s="1">
        <v>24.0</v>
      </c>
      <c r="D615" s="5" t="s">
        <v>2694</v>
      </c>
      <c r="E615" s="1" t="s">
        <v>2695</v>
      </c>
      <c r="F615" s="1">
        <v>71.0</v>
      </c>
      <c r="G615" s="1">
        <v>0.765</v>
      </c>
      <c r="H615" s="1" t="s">
        <v>2696</v>
      </c>
      <c r="I615" s="4" t="b">
        <f>IFERROR(__xludf.DUMMYFUNCTION("IF(H615="""",,REGEXMATCH(H615,""[א-ת]""))"),FALSE)</f>
        <v>0</v>
      </c>
      <c r="J615" s="1" t="s">
        <v>2697</v>
      </c>
      <c r="K615" s="4"/>
      <c r="L615" s="1">
        <v>0.8402</v>
      </c>
      <c r="M615" s="1">
        <v>44.33</v>
      </c>
      <c r="N615" s="1">
        <v>33.8</v>
      </c>
      <c r="O615" s="1">
        <v>0.476056338</v>
      </c>
      <c r="P615" s="4"/>
      <c r="Q615" s="4"/>
      <c r="R615" s="1" t="s">
        <v>96</v>
      </c>
      <c r="S615" s="1" t="s">
        <v>2695</v>
      </c>
      <c r="T615" s="1" t="s">
        <v>92</v>
      </c>
      <c r="U615" s="1">
        <v>25.0</v>
      </c>
      <c r="V615" s="5" t="s">
        <v>2694</v>
      </c>
      <c r="W615" s="1" t="s">
        <v>2695</v>
      </c>
      <c r="X615" s="1" t="s">
        <v>2698</v>
      </c>
      <c r="Y615" s="4"/>
      <c r="Z615" s="4"/>
      <c r="AA615" s="4" t="b">
        <f>IFERROR(__xludf.DUMMYFUNCTION("IF(X615="""",,REGEXMATCH(X615,""[א-ת]""))"),FALSE)</f>
        <v>0</v>
      </c>
      <c r="AB615" s="1">
        <v>44.62</v>
      </c>
      <c r="AC615" s="1">
        <v>39.44</v>
      </c>
      <c r="AD615" s="1">
        <v>0.801973685945639</v>
      </c>
      <c r="AE615" s="1">
        <v>0.6249</v>
      </c>
      <c r="AF615" s="1">
        <v>0.765</v>
      </c>
      <c r="AG615" s="1">
        <v>6.337</v>
      </c>
      <c r="AH615" s="1">
        <v>6.781</v>
      </c>
      <c r="AI615" s="1" t="b">
        <v>0</v>
      </c>
      <c r="AJ615" s="1" t="b">
        <v>0</v>
      </c>
      <c r="AK615" s="1">
        <v>94.182</v>
      </c>
      <c r="AL615" s="1">
        <v>96.508</v>
      </c>
      <c r="AM615" s="1" t="b">
        <v>0</v>
      </c>
      <c r="AN615" s="1" t="b">
        <v>0</v>
      </c>
      <c r="AO615" s="1">
        <v>8.05</v>
      </c>
      <c r="AP615" s="1">
        <v>8.53399999999999</v>
      </c>
      <c r="AQ615" s="1" t="b">
        <v>0</v>
      </c>
      <c r="AR615" s="1" t="b">
        <v>0</v>
      </c>
      <c r="AS615" s="1">
        <v>86.9179999999999</v>
      </c>
      <c r="AT615" s="1">
        <v>87.152</v>
      </c>
      <c r="AU615" s="1" t="b">
        <v>0</v>
      </c>
      <c r="AV615" s="1" t="b">
        <v>0</v>
      </c>
      <c r="AW615" s="1">
        <v>9.61399999999999</v>
      </c>
      <c r="AX615" s="1">
        <v>11.026</v>
      </c>
      <c r="AY615" s="1" t="b">
        <v>0</v>
      </c>
      <c r="AZ615" s="1" t="b">
        <v>0</v>
      </c>
      <c r="BA615" s="1">
        <v>81.25</v>
      </c>
      <c r="BB615" s="1">
        <v>77.78</v>
      </c>
      <c r="BC615" s="1" t="b">
        <v>0</v>
      </c>
      <c r="BD615" s="1" t="b">
        <v>0</v>
      </c>
      <c r="BE615" s="1">
        <v>11.34</v>
      </c>
      <c r="BF615" s="1">
        <v>13.285</v>
      </c>
      <c r="BG615" s="1" t="b">
        <v>0</v>
      </c>
      <c r="BH615" s="1" t="b">
        <v>0</v>
      </c>
      <c r="BI615" s="1">
        <v>77.78</v>
      </c>
      <c r="BJ615" s="1">
        <v>75.0</v>
      </c>
      <c r="BK615" s="1" t="b">
        <v>0</v>
      </c>
      <c r="BL615" s="1" t="b">
        <v>0</v>
      </c>
      <c r="BM615" s="1">
        <v>13.121</v>
      </c>
      <c r="BN615" s="1">
        <v>14.568</v>
      </c>
      <c r="BO615" s="1" t="b">
        <v>0</v>
      </c>
      <c r="BP615" s="1" t="b">
        <v>0</v>
      </c>
      <c r="BQ615" s="1">
        <v>75.0</v>
      </c>
      <c r="BR615" s="1">
        <v>72.027</v>
      </c>
      <c r="BS615" s="1" t="b">
        <v>0</v>
      </c>
      <c r="BT615" s="1" t="b">
        <v>0</v>
      </c>
      <c r="BU615" s="1" t="s">
        <v>105</v>
      </c>
      <c r="BV615" s="1" t="s">
        <v>105</v>
      </c>
      <c r="BW615" s="1" t="s">
        <v>105</v>
      </c>
      <c r="BX615" s="1" t="s">
        <v>105</v>
      </c>
      <c r="BY615" s="1" t="s">
        <v>105</v>
      </c>
      <c r="BZ615" s="1" t="s">
        <v>105</v>
      </c>
      <c r="CA615" s="1" t="s">
        <v>105</v>
      </c>
      <c r="CB615" s="1" t="s">
        <v>105</v>
      </c>
      <c r="CC615" s="1" t="s">
        <v>105</v>
      </c>
      <c r="CD615" s="1" t="s">
        <v>105</v>
      </c>
      <c r="CE615" s="4"/>
      <c r="CF615" s="4"/>
    </row>
    <row r="616" hidden="1">
      <c r="A616" s="1" t="s">
        <v>82</v>
      </c>
      <c r="B616" s="1" t="s">
        <v>197</v>
      </c>
      <c r="C616" s="1">
        <v>24.0</v>
      </c>
      <c r="D616" s="5" t="s">
        <v>2699</v>
      </c>
      <c r="E616" s="1" t="s">
        <v>2700</v>
      </c>
      <c r="F616" s="1">
        <v>76.0</v>
      </c>
      <c r="G616" s="1">
        <v>0.8292</v>
      </c>
      <c r="H616" s="1" t="s">
        <v>2701</v>
      </c>
      <c r="I616" s="4" t="b">
        <f>IFERROR(__xludf.DUMMYFUNCTION("IF(H616="""",,REGEXMATCH(H616,""[א-ת]""))"),FALSE)</f>
        <v>0</v>
      </c>
      <c r="J616" s="4"/>
      <c r="K616" s="4"/>
      <c r="L616" s="1">
        <v>0.9144</v>
      </c>
      <c r="M616" s="1">
        <v>45.08</v>
      </c>
      <c r="N616" s="1">
        <v>38.16</v>
      </c>
      <c r="O616" s="1">
        <v>0.5021052632</v>
      </c>
      <c r="P616" s="4"/>
      <c r="Q616" s="4"/>
      <c r="R616" s="1" t="s">
        <v>89</v>
      </c>
      <c r="S616" s="1" t="s">
        <v>2700</v>
      </c>
      <c r="T616" s="1" t="s">
        <v>197</v>
      </c>
      <c r="U616" s="1">
        <v>25.0</v>
      </c>
      <c r="V616" s="5" t="s">
        <v>2699</v>
      </c>
      <c r="W616" s="1" t="s">
        <v>2700</v>
      </c>
      <c r="X616" s="1" t="s">
        <v>2702</v>
      </c>
      <c r="Y616" s="4"/>
      <c r="Z616" s="4"/>
      <c r="AA616" s="4" t="b">
        <f>IFERROR(__xludf.DUMMYFUNCTION("IF(X616="""",,REGEXMATCH(X616,""[א-ת]""))"),FALSE)</f>
        <v>0</v>
      </c>
      <c r="AB616" s="1">
        <v>35.17</v>
      </c>
      <c r="AC616" s="1">
        <v>44.74</v>
      </c>
      <c r="AD616" s="1">
        <v>0.775856731163663</v>
      </c>
      <c r="AE616" s="1">
        <v>0.0119</v>
      </c>
      <c r="AF616" s="1">
        <v>0.8292</v>
      </c>
      <c r="AG616" s="1">
        <v>6.337</v>
      </c>
      <c r="AH616" s="1">
        <v>6.781</v>
      </c>
      <c r="AI616" s="1" t="b">
        <v>0</v>
      </c>
      <c r="AJ616" s="1" t="b">
        <v>0</v>
      </c>
      <c r="AK616" s="1">
        <v>94.182</v>
      </c>
      <c r="AL616" s="1">
        <v>96.508</v>
      </c>
      <c r="AM616" s="1" t="b">
        <v>0</v>
      </c>
      <c r="AN616" s="1" t="b">
        <v>0</v>
      </c>
      <c r="AO616" s="1">
        <v>8.05</v>
      </c>
      <c r="AP616" s="1">
        <v>8.53399999999999</v>
      </c>
      <c r="AQ616" s="1" t="b">
        <v>0</v>
      </c>
      <c r="AR616" s="1" t="b">
        <v>0</v>
      </c>
      <c r="AS616" s="1">
        <v>86.9179999999999</v>
      </c>
      <c r="AT616" s="1">
        <v>87.152</v>
      </c>
      <c r="AU616" s="1" t="b">
        <v>0</v>
      </c>
      <c r="AV616" s="1" t="b">
        <v>0</v>
      </c>
      <c r="AW616" s="1">
        <v>9.61399999999999</v>
      </c>
      <c r="AX616" s="1">
        <v>11.026</v>
      </c>
      <c r="AY616" s="1" t="b">
        <v>0</v>
      </c>
      <c r="AZ616" s="1" t="b">
        <v>0</v>
      </c>
      <c r="BA616" s="1">
        <v>81.25</v>
      </c>
      <c r="BB616" s="1">
        <v>77.78</v>
      </c>
      <c r="BC616" s="1" t="b">
        <v>0</v>
      </c>
      <c r="BD616" s="1" t="b">
        <v>0</v>
      </c>
      <c r="BE616" s="1">
        <v>11.34</v>
      </c>
      <c r="BF616" s="1">
        <v>13.285</v>
      </c>
      <c r="BG616" s="1" t="b">
        <v>0</v>
      </c>
      <c r="BH616" s="1" t="b">
        <v>0</v>
      </c>
      <c r="BI616" s="1">
        <v>77.78</v>
      </c>
      <c r="BJ616" s="1">
        <v>75.0</v>
      </c>
      <c r="BK616" s="1" t="b">
        <v>0</v>
      </c>
      <c r="BL616" s="1" t="b">
        <v>0</v>
      </c>
      <c r="BM616" s="1">
        <v>13.121</v>
      </c>
      <c r="BN616" s="1">
        <v>14.568</v>
      </c>
      <c r="BO616" s="1" t="b">
        <v>0</v>
      </c>
      <c r="BP616" s="1" t="b">
        <v>0</v>
      </c>
      <c r="BQ616" s="1">
        <v>75.0</v>
      </c>
      <c r="BR616" s="1">
        <v>72.027</v>
      </c>
      <c r="BS616" s="1" t="b">
        <v>0</v>
      </c>
      <c r="BT616" s="1" t="b">
        <v>0</v>
      </c>
      <c r="BU616" s="1" t="s">
        <v>105</v>
      </c>
      <c r="BV616" s="1" t="s">
        <v>105</v>
      </c>
      <c r="BW616" s="1" t="s">
        <v>105</v>
      </c>
      <c r="BX616" s="1" t="s">
        <v>105</v>
      </c>
      <c r="BY616" s="1" t="s">
        <v>105</v>
      </c>
      <c r="BZ616" s="1" t="s">
        <v>105</v>
      </c>
      <c r="CA616" s="1" t="s">
        <v>105</v>
      </c>
      <c r="CB616" s="1" t="s">
        <v>105</v>
      </c>
      <c r="CC616" s="1" t="s">
        <v>105</v>
      </c>
      <c r="CD616" s="1" t="s">
        <v>105</v>
      </c>
      <c r="CE616" s="4"/>
      <c r="CF616" s="4"/>
    </row>
    <row r="617" hidden="1">
      <c r="A617" s="1" t="s">
        <v>82</v>
      </c>
      <c r="B617" s="1" t="s">
        <v>304</v>
      </c>
      <c r="C617" s="1">
        <v>28.0</v>
      </c>
      <c r="D617" s="5" t="s">
        <v>2703</v>
      </c>
      <c r="E617" s="1" t="s">
        <v>2704</v>
      </c>
      <c r="F617" s="1">
        <v>67.0</v>
      </c>
      <c r="G617" s="1">
        <v>0.931</v>
      </c>
      <c r="H617" s="1" t="s">
        <v>2705</v>
      </c>
      <c r="I617" s="4" t="b">
        <f>IFERROR(__xludf.DUMMYFUNCTION("IF(H617="""",,REGEXMATCH(H617,""[א-ת]""))"),FALSE)</f>
        <v>0</v>
      </c>
      <c r="J617" s="4"/>
      <c r="K617" s="4"/>
      <c r="L617" s="1">
        <v>0.8968</v>
      </c>
      <c r="M617" s="1">
        <v>45.4</v>
      </c>
      <c r="N617" s="1">
        <v>38.81</v>
      </c>
      <c r="O617" s="1">
        <v>0.5792537313</v>
      </c>
      <c r="P617" s="4"/>
      <c r="Q617" s="4"/>
      <c r="R617" s="1" t="s">
        <v>89</v>
      </c>
      <c r="S617" s="1" t="s">
        <v>2704</v>
      </c>
      <c r="T617" s="1" t="s">
        <v>304</v>
      </c>
      <c r="U617" s="1">
        <v>29.0</v>
      </c>
      <c r="V617" s="5" t="s">
        <v>2703</v>
      </c>
      <c r="W617" s="1" t="s">
        <v>2704</v>
      </c>
      <c r="X617" s="1" t="s">
        <v>2706</v>
      </c>
      <c r="Y617" s="4"/>
      <c r="Z617" s="4"/>
      <c r="AA617" s="4" t="b">
        <f>IFERROR(__xludf.DUMMYFUNCTION("IF(X617="""",,REGEXMATCH(X617,""[א-ת]""))"),FALSE)</f>
        <v>0</v>
      </c>
      <c r="AB617" s="1">
        <v>52.01</v>
      </c>
      <c r="AC617" s="1">
        <v>22.39</v>
      </c>
      <c r="AD617" s="1">
        <v>0.797455532099443</v>
      </c>
      <c r="AE617" s="1">
        <v>0.8968</v>
      </c>
      <c r="AF617" s="1">
        <v>0.931</v>
      </c>
      <c r="AG617" s="1">
        <v>6.337</v>
      </c>
      <c r="AH617" s="1">
        <v>6.781</v>
      </c>
      <c r="AI617" s="1" t="b">
        <v>0</v>
      </c>
      <c r="AJ617" s="1" t="b">
        <v>0</v>
      </c>
      <c r="AK617" s="1">
        <v>94.182</v>
      </c>
      <c r="AL617" s="1">
        <v>96.508</v>
      </c>
      <c r="AM617" s="1" t="b">
        <v>0</v>
      </c>
      <c r="AN617" s="1" t="b">
        <v>0</v>
      </c>
      <c r="AO617" s="1">
        <v>8.05</v>
      </c>
      <c r="AP617" s="1">
        <v>8.53399999999999</v>
      </c>
      <c r="AQ617" s="1" t="b">
        <v>0</v>
      </c>
      <c r="AR617" s="1" t="b">
        <v>0</v>
      </c>
      <c r="AS617" s="1">
        <v>86.9179999999999</v>
      </c>
      <c r="AT617" s="1">
        <v>87.152</v>
      </c>
      <c r="AU617" s="1" t="b">
        <v>0</v>
      </c>
      <c r="AV617" s="1" t="b">
        <v>0</v>
      </c>
      <c r="AW617" s="1">
        <v>9.61399999999999</v>
      </c>
      <c r="AX617" s="1">
        <v>11.026</v>
      </c>
      <c r="AY617" s="1" t="b">
        <v>0</v>
      </c>
      <c r="AZ617" s="1" t="b">
        <v>0</v>
      </c>
      <c r="BA617" s="1">
        <v>81.25</v>
      </c>
      <c r="BB617" s="1">
        <v>77.78</v>
      </c>
      <c r="BC617" s="1" t="b">
        <v>0</v>
      </c>
      <c r="BD617" s="1" t="b">
        <v>0</v>
      </c>
      <c r="BE617" s="1">
        <v>11.34</v>
      </c>
      <c r="BF617" s="1">
        <v>13.285</v>
      </c>
      <c r="BG617" s="1" t="b">
        <v>0</v>
      </c>
      <c r="BH617" s="1" t="b">
        <v>0</v>
      </c>
      <c r="BI617" s="1">
        <v>77.78</v>
      </c>
      <c r="BJ617" s="1">
        <v>75.0</v>
      </c>
      <c r="BK617" s="1" t="b">
        <v>0</v>
      </c>
      <c r="BL617" s="1" t="b">
        <v>0</v>
      </c>
      <c r="BM617" s="1">
        <v>13.121</v>
      </c>
      <c r="BN617" s="1">
        <v>14.568</v>
      </c>
      <c r="BO617" s="1" t="b">
        <v>0</v>
      </c>
      <c r="BP617" s="1" t="b">
        <v>0</v>
      </c>
      <c r="BQ617" s="1">
        <v>75.0</v>
      </c>
      <c r="BR617" s="1">
        <v>72.027</v>
      </c>
      <c r="BS617" s="1" t="b">
        <v>0</v>
      </c>
      <c r="BT617" s="1" t="b">
        <v>0</v>
      </c>
      <c r="BU617" s="1" t="s">
        <v>105</v>
      </c>
      <c r="BV617" s="1" t="s">
        <v>105</v>
      </c>
      <c r="BW617" s="1" t="s">
        <v>105</v>
      </c>
      <c r="BX617" s="1" t="s">
        <v>105</v>
      </c>
      <c r="BY617" s="1" t="s">
        <v>105</v>
      </c>
      <c r="BZ617" s="1" t="s">
        <v>105</v>
      </c>
      <c r="CA617" s="1" t="s">
        <v>105</v>
      </c>
      <c r="CB617" s="1" t="s">
        <v>105</v>
      </c>
      <c r="CC617" s="1" t="s">
        <v>105</v>
      </c>
      <c r="CD617" s="1" t="s">
        <v>105</v>
      </c>
      <c r="CE617" s="4"/>
      <c r="CF617" s="4"/>
    </row>
    <row r="618" hidden="1">
      <c r="A618" s="1" t="s">
        <v>82</v>
      </c>
      <c r="B618" s="1" t="s">
        <v>524</v>
      </c>
      <c r="C618" s="1">
        <v>17.0</v>
      </c>
      <c r="D618" s="5" t="s">
        <v>2707</v>
      </c>
      <c r="E618" s="1" t="s">
        <v>2708</v>
      </c>
      <c r="F618" s="1">
        <v>78.0</v>
      </c>
      <c r="G618" s="1">
        <v>-0.8519</v>
      </c>
      <c r="H618" s="1" t="s">
        <v>2709</v>
      </c>
      <c r="I618" s="4" t="b">
        <f>IFERROR(__xludf.DUMMYFUNCTION("IF(H618="""",,REGEXMATCH(H618,""[א-ת]""))"),FALSE)</f>
        <v>0</v>
      </c>
      <c r="J618" s="4"/>
      <c r="K618" s="4"/>
      <c r="L618" s="1">
        <v>-0.899</v>
      </c>
      <c r="M618" s="1">
        <v>46.08</v>
      </c>
      <c r="N618" s="1">
        <v>41.03</v>
      </c>
      <c r="O618" s="1">
        <v>0.526025641</v>
      </c>
      <c r="P618" s="4"/>
      <c r="Q618" s="4"/>
      <c r="R618" s="1" t="s">
        <v>89</v>
      </c>
      <c r="S618" s="1" t="s">
        <v>2708</v>
      </c>
      <c r="T618" s="1" t="s">
        <v>524</v>
      </c>
      <c r="U618" s="1">
        <v>18.0</v>
      </c>
      <c r="V618" s="5" t="s">
        <v>2707</v>
      </c>
      <c r="W618" s="1" t="s">
        <v>2708</v>
      </c>
      <c r="X618" s="1" t="s">
        <v>2710</v>
      </c>
      <c r="Y618" s="4"/>
      <c r="Z618" s="4"/>
      <c r="AA618" s="4" t="b">
        <f>IFERROR(__xludf.DUMMYFUNCTION("IF(X618="""",,REGEXMATCH(X618,""[א-ת]""))"),FALSE)</f>
        <v>0</v>
      </c>
      <c r="AB618" s="1">
        <v>41.08</v>
      </c>
      <c r="AC618" s="1">
        <v>35.9</v>
      </c>
      <c r="AD618" s="1">
        <v>0.680622131453019</v>
      </c>
      <c r="AE618" s="1">
        <v>-0.7469</v>
      </c>
      <c r="AF618" s="1">
        <v>-0.8519</v>
      </c>
      <c r="AG618" s="1">
        <v>6.337</v>
      </c>
      <c r="AH618" s="1">
        <v>6.781</v>
      </c>
      <c r="AI618" s="1" t="b">
        <v>0</v>
      </c>
      <c r="AJ618" s="1" t="b">
        <v>0</v>
      </c>
      <c r="AK618" s="1">
        <v>94.182</v>
      </c>
      <c r="AL618" s="1">
        <v>96.508</v>
      </c>
      <c r="AM618" s="1" t="b">
        <v>0</v>
      </c>
      <c r="AN618" s="1" t="b">
        <v>0</v>
      </c>
      <c r="AO618" s="1">
        <v>8.05</v>
      </c>
      <c r="AP618" s="1">
        <v>8.53399999999999</v>
      </c>
      <c r="AQ618" s="1" t="b">
        <v>0</v>
      </c>
      <c r="AR618" s="1" t="b">
        <v>0</v>
      </c>
      <c r="AS618" s="1">
        <v>86.9179999999999</v>
      </c>
      <c r="AT618" s="1">
        <v>87.152</v>
      </c>
      <c r="AU618" s="1" t="b">
        <v>0</v>
      </c>
      <c r="AV618" s="1" t="b">
        <v>0</v>
      </c>
      <c r="AW618" s="1">
        <v>9.61399999999999</v>
      </c>
      <c r="AX618" s="1">
        <v>11.026</v>
      </c>
      <c r="AY618" s="1" t="b">
        <v>0</v>
      </c>
      <c r="AZ618" s="1" t="b">
        <v>0</v>
      </c>
      <c r="BA618" s="1">
        <v>81.25</v>
      </c>
      <c r="BB618" s="1">
        <v>77.78</v>
      </c>
      <c r="BC618" s="1" t="b">
        <v>0</v>
      </c>
      <c r="BD618" s="1" t="b">
        <v>0</v>
      </c>
      <c r="BE618" s="1">
        <v>11.34</v>
      </c>
      <c r="BF618" s="1">
        <v>13.285</v>
      </c>
      <c r="BG618" s="1" t="b">
        <v>0</v>
      </c>
      <c r="BH618" s="1" t="b">
        <v>0</v>
      </c>
      <c r="BI618" s="1">
        <v>77.78</v>
      </c>
      <c r="BJ618" s="1">
        <v>75.0</v>
      </c>
      <c r="BK618" s="1" t="b">
        <v>0</v>
      </c>
      <c r="BL618" s="1" t="b">
        <v>0</v>
      </c>
      <c r="BM618" s="1">
        <v>13.121</v>
      </c>
      <c r="BN618" s="1">
        <v>14.568</v>
      </c>
      <c r="BO618" s="1" t="b">
        <v>0</v>
      </c>
      <c r="BP618" s="1" t="b">
        <v>0</v>
      </c>
      <c r="BQ618" s="1">
        <v>75.0</v>
      </c>
      <c r="BR618" s="1">
        <v>72.027</v>
      </c>
      <c r="BS618" s="1" t="b">
        <v>0</v>
      </c>
      <c r="BT618" s="1" t="b">
        <v>0</v>
      </c>
      <c r="BU618" s="1" t="s">
        <v>105</v>
      </c>
      <c r="BV618" s="1" t="s">
        <v>105</v>
      </c>
      <c r="BW618" s="1" t="s">
        <v>105</v>
      </c>
      <c r="BX618" s="1" t="s">
        <v>105</v>
      </c>
      <c r="BY618" s="1" t="s">
        <v>105</v>
      </c>
      <c r="BZ618" s="1" t="s">
        <v>105</v>
      </c>
      <c r="CA618" s="1" t="s">
        <v>105</v>
      </c>
      <c r="CB618" s="1" t="s">
        <v>105</v>
      </c>
      <c r="CC618" s="1" t="s">
        <v>105</v>
      </c>
      <c r="CD618" s="1" t="s">
        <v>105</v>
      </c>
      <c r="CE618" s="4"/>
      <c r="CF618" s="4"/>
    </row>
    <row r="619" hidden="1">
      <c r="A619" s="1" t="s">
        <v>82</v>
      </c>
      <c r="B619" s="1" t="s">
        <v>139</v>
      </c>
      <c r="C619" s="1">
        <v>16.0</v>
      </c>
      <c r="D619" s="5" t="s">
        <v>2711</v>
      </c>
      <c r="E619" s="1" t="s">
        <v>2712</v>
      </c>
      <c r="F619" s="1">
        <v>19.0</v>
      </c>
      <c r="G619" s="1">
        <v>0.0</v>
      </c>
      <c r="H619" s="1" t="s">
        <v>2713</v>
      </c>
      <c r="I619" s="4" t="b">
        <f>IFERROR(__xludf.DUMMYFUNCTION("IF(H619="""",,REGEXMATCH(H619,""[א-ת]""))"),FALSE)</f>
        <v>0</v>
      </c>
      <c r="J619" s="4"/>
      <c r="K619" s="4"/>
      <c r="L619" s="1">
        <v>0.0</v>
      </c>
      <c r="M619" s="1">
        <v>46.39</v>
      </c>
      <c r="N619" s="1">
        <v>42.11</v>
      </c>
      <c r="O619" s="1">
        <v>2.216315789</v>
      </c>
      <c r="P619" s="4"/>
      <c r="Q619" s="4"/>
      <c r="R619" s="1" t="s">
        <v>96</v>
      </c>
      <c r="S619" s="1" t="s">
        <v>2712</v>
      </c>
      <c r="T619" s="1" t="s">
        <v>139</v>
      </c>
      <c r="U619" s="1">
        <v>17.0</v>
      </c>
      <c r="V619" s="5" t="s">
        <v>2711</v>
      </c>
      <c r="W619" s="1" t="s">
        <v>2712</v>
      </c>
      <c r="X619" s="1" t="s">
        <v>2714</v>
      </c>
      <c r="Y619" s="4"/>
      <c r="Z619" s="4"/>
      <c r="AA619" s="4" t="b">
        <f>IFERROR(__xludf.DUMMYFUNCTION("IF(X619="""",,REGEXMATCH(X619,""[א-ת]""))"),TRUE)</f>
        <v>1</v>
      </c>
      <c r="AB619" s="1">
        <v>23.88</v>
      </c>
      <c r="AC619" s="1">
        <v>100.0</v>
      </c>
      <c r="AD619" s="1">
        <v>0.649643445581821</v>
      </c>
      <c r="AE619" s="1">
        <v>0.0</v>
      </c>
      <c r="AF619" s="1">
        <v>0.0</v>
      </c>
      <c r="AG619" s="1">
        <v>6.337</v>
      </c>
      <c r="AH619" s="1">
        <v>6.781</v>
      </c>
      <c r="AI619" s="1" t="b">
        <v>0</v>
      </c>
      <c r="AJ619" s="1" t="b">
        <v>0</v>
      </c>
      <c r="AK619" s="1">
        <v>94.182</v>
      </c>
      <c r="AL619" s="1">
        <v>96.508</v>
      </c>
      <c r="AM619" s="1" t="b">
        <v>0</v>
      </c>
      <c r="AN619" s="1" t="b">
        <v>1</v>
      </c>
      <c r="AO619" s="1">
        <v>8.05</v>
      </c>
      <c r="AP619" s="1">
        <v>8.53399999999999</v>
      </c>
      <c r="AQ619" s="1" t="b">
        <v>0</v>
      </c>
      <c r="AR619" s="1" t="b">
        <v>0</v>
      </c>
      <c r="AS619" s="1">
        <v>86.9179999999999</v>
      </c>
      <c r="AT619" s="1">
        <v>87.152</v>
      </c>
      <c r="AU619" s="1" t="b">
        <v>0</v>
      </c>
      <c r="AV619" s="1" t="b">
        <v>1</v>
      </c>
      <c r="AW619" s="1">
        <v>9.61399999999999</v>
      </c>
      <c r="AX619" s="1">
        <v>11.026</v>
      </c>
      <c r="AY619" s="1" t="b">
        <v>0</v>
      </c>
      <c r="AZ619" s="1" t="b">
        <v>0</v>
      </c>
      <c r="BA619" s="1">
        <v>81.25</v>
      </c>
      <c r="BB619" s="1">
        <v>77.78</v>
      </c>
      <c r="BC619" s="1" t="b">
        <v>0</v>
      </c>
      <c r="BD619" s="1" t="b">
        <v>1</v>
      </c>
      <c r="BE619" s="1">
        <v>11.34</v>
      </c>
      <c r="BF619" s="1">
        <v>13.285</v>
      </c>
      <c r="BG619" s="1" t="b">
        <v>0</v>
      </c>
      <c r="BH619" s="1" t="b">
        <v>0</v>
      </c>
      <c r="BI619" s="1">
        <v>77.78</v>
      </c>
      <c r="BJ619" s="1">
        <v>75.0</v>
      </c>
      <c r="BK619" s="1" t="b">
        <v>0</v>
      </c>
      <c r="BL619" s="1" t="b">
        <v>1</v>
      </c>
      <c r="BM619" s="1">
        <v>13.121</v>
      </c>
      <c r="BN619" s="1">
        <v>14.568</v>
      </c>
      <c r="BO619" s="1" t="b">
        <v>0</v>
      </c>
      <c r="BP619" s="1" t="b">
        <v>0</v>
      </c>
      <c r="BQ619" s="1">
        <v>75.0</v>
      </c>
      <c r="BR619" s="1">
        <v>72.027</v>
      </c>
      <c r="BS619" s="1" t="b">
        <v>0</v>
      </c>
      <c r="BT619" s="1" t="b">
        <v>1</v>
      </c>
      <c r="BU619" s="1" t="s">
        <v>105</v>
      </c>
      <c r="BV619" s="1" t="s">
        <v>157</v>
      </c>
      <c r="BW619" s="1" t="s">
        <v>105</v>
      </c>
      <c r="BX619" s="1" t="s">
        <v>157</v>
      </c>
      <c r="BY619" s="1" t="s">
        <v>105</v>
      </c>
      <c r="BZ619" s="1" t="s">
        <v>157</v>
      </c>
      <c r="CA619" s="1" t="s">
        <v>105</v>
      </c>
      <c r="CB619" s="1" t="s">
        <v>157</v>
      </c>
      <c r="CC619" s="1" t="s">
        <v>105</v>
      </c>
      <c r="CD619" s="1" t="s">
        <v>157</v>
      </c>
      <c r="CE619" s="4"/>
      <c r="CF619" s="4"/>
    </row>
    <row r="620" hidden="1">
      <c r="A620" s="1" t="s">
        <v>82</v>
      </c>
      <c r="B620" s="1" t="s">
        <v>123</v>
      </c>
      <c r="C620" s="1">
        <v>37.0</v>
      </c>
      <c r="D620" s="5" t="s">
        <v>2715</v>
      </c>
      <c r="E620" s="1" t="s">
        <v>2716</v>
      </c>
      <c r="F620" s="1">
        <v>35.0</v>
      </c>
      <c r="G620" s="1">
        <v>-0.296</v>
      </c>
      <c r="H620" s="1" t="s">
        <v>2717</v>
      </c>
      <c r="I620" s="4" t="b">
        <f>IFERROR(__xludf.DUMMYFUNCTION("IF(H620="""",,REGEXMATCH(H620,""[א-ת]""))"),FALSE)</f>
        <v>0</v>
      </c>
      <c r="J620" s="4"/>
      <c r="K620" s="4"/>
      <c r="L620" s="1">
        <v>-0.3595</v>
      </c>
      <c r="M620" s="1">
        <v>46.4</v>
      </c>
      <c r="N620" s="1">
        <v>42.86</v>
      </c>
      <c r="O620" s="1">
        <v>1.224571429</v>
      </c>
      <c r="P620" s="4"/>
      <c r="Q620" s="4"/>
      <c r="R620" s="1" t="s">
        <v>127</v>
      </c>
      <c r="S620" s="1" t="s">
        <v>2716</v>
      </c>
      <c r="T620" s="1" t="s">
        <v>123</v>
      </c>
      <c r="U620" s="1">
        <v>38.0</v>
      </c>
      <c r="V620" s="5" t="s">
        <v>2715</v>
      </c>
      <c r="W620" s="1" t="s">
        <v>2716</v>
      </c>
      <c r="X620" s="1" t="s">
        <v>2718</v>
      </c>
      <c r="Y620" s="4"/>
      <c r="Z620" s="4"/>
      <c r="AA620" s="4" t="b">
        <f>IFERROR(__xludf.DUMMYFUNCTION("IF(X620="""",,REGEXMATCH(X620,""[א-ת]""))"),FALSE)</f>
        <v>0</v>
      </c>
      <c r="AB620" s="1">
        <v>11.61</v>
      </c>
      <c r="AC620" s="1">
        <v>60.0</v>
      </c>
      <c r="AD620" s="1">
        <v>0.417669995211503</v>
      </c>
      <c r="AE620" s="1">
        <v>-0.3595</v>
      </c>
      <c r="AF620" s="1">
        <v>-0.296</v>
      </c>
      <c r="AG620" s="1">
        <v>6.337</v>
      </c>
      <c r="AH620" s="1">
        <v>6.781</v>
      </c>
      <c r="AI620" s="1" t="b">
        <v>0</v>
      </c>
      <c r="AJ620" s="1" t="b">
        <v>0</v>
      </c>
      <c r="AK620" s="1">
        <v>94.182</v>
      </c>
      <c r="AL620" s="1">
        <v>96.508</v>
      </c>
      <c r="AM620" s="1" t="b">
        <v>0</v>
      </c>
      <c r="AN620" s="1" t="b">
        <v>0</v>
      </c>
      <c r="AO620" s="1">
        <v>8.05</v>
      </c>
      <c r="AP620" s="1">
        <v>8.53399999999999</v>
      </c>
      <c r="AQ620" s="1" t="b">
        <v>0</v>
      </c>
      <c r="AR620" s="1" t="b">
        <v>0</v>
      </c>
      <c r="AS620" s="1">
        <v>86.9179999999999</v>
      </c>
      <c r="AT620" s="1">
        <v>87.152</v>
      </c>
      <c r="AU620" s="1" t="b">
        <v>0</v>
      </c>
      <c r="AV620" s="1" t="b">
        <v>0</v>
      </c>
      <c r="AW620" s="1">
        <v>9.61399999999999</v>
      </c>
      <c r="AX620" s="1">
        <v>11.026</v>
      </c>
      <c r="AY620" s="1" t="b">
        <v>0</v>
      </c>
      <c r="AZ620" s="1" t="b">
        <v>0</v>
      </c>
      <c r="BA620" s="1">
        <v>81.25</v>
      </c>
      <c r="BB620" s="1">
        <v>77.78</v>
      </c>
      <c r="BC620" s="1" t="b">
        <v>0</v>
      </c>
      <c r="BD620" s="1" t="b">
        <v>0</v>
      </c>
      <c r="BE620" s="1">
        <v>11.34</v>
      </c>
      <c r="BF620" s="1">
        <v>13.285</v>
      </c>
      <c r="BG620" s="1" t="b">
        <v>0</v>
      </c>
      <c r="BH620" s="1" t="b">
        <v>1</v>
      </c>
      <c r="BI620" s="1">
        <v>77.78</v>
      </c>
      <c r="BJ620" s="1">
        <v>75.0</v>
      </c>
      <c r="BK620" s="1" t="b">
        <v>0</v>
      </c>
      <c r="BL620" s="1" t="b">
        <v>0</v>
      </c>
      <c r="BM620" s="1">
        <v>13.121</v>
      </c>
      <c r="BN620" s="1">
        <v>14.568</v>
      </c>
      <c r="BO620" s="1" t="b">
        <v>0</v>
      </c>
      <c r="BP620" s="1" t="b">
        <v>1</v>
      </c>
      <c r="BQ620" s="1">
        <v>75.0</v>
      </c>
      <c r="BR620" s="1">
        <v>72.027</v>
      </c>
      <c r="BS620" s="1" t="b">
        <v>0</v>
      </c>
      <c r="BT620" s="1" t="b">
        <v>0</v>
      </c>
      <c r="BU620" s="1" t="s">
        <v>105</v>
      </c>
      <c r="BV620" s="1" t="s">
        <v>105</v>
      </c>
      <c r="BW620" s="1" t="s">
        <v>105</v>
      </c>
      <c r="BX620" s="1" t="s">
        <v>105</v>
      </c>
      <c r="BY620" s="1" t="s">
        <v>105</v>
      </c>
      <c r="BZ620" s="1" t="s">
        <v>105</v>
      </c>
      <c r="CA620" s="1" t="s">
        <v>157</v>
      </c>
      <c r="CB620" s="1" t="s">
        <v>105</v>
      </c>
      <c r="CC620" s="1" t="s">
        <v>157</v>
      </c>
      <c r="CD620" s="1" t="s">
        <v>105</v>
      </c>
      <c r="CE620" s="4"/>
      <c r="CF620" s="4"/>
    </row>
    <row r="621" hidden="1">
      <c r="A621" s="1" t="s">
        <v>82</v>
      </c>
      <c r="B621" s="1" t="s">
        <v>98</v>
      </c>
      <c r="C621" s="1">
        <v>11.0</v>
      </c>
      <c r="D621" s="5" t="s">
        <v>2719</v>
      </c>
      <c r="E621" s="1" t="s">
        <v>2720</v>
      </c>
      <c r="F621" s="1">
        <v>61.0</v>
      </c>
      <c r="G621" s="1">
        <v>0.802</v>
      </c>
      <c r="H621" s="1" t="s">
        <v>2721</v>
      </c>
      <c r="I621" s="4" t="b">
        <f>IFERROR(__xludf.DUMMYFUNCTION("IF(H621="""",,REGEXMATCH(H621,""[א-ת]""))"),FALSE)</f>
        <v>0</v>
      </c>
      <c r="J621" s="1" t="s">
        <v>2656</v>
      </c>
      <c r="K621" s="4"/>
      <c r="L621" s="1">
        <v>0.8658</v>
      </c>
      <c r="M621" s="1">
        <v>46.45</v>
      </c>
      <c r="N621" s="1">
        <v>34.43</v>
      </c>
      <c r="O621" s="1">
        <v>0.5644262295</v>
      </c>
      <c r="P621" s="4"/>
      <c r="Q621" s="4"/>
      <c r="R621" s="1" t="s">
        <v>89</v>
      </c>
      <c r="S621" s="1" t="s">
        <v>2720</v>
      </c>
      <c r="T621" s="1" t="s">
        <v>98</v>
      </c>
      <c r="U621" s="1">
        <v>12.0</v>
      </c>
      <c r="V621" s="5" t="s">
        <v>2719</v>
      </c>
      <c r="W621" s="1" t="s">
        <v>2720</v>
      </c>
      <c r="X621" s="1" t="s">
        <v>2722</v>
      </c>
      <c r="Y621" s="4"/>
      <c r="Z621" s="4"/>
      <c r="AA621" s="4" t="b">
        <f>IFERROR(__xludf.DUMMYFUNCTION("IF(X621="""",,REGEXMATCH(X621,""[א-ת]""))"),FALSE)</f>
        <v>0</v>
      </c>
      <c r="AB621" s="1">
        <v>34.09</v>
      </c>
      <c r="AC621" s="1">
        <v>44.26</v>
      </c>
      <c r="AD621" s="1">
        <v>0.629633899242274</v>
      </c>
      <c r="AE621" s="1">
        <v>0.296</v>
      </c>
      <c r="AF621" s="1">
        <v>0.802</v>
      </c>
      <c r="AG621" s="1">
        <v>6.337</v>
      </c>
      <c r="AH621" s="1">
        <v>6.781</v>
      </c>
      <c r="AI621" s="1" t="b">
        <v>0</v>
      </c>
      <c r="AJ621" s="1" t="b">
        <v>0</v>
      </c>
      <c r="AK621" s="1">
        <v>94.182</v>
      </c>
      <c r="AL621" s="1">
        <v>96.508</v>
      </c>
      <c r="AM621" s="1" t="b">
        <v>0</v>
      </c>
      <c r="AN621" s="1" t="b">
        <v>0</v>
      </c>
      <c r="AO621" s="1">
        <v>8.05</v>
      </c>
      <c r="AP621" s="1">
        <v>8.53399999999999</v>
      </c>
      <c r="AQ621" s="1" t="b">
        <v>0</v>
      </c>
      <c r="AR621" s="1" t="b">
        <v>0</v>
      </c>
      <c r="AS621" s="1">
        <v>86.9179999999999</v>
      </c>
      <c r="AT621" s="1">
        <v>87.152</v>
      </c>
      <c r="AU621" s="1" t="b">
        <v>0</v>
      </c>
      <c r="AV621" s="1" t="b">
        <v>0</v>
      </c>
      <c r="AW621" s="1">
        <v>9.61399999999999</v>
      </c>
      <c r="AX621" s="1">
        <v>11.026</v>
      </c>
      <c r="AY621" s="1" t="b">
        <v>0</v>
      </c>
      <c r="AZ621" s="1" t="b">
        <v>0</v>
      </c>
      <c r="BA621" s="1">
        <v>81.25</v>
      </c>
      <c r="BB621" s="1">
        <v>77.78</v>
      </c>
      <c r="BC621" s="1" t="b">
        <v>0</v>
      </c>
      <c r="BD621" s="1" t="b">
        <v>0</v>
      </c>
      <c r="BE621" s="1">
        <v>11.34</v>
      </c>
      <c r="BF621" s="1">
        <v>13.285</v>
      </c>
      <c r="BG621" s="1" t="b">
        <v>0</v>
      </c>
      <c r="BH621" s="1" t="b">
        <v>0</v>
      </c>
      <c r="BI621" s="1">
        <v>77.78</v>
      </c>
      <c r="BJ621" s="1">
        <v>75.0</v>
      </c>
      <c r="BK621" s="1" t="b">
        <v>0</v>
      </c>
      <c r="BL621" s="1" t="b">
        <v>0</v>
      </c>
      <c r="BM621" s="1">
        <v>13.121</v>
      </c>
      <c r="BN621" s="1">
        <v>14.568</v>
      </c>
      <c r="BO621" s="1" t="b">
        <v>0</v>
      </c>
      <c r="BP621" s="1" t="b">
        <v>0</v>
      </c>
      <c r="BQ621" s="1">
        <v>75.0</v>
      </c>
      <c r="BR621" s="1">
        <v>72.027</v>
      </c>
      <c r="BS621" s="1" t="b">
        <v>0</v>
      </c>
      <c r="BT621" s="1" t="b">
        <v>0</v>
      </c>
      <c r="BU621" s="1" t="s">
        <v>105</v>
      </c>
      <c r="BV621" s="1" t="s">
        <v>105</v>
      </c>
      <c r="BW621" s="1" t="s">
        <v>105</v>
      </c>
      <c r="BX621" s="1" t="s">
        <v>105</v>
      </c>
      <c r="BY621" s="1" t="s">
        <v>105</v>
      </c>
      <c r="BZ621" s="1" t="s">
        <v>105</v>
      </c>
      <c r="CA621" s="1" t="s">
        <v>105</v>
      </c>
      <c r="CB621" s="1" t="s">
        <v>105</v>
      </c>
      <c r="CC621" s="1" t="s">
        <v>105</v>
      </c>
      <c r="CD621" s="1" t="s">
        <v>105</v>
      </c>
      <c r="CE621" s="4"/>
      <c r="CF621" s="4"/>
    </row>
    <row r="622" hidden="1">
      <c r="A622" s="1" t="s">
        <v>82</v>
      </c>
      <c r="B622" s="1" t="s">
        <v>197</v>
      </c>
      <c r="C622" s="1">
        <v>22.0</v>
      </c>
      <c r="D622" s="5" t="s">
        <v>2723</v>
      </c>
      <c r="E622" s="1" t="s">
        <v>2724</v>
      </c>
      <c r="F622" s="1">
        <v>59.0</v>
      </c>
      <c r="G622" s="1">
        <v>0.264</v>
      </c>
      <c r="H622" s="1" t="s">
        <v>2725</v>
      </c>
      <c r="I622" s="4" t="b">
        <f>IFERROR(__xludf.DUMMYFUNCTION("IF(H622="""",,REGEXMATCH(H622,""[א-ת]""))"),FALSE)</f>
        <v>0</v>
      </c>
      <c r="J622" s="4"/>
      <c r="K622" s="4"/>
      <c r="L622" s="1">
        <v>0.6662</v>
      </c>
      <c r="M622" s="1">
        <v>46.53</v>
      </c>
      <c r="N622" s="1">
        <v>37.29</v>
      </c>
      <c r="O622" s="1">
        <v>0.6320338983</v>
      </c>
      <c r="P622" s="4"/>
      <c r="Q622" s="4"/>
      <c r="R622" s="1" t="s">
        <v>89</v>
      </c>
      <c r="S622" s="1" t="s">
        <v>2724</v>
      </c>
      <c r="T622" s="1" t="s">
        <v>197</v>
      </c>
      <c r="U622" s="1">
        <v>23.0</v>
      </c>
      <c r="V622" s="5" t="s">
        <v>2723</v>
      </c>
      <c r="W622" s="1" t="s">
        <v>2724</v>
      </c>
      <c r="X622" s="1" t="s">
        <v>2726</v>
      </c>
      <c r="Y622" s="4"/>
      <c r="Z622" s="4"/>
      <c r="AA622" s="4" t="b">
        <f>IFERROR(__xludf.DUMMYFUNCTION("IF(X622="""",,REGEXMATCH(X622,""[א-ת]""))"),FALSE)</f>
        <v>0</v>
      </c>
      <c r="AB622" s="1">
        <v>43.07</v>
      </c>
      <c r="AC622" s="1">
        <v>32.2</v>
      </c>
      <c r="AD622" s="1">
        <v>0.746633364910106</v>
      </c>
      <c r="AE622" s="1">
        <v>0.2168</v>
      </c>
      <c r="AF622" s="1">
        <v>0.264</v>
      </c>
      <c r="AG622" s="1">
        <v>6.337</v>
      </c>
      <c r="AH622" s="1">
        <v>6.781</v>
      </c>
      <c r="AI622" s="1" t="b">
        <v>0</v>
      </c>
      <c r="AJ622" s="1" t="b">
        <v>0</v>
      </c>
      <c r="AK622" s="1">
        <v>94.182</v>
      </c>
      <c r="AL622" s="1">
        <v>96.508</v>
      </c>
      <c r="AM622" s="1" t="b">
        <v>0</v>
      </c>
      <c r="AN622" s="1" t="b">
        <v>0</v>
      </c>
      <c r="AO622" s="1">
        <v>8.05</v>
      </c>
      <c r="AP622" s="1">
        <v>8.53399999999999</v>
      </c>
      <c r="AQ622" s="1" t="b">
        <v>0</v>
      </c>
      <c r="AR622" s="1" t="b">
        <v>0</v>
      </c>
      <c r="AS622" s="1">
        <v>86.9179999999999</v>
      </c>
      <c r="AT622" s="1">
        <v>87.152</v>
      </c>
      <c r="AU622" s="1" t="b">
        <v>0</v>
      </c>
      <c r="AV622" s="1" t="b">
        <v>0</v>
      </c>
      <c r="AW622" s="1">
        <v>9.61399999999999</v>
      </c>
      <c r="AX622" s="1">
        <v>11.026</v>
      </c>
      <c r="AY622" s="1" t="b">
        <v>0</v>
      </c>
      <c r="AZ622" s="1" t="b">
        <v>0</v>
      </c>
      <c r="BA622" s="1">
        <v>81.25</v>
      </c>
      <c r="BB622" s="1">
        <v>77.78</v>
      </c>
      <c r="BC622" s="1" t="b">
        <v>0</v>
      </c>
      <c r="BD622" s="1" t="b">
        <v>0</v>
      </c>
      <c r="BE622" s="1">
        <v>11.34</v>
      </c>
      <c r="BF622" s="1">
        <v>13.285</v>
      </c>
      <c r="BG622" s="1" t="b">
        <v>0</v>
      </c>
      <c r="BH622" s="1" t="b">
        <v>0</v>
      </c>
      <c r="BI622" s="1">
        <v>77.78</v>
      </c>
      <c r="BJ622" s="1">
        <v>75.0</v>
      </c>
      <c r="BK622" s="1" t="b">
        <v>0</v>
      </c>
      <c r="BL622" s="1" t="b">
        <v>0</v>
      </c>
      <c r="BM622" s="1">
        <v>13.121</v>
      </c>
      <c r="BN622" s="1">
        <v>14.568</v>
      </c>
      <c r="BO622" s="1" t="b">
        <v>0</v>
      </c>
      <c r="BP622" s="1" t="b">
        <v>0</v>
      </c>
      <c r="BQ622" s="1">
        <v>75.0</v>
      </c>
      <c r="BR622" s="1">
        <v>72.027</v>
      </c>
      <c r="BS622" s="1" t="b">
        <v>0</v>
      </c>
      <c r="BT622" s="1" t="b">
        <v>0</v>
      </c>
      <c r="BU622" s="1" t="s">
        <v>105</v>
      </c>
      <c r="BV622" s="1" t="s">
        <v>105</v>
      </c>
      <c r="BW622" s="1" t="s">
        <v>105</v>
      </c>
      <c r="BX622" s="1" t="s">
        <v>105</v>
      </c>
      <c r="BY622" s="1" t="s">
        <v>105</v>
      </c>
      <c r="BZ622" s="1" t="s">
        <v>105</v>
      </c>
      <c r="CA622" s="1" t="s">
        <v>105</v>
      </c>
      <c r="CB622" s="1" t="s">
        <v>105</v>
      </c>
      <c r="CC622" s="1" t="s">
        <v>105</v>
      </c>
      <c r="CD622" s="1" t="s">
        <v>105</v>
      </c>
      <c r="CE622" s="4"/>
      <c r="CF622" s="4"/>
    </row>
    <row r="623" hidden="1">
      <c r="A623" s="1" t="s">
        <v>82</v>
      </c>
      <c r="B623" s="1" t="s">
        <v>251</v>
      </c>
      <c r="C623" s="1">
        <v>5.0</v>
      </c>
      <c r="D623" s="5" t="s">
        <v>2727</v>
      </c>
      <c r="E623" s="1" t="s">
        <v>2728</v>
      </c>
      <c r="F623" s="1">
        <v>66.0</v>
      </c>
      <c r="G623" s="1">
        <v>0.9201</v>
      </c>
      <c r="H623" s="1" t="s">
        <v>2729</v>
      </c>
      <c r="I623" s="4" t="b">
        <f>IFERROR(__xludf.DUMMYFUNCTION("IF(H623="""",,REGEXMATCH(H623,""[א-ת]""))"),FALSE)</f>
        <v>0</v>
      </c>
      <c r="J623" s="4"/>
      <c r="K623" s="4"/>
      <c r="L623" s="1">
        <v>0.9201</v>
      </c>
      <c r="M623" s="1">
        <v>46.9</v>
      </c>
      <c r="N623" s="1">
        <v>34.85</v>
      </c>
      <c r="O623" s="1">
        <v>0.528030303</v>
      </c>
      <c r="P623" s="4"/>
      <c r="Q623" s="4"/>
      <c r="R623" s="1" t="s">
        <v>89</v>
      </c>
      <c r="S623" s="1" t="s">
        <v>2728</v>
      </c>
      <c r="T623" s="1" t="s">
        <v>251</v>
      </c>
      <c r="U623" s="1">
        <v>6.0</v>
      </c>
      <c r="V623" s="5" t="s">
        <v>2727</v>
      </c>
      <c r="W623" s="1" t="s">
        <v>2728</v>
      </c>
      <c r="X623" s="1" t="s">
        <v>2730</v>
      </c>
      <c r="Y623" s="4"/>
      <c r="Z623" s="4"/>
      <c r="AA623" s="4" t="b">
        <f>IFERROR(__xludf.DUMMYFUNCTION("IF(X623="""",,REGEXMATCH(X623,""[א-ת]""))"),FALSE)</f>
        <v>0</v>
      </c>
      <c r="AB623" s="1">
        <v>38.47</v>
      </c>
      <c r="AC623" s="1">
        <v>42.42</v>
      </c>
      <c r="AD623" s="1">
        <v>0.359606990681377</v>
      </c>
      <c r="AE623" s="1">
        <v>0.2732</v>
      </c>
      <c r="AF623" s="1">
        <v>0.9201</v>
      </c>
      <c r="AG623" s="1">
        <v>6.337</v>
      </c>
      <c r="AH623" s="1">
        <v>6.781</v>
      </c>
      <c r="AI623" s="1" t="b">
        <v>0</v>
      </c>
      <c r="AJ623" s="1" t="b">
        <v>0</v>
      </c>
      <c r="AK623" s="1">
        <v>94.182</v>
      </c>
      <c r="AL623" s="1">
        <v>96.508</v>
      </c>
      <c r="AM623" s="1" t="b">
        <v>0</v>
      </c>
      <c r="AN623" s="1" t="b">
        <v>0</v>
      </c>
      <c r="AO623" s="1">
        <v>8.05</v>
      </c>
      <c r="AP623" s="1">
        <v>8.53399999999999</v>
      </c>
      <c r="AQ623" s="1" t="b">
        <v>0</v>
      </c>
      <c r="AR623" s="1" t="b">
        <v>0</v>
      </c>
      <c r="AS623" s="1">
        <v>86.9179999999999</v>
      </c>
      <c r="AT623" s="1">
        <v>87.152</v>
      </c>
      <c r="AU623" s="1" t="b">
        <v>0</v>
      </c>
      <c r="AV623" s="1" t="b">
        <v>0</v>
      </c>
      <c r="AW623" s="1">
        <v>9.61399999999999</v>
      </c>
      <c r="AX623" s="1">
        <v>11.026</v>
      </c>
      <c r="AY623" s="1" t="b">
        <v>0</v>
      </c>
      <c r="AZ623" s="1" t="b">
        <v>0</v>
      </c>
      <c r="BA623" s="1">
        <v>81.25</v>
      </c>
      <c r="BB623" s="1">
        <v>77.78</v>
      </c>
      <c r="BC623" s="1" t="b">
        <v>0</v>
      </c>
      <c r="BD623" s="1" t="b">
        <v>0</v>
      </c>
      <c r="BE623" s="1">
        <v>11.34</v>
      </c>
      <c r="BF623" s="1">
        <v>13.285</v>
      </c>
      <c r="BG623" s="1" t="b">
        <v>0</v>
      </c>
      <c r="BH623" s="1" t="b">
        <v>0</v>
      </c>
      <c r="BI623" s="1">
        <v>77.78</v>
      </c>
      <c r="BJ623" s="1">
        <v>75.0</v>
      </c>
      <c r="BK623" s="1" t="b">
        <v>0</v>
      </c>
      <c r="BL623" s="1" t="b">
        <v>0</v>
      </c>
      <c r="BM623" s="1">
        <v>13.121</v>
      </c>
      <c r="BN623" s="1">
        <v>14.568</v>
      </c>
      <c r="BO623" s="1" t="b">
        <v>0</v>
      </c>
      <c r="BP623" s="1" t="b">
        <v>0</v>
      </c>
      <c r="BQ623" s="1">
        <v>75.0</v>
      </c>
      <c r="BR623" s="1">
        <v>72.027</v>
      </c>
      <c r="BS623" s="1" t="b">
        <v>0</v>
      </c>
      <c r="BT623" s="1" t="b">
        <v>0</v>
      </c>
      <c r="BU623" s="1" t="s">
        <v>105</v>
      </c>
      <c r="BV623" s="1" t="s">
        <v>105</v>
      </c>
      <c r="BW623" s="1" t="s">
        <v>105</v>
      </c>
      <c r="BX623" s="1" t="s">
        <v>105</v>
      </c>
      <c r="BY623" s="1" t="s">
        <v>105</v>
      </c>
      <c r="BZ623" s="1" t="s">
        <v>105</v>
      </c>
      <c r="CA623" s="1" t="s">
        <v>105</v>
      </c>
      <c r="CB623" s="1" t="s">
        <v>105</v>
      </c>
      <c r="CC623" s="1" t="s">
        <v>105</v>
      </c>
      <c r="CD623" s="1" t="s">
        <v>105</v>
      </c>
      <c r="CE623" s="4"/>
      <c r="CF623" s="4"/>
    </row>
    <row r="624" hidden="1">
      <c r="A624" s="1" t="s">
        <v>82</v>
      </c>
      <c r="B624" s="1" t="s">
        <v>427</v>
      </c>
      <c r="C624" s="1">
        <v>13.0</v>
      </c>
      <c r="D624" s="5" t="s">
        <v>2731</v>
      </c>
      <c r="E624" s="1" t="s">
        <v>2732</v>
      </c>
      <c r="F624" s="1">
        <v>93.0</v>
      </c>
      <c r="G624" s="1">
        <v>0.743</v>
      </c>
      <c r="H624" s="1" t="s">
        <v>2733</v>
      </c>
      <c r="I624" s="4" t="b">
        <f>IFERROR(__xludf.DUMMYFUNCTION("IF(H624="""",,REGEXMATCH(H624,""[א-ת]""))"),FALSE)</f>
        <v>0</v>
      </c>
      <c r="J624" s="4"/>
      <c r="K624" s="4"/>
      <c r="L624" s="1">
        <v>0.6486</v>
      </c>
      <c r="M624" s="1">
        <v>46.93</v>
      </c>
      <c r="N624" s="1">
        <v>38.71</v>
      </c>
      <c r="O624" s="1">
        <v>0.4162365591</v>
      </c>
      <c r="P624" s="4"/>
      <c r="Q624" s="4"/>
      <c r="R624" s="1" t="s">
        <v>96</v>
      </c>
      <c r="S624" s="1" t="s">
        <v>2732</v>
      </c>
      <c r="T624" s="1" t="s">
        <v>427</v>
      </c>
      <c r="U624" s="1">
        <v>14.0</v>
      </c>
      <c r="V624" s="5" t="s">
        <v>2731</v>
      </c>
      <c r="W624" s="1" t="s">
        <v>2732</v>
      </c>
      <c r="X624" s="1" t="s">
        <v>2734</v>
      </c>
      <c r="Y624" s="4"/>
      <c r="Z624" s="4"/>
      <c r="AA624" s="4" t="b">
        <f>IFERROR(__xludf.DUMMYFUNCTION("IF(X624="""",,REGEXMATCH(X624,""[א-ת]""))"),FALSE)</f>
        <v>0</v>
      </c>
      <c r="AB624" s="1">
        <v>41.27</v>
      </c>
      <c r="AC624" s="1">
        <v>39.78</v>
      </c>
      <c r="AD624" s="1">
        <v>0.756604963009578</v>
      </c>
      <c r="AE624" s="1">
        <v>0.6908</v>
      </c>
      <c r="AF624" s="1">
        <v>0.743</v>
      </c>
      <c r="AG624" s="1">
        <v>6.337</v>
      </c>
      <c r="AH624" s="1">
        <v>6.781</v>
      </c>
      <c r="AI624" s="1" t="b">
        <v>0</v>
      </c>
      <c r="AJ624" s="1" t="b">
        <v>0</v>
      </c>
      <c r="AK624" s="1">
        <v>94.182</v>
      </c>
      <c r="AL624" s="1">
        <v>96.508</v>
      </c>
      <c r="AM624" s="1" t="b">
        <v>0</v>
      </c>
      <c r="AN624" s="1" t="b">
        <v>0</v>
      </c>
      <c r="AO624" s="1">
        <v>8.05</v>
      </c>
      <c r="AP624" s="1">
        <v>8.53399999999999</v>
      </c>
      <c r="AQ624" s="1" t="b">
        <v>0</v>
      </c>
      <c r="AR624" s="1" t="b">
        <v>0</v>
      </c>
      <c r="AS624" s="1">
        <v>86.9179999999999</v>
      </c>
      <c r="AT624" s="1">
        <v>87.152</v>
      </c>
      <c r="AU624" s="1" t="b">
        <v>0</v>
      </c>
      <c r="AV624" s="1" t="b">
        <v>0</v>
      </c>
      <c r="AW624" s="1">
        <v>9.61399999999999</v>
      </c>
      <c r="AX624" s="1">
        <v>11.026</v>
      </c>
      <c r="AY624" s="1" t="b">
        <v>0</v>
      </c>
      <c r="AZ624" s="1" t="b">
        <v>0</v>
      </c>
      <c r="BA624" s="1">
        <v>81.25</v>
      </c>
      <c r="BB624" s="1">
        <v>77.78</v>
      </c>
      <c r="BC624" s="1" t="b">
        <v>0</v>
      </c>
      <c r="BD624" s="1" t="b">
        <v>0</v>
      </c>
      <c r="BE624" s="1">
        <v>11.34</v>
      </c>
      <c r="BF624" s="1">
        <v>13.285</v>
      </c>
      <c r="BG624" s="1" t="b">
        <v>0</v>
      </c>
      <c r="BH624" s="1" t="b">
        <v>0</v>
      </c>
      <c r="BI624" s="1">
        <v>77.78</v>
      </c>
      <c r="BJ624" s="1">
        <v>75.0</v>
      </c>
      <c r="BK624" s="1" t="b">
        <v>0</v>
      </c>
      <c r="BL624" s="1" t="b">
        <v>0</v>
      </c>
      <c r="BM624" s="1">
        <v>13.121</v>
      </c>
      <c r="BN624" s="1">
        <v>14.568</v>
      </c>
      <c r="BO624" s="1" t="b">
        <v>0</v>
      </c>
      <c r="BP624" s="1" t="b">
        <v>0</v>
      </c>
      <c r="BQ624" s="1">
        <v>75.0</v>
      </c>
      <c r="BR624" s="1">
        <v>72.027</v>
      </c>
      <c r="BS624" s="1" t="b">
        <v>0</v>
      </c>
      <c r="BT624" s="1" t="b">
        <v>0</v>
      </c>
      <c r="BU624" s="1" t="s">
        <v>105</v>
      </c>
      <c r="BV624" s="1" t="s">
        <v>105</v>
      </c>
      <c r="BW624" s="1" t="s">
        <v>105</v>
      </c>
      <c r="BX624" s="1" t="s">
        <v>105</v>
      </c>
      <c r="BY624" s="1" t="s">
        <v>105</v>
      </c>
      <c r="BZ624" s="1" t="s">
        <v>105</v>
      </c>
      <c r="CA624" s="1" t="s">
        <v>105</v>
      </c>
      <c r="CB624" s="1" t="s">
        <v>105</v>
      </c>
      <c r="CC624" s="1" t="s">
        <v>105</v>
      </c>
      <c r="CD624" s="1" t="s">
        <v>105</v>
      </c>
      <c r="CE624" s="4"/>
      <c r="CF624" s="4"/>
    </row>
    <row r="625" hidden="1">
      <c r="A625" s="1" t="s">
        <v>82</v>
      </c>
      <c r="B625" s="1" t="s">
        <v>152</v>
      </c>
      <c r="C625" s="1">
        <v>28.0</v>
      </c>
      <c r="D625" s="5" t="s">
        <v>2735</v>
      </c>
      <c r="E625" s="1" t="s">
        <v>2736</v>
      </c>
      <c r="F625" s="1">
        <v>47.0</v>
      </c>
      <c r="G625" s="1">
        <v>0.1406</v>
      </c>
      <c r="H625" s="1" t="s">
        <v>2737</v>
      </c>
      <c r="I625" s="4" t="b">
        <f>IFERROR(__xludf.DUMMYFUNCTION("IF(H625="""",,REGEXMATCH(H625,""[א-ת]""))"),FALSE)</f>
        <v>0</v>
      </c>
      <c r="J625" s="4"/>
      <c r="K625" s="4"/>
      <c r="L625" s="1">
        <v>0.1406</v>
      </c>
      <c r="M625" s="1">
        <v>47.05</v>
      </c>
      <c r="N625" s="1">
        <v>31.91</v>
      </c>
      <c r="O625" s="1">
        <v>0.6789361702</v>
      </c>
      <c r="P625" s="4"/>
      <c r="Q625" s="4"/>
      <c r="R625" s="1" t="s">
        <v>89</v>
      </c>
      <c r="S625" s="1" t="s">
        <v>2736</v>
      </c>
      <c r="T625" s="1" t="s">
        <v>152</v>
      </c>
      <c r="U625" s="1">
        <v>29.0</v>
      </c>
      <c r="V625" s="5" t="s">
        <v>2735</v>
      </c>
      <c r="W625" s="1" t="s">
        <v>2736</v>
      </c>
      <c r="X625" s="1" t="s">
        <v>2738</v>
      </c>
      <c r="Y625" s="4"/>
      <c r="Z625" s="4"/>
      <c r="AA625" s="4" t="b">
        <f>IFERROR(__xludf.DUMMYFUNCTION("IF(X625="""",,REGEXMATCH(X625,""[א-ת]""))"),FALSE)</f>
        <v>0</v>
      </c>
      <c r="AB625" s="1">
        <v>59.18</v>
      </c>
      <c r="AC625" s="1">
        <v>25.53</v>
      </c>
      <c r="AD625" s="1">
        <v>0.741685687765342</v>
      </c>
      <c r="AE625" s="1">
        <v>0.1406</v>
      </c>
      <c r="AF625" s="1">
        <v>0.1406</v>
      </c>
      <c r="AG625" s="1">
        <v>6.337</v>
      </c>
      <c r="AH625" s="1">
        <v>6.781</v>
      </c>
      <c r="AI625" s="1" t="b">
        <v>0</v>
      </c>
      <c r="AJ625" s="1" t="b">
        <v>0</v>
      </c>
      <c r="AK625" s="1">
        <v>94.182</v>
      </c>
      <c r="AL625" s="1">
        <v>96.508</v>
      </c>
      <c r="AM625" s="1" t="b">
        <v>0</v>
      </c>
      <c r="AN625" s="1" t="b">
        <v>0</v>
      </c>
      <c r="AO625" s="1">
        <v>8.05</v>
      </c>
      <c r="AP625" s="1">
        <v>8.53399999999999</v>
      </c>
      <c r="AQ625" s="1" t="b">
        <v>0</v>
      </c>
      <c r="AR625" s="1" t="b">
        <v>0</v>
      </c>
      <c r="AS625" s="1">
        <v>86.9179999999999</v>
      </c>
      <c r="AT625" s="1">
        <v>87.152</v>
      </c>
      <c r="AU625" s="1" t="b">
        <v>0</v>
      </c>
      <c r="AV625" s="1" t="b">
        <v>0</v>
      </c>
      <c r="AW625" s="1">
        <v>9.61399999999999</v>
      </c>
      <c r="AX625" s="1">
        <v>11.026</v>
      </c>
      <c r="AY625" s="1" t="b">
        <v>0</v>
      </c>
      <c r="AZ625" s="1" t="b">
        <v>0</v>
      </c>
      <c r="BA625" s="1">
        <v>81.25</v>
      </c>
      <c r="BB625" s="1">
        <v>77.78</v>
      </c>
      <c r="BC625" s="1" t="b">
        <v>0</v>
      </c>
      <c r="BD625" s="1" t="b">
        <v>0</v>
      </c>
      <c r="BE625" s="1">
        <v>11.34</v>
      </c>
      <c r="BF625" s="1">
        <v>13.285</v>
      </c>
      <c r="BG625" s="1" t="b">
        <v>0</v>
      </c>
      <c r="BH625" s="1" t="b">
        <v>0</v>
      </c>
      <c r="BI625" s="1">
        <v>77.78</v>
      </c>
      <c r="BJ625" s="1">
        <v>75.0</v>
      </c>
      <c r="BK625" s="1" t="b">
        <v>0</v>
      </c>
      <c r="BL625" s="1" t="b">
        <v>0</v>
      </c>
      <c r="BM625" s="1">
        <v>13.121</v>
      </c>
      <c r="BN625" s="1">
        <v>14.568</v>
      </c>
      <c r="BO625" s="1" t="b">
        <v>0</v>
      </c>
      <c r="BP625" s="1" t="b">
        <v>0</v>
      </c>
      <c r="BQ625" s="1">
        <v>75.0</v>
      </c>
      <c r="BR625" s="1">
        <v>72.027</v>
      </c>
      <c r="BS625" s="1" t="b">
        <v>0</v>
      </c>
      <c r="BT625" s="1" t="b">
        <v>0</v>
      </c>
      <c r="BU625" s="1" t="s">
        <v>105</v>
      </c>
      <c r="BV625" s="1" t="s">
        <v>105</v>
      </c>
      <c r="BW625" s="1" t="s">
        <v>105</v>
      </c>
      <c r="BX625" s="1" t="s">
        <v>105</v>
      </c>
      <c r="BY625" s="1" t="s">
        <v>105</v>
      </c>
      <c r="BZ625" s="1" t="s">
        <v>105</v>
      </c>
      <c r="CA625" s="1" t="s">
        <v>105</v>
      </c>
      <c r="CB625" s="1" t="s">
        <v>105</v>
      </c>
      <c r="CC625" s="1" t="s">
        <v>105</v>
      </c>
      <c r="CD625" s="1" t="s">
        <v>105</v>
      </c>
      <c r="CE625" s="4"/>
      <c r="CF625" s="4"/>
    </row>
    <row r="626" hidden="1">
      <c r="A626" s="1" t="s">
        <v>82</v>
      </c>
      <c r="B626" s="1" t="s">
        <v>524</v>
      </c>
      <c r="C626" s="1">
        <v>13.0</v>
      </c>
      <c r="D626" s="5" t="s">
        <v>2739</v>
      </c>
      <c r="E626" s="1" t="s">
        <v>2740</v>
      </c>
      <c r="F626" s="1">
        <v>46.0</v>
      </c>
      <c r="G626" s="1">
        <v>0.0</v>
      </c>
      <c r="H626" s="1" t="s">
        <v>2741</v>
      </c>
      <c r="I626" s="4" t="b">
        <f>IFERROR(__xludf.DUMMYFUNCTION("IF(H626="""",,REGEXMATCH(H626,""[א-ת]""))"),FALSE)</f>
        <v>0</v>
      </c>
      <c r="J626" s="4"/>
      <c r="K626" s="4"/>
      <c r="L626" s="1">
        <v>0.0</v>
      </c>
      <c r="M626" s="1">
        <v>47.06</v>
      </c>
      <c r="N626" s="1">
        <v>39.13</v>
      </c>
      <c r="O626" s="1">
        <v>0.8506521739</v>
      </c>
      <c r="P626" s="4"/>
      <c r="Q626" s="4"/>
      <c r="R626" s="1" t="s">
        <v>89</v>
      </c>
      <c r="S626" s="1" t="s">
        <v>2740</v>
      </c>
      <c r="T626" s="1" t="s">
        <v>524</v>
      </c>
      <c r="U626" s="1">
        <v>14.0</v>
      </c>
      <c r="V626" s="5" t="s">
        <v>2739</v>
      </c>
      <c r="W626" s="1" t="s">
        <v>2740</v>
      </c>
      <c r="X626" s="1" t="s">
        <v>2742</v>
      </c>
      <c r="Y626" s="4"/>
      <c r="Z626" s="4"/>
      <c r="AA626" s="4" t="b">
        <f>IFERROR(__xludf.DUMMYFUNCTION("IF(X626="""",,REGEXMATCH(X626,""[א-ת]""))"),FALSE)</f>
        <v>0</v>
      </c>
      <c r="AB626" s="1">
        <v>33.17</v>
      </c>
      <c r="AC626" s="1">
        <v>47.83</v>
      </c>
      <c r="AD626" s="1">
        <v>0.815774218576733</v>
      </c>
      <c r="AE626" s="1">
        <v>0.0</v>
      </c>
      <c r="AF626" s="1">
        <v>0.0</v>
      </c>
      <c r="AG626" s="1">
        <v>6.337</v>
      </c>
      <c r="AH626" s="1">
        <v>6.781</v>
      </c>
      <c r="AI626" s="1" t="b">
        <v>0</v>
      </c>
      <c r="AJ626" s="1" t="b">
        <v>0</v>
      </c>
      <c r="AK626" s="1">
        <v>94.182</v>
      </c>
      <c r="AL626" s="1">
        <v>96.508</v>
      </c>
      <c r="AM626" s="1" t="b">
        <v>0</v>
      </c>
      <c r="AN626" s="1" t="b">
        <v>0</v>
      </c>
      <c r="AO626" s="1">
        <v>8.05</v>
      </c>
      <c r="AP626" s="1">
        <v>8.53399999999999</v>
      </c>
      <c r="AQ626" s="1" t="b">
        <v>0</v>
      </c>
      <c r="AR626" s="1" t="b">
        <v>0</v>
      </c>
      <c r="AS626" s="1">
        <v>86.9179999999999</v>
      </c>
      <c r="AT626" s="1">
        <v>87.152</v>
      </c>
      <c r="AU626" s="1" t="b">
        <v>0</v>
      </c>
      <c r="AV626" s="1" t="b">
        <v>0</v>
      </c>
      <c r="AW626" s="1">
        <v>9.61399999999999</v>
      </c>
      <c r="AX626" s="1">
        <v>11.026</v>
      </c>
      <c r="AY626" s="1" t="b">
        <v>0</v>
      </c>
      <c r="AZ626" s="1" t="b">
        <v>0</v>
      </c>
      <c r="BA626" s="1">
        <v>81.25</v>
      </c>
      <c r="BB626" s="1">
        <v>77.78</v>
      </c>
      <c r="BC626" s="1" t="b">
        <v>0</v>
      </c>
      <c r="BD626" s="1" t="b">
        <v>0</v>
      </c>
      <c r="BE626" s="1">
        <v>11.34</v>
      </c>
      <c r="BF626" s="1">
        <v>13.285</v>
      </c>
      <c r="BG626" s="1" t="b">
        <v>0</v>
      </c>
      <c r="BH626" s="1" t="b">
        <v>0</v>
      </c>
      <c r="BI626" s="1">
        <v>77.78</v>
      </c>
      <c r="BJ626" s="1">
        <v>75.0</v>
      </c>
      <c r="BK626" s="1" t="b">
        <v>0</v>
      </c>
      <c r="BL626" s="1" t="b">
        <v>0</v>
      </c>
      <c r="BM626" s="1">
        <v>13.121</v>
      </c>
      <c r="BN626" s="1">
        <v>14.568</v>
      </c>
      <c r="BO626" s="1" t="b">
        <v>0</v>
      </c>
      <c r="BP626" s="1" t="b">
        <v>0</v>
      </c>
      <c r="BQ626" s="1">
        <v>75.0</v>
      </c>
      <c r="BR626" s="1">
        <v>72.027</v>
      </c>
      <c r="BS626" s="1" t="b">
        <v>0</v>
      </c>
      <c r="BT626" s="1" t="b">
        <v>0</v>
      </c>
      <c r="BU626" s="1" t="s">
        <v>105</v>
      </c>
      <c r="BV626" s="1" t="s">
        <v>105</v>
      </c>
      <c r="BW626" s="1" t="s">
        <v>105</v>
      </c>
      <c r="BX626" s="1" t="s">
        <v>105</v>
      </c>
      <c r="BY626" s="1" t="s">
        <v>105</v>
      </c>
      <c r="BZ626" s="1" t="s">
        <v>105</v>
      </c>
      <c r="CA626" s="1" t="s">
        <v>105</v>
      </c>
      <c r="CB626" s="1" t="s">
        <v>105</v>
      </c>
      <c r="CC626" s="1" t="s">
        <v>105</v>
      </c>
      <c r="CD626" s="1" t="s">
        <v>105</v>
      </c>
      <c r="CE626" s="4"/>
      <c r="CF626" s="4"/>
    </row>
    <row r="627" hidden="1">
      <c r="A627" s="1" t="s">
        <v>82</v>
      </c>
      <c r="B627" s="1" t="s">
        <v>123</v>
      </c>
      <c r="C627" s="1">
        <v>34.0</v>
      </c>
      <c r="D627" s="5" t="s">
        <v>2743</v>
      </c>
      <c r="E627" s="1" t="s">
        <v>2744</v>
      </c>
      <c r="F627" s="1">
        <v>34.0</v>
      </c>
      <c r="G627" s="1">
        <v>-0.4682</v>
      </c>
      <c r="H627" s="1" t="s">
        <v>2745</v>
      </c>
      <c r="I627" s="4" t="b">
        <f>IFERROR(__xludf.DUMMYFUNCTION("IF(H627="""",,REGEXMATCH(H627,""[א-ת]""))"),FALSE)</f>
        <v>0</v>
      </c>
      <c r="J627" s="4"/>
      <c r="K627" s="4"/>
      <c r="L627" s="1">
        <v>-0.2732</v>
      </c>
      <c r="M627" s="1">
        <v>47.95</v>
      </c>
      <c r="N627" s="1">
        <v>41.18</v>
      </c>
      <c r="O627" s="1">
        <v>1.211176471</v>
      </c>
      <c r="P627" s="4"/>
      <c r="Q627" s="4"/>
      <c r="R627" s="1" t="s">
        <v>127</v>
      </c>
      <c r="S627" s="1" t="s">
        <v>2744</v>
      </c>
      <c r="T627" s="1" t="s">
        <v>123</v>
      </c>
      <c r="U627" s="1">
        <v>35.0</v>
      </c>
      <c r="V627" s="5" t="s">
        <v>2743</v>
      </c>
      <c r="W627" s="1" t="s">
        <v>2744</v>
      </c>
      <c r="X627" s="1" t="s">
        <v>2746</v>
      </c>
      <c r="Y627" s="4"/>
      <c r="Z627" s="4"/>
      <c r="AA627" s="4" t="b">
        <f>IFERROR(__xludf.DUMMYFUNCTION("IF(X627="""",,REGEXMATCH(X627,""[א-ת]""))"),FALSE)</f>
        <v>0</v>
      </c>
      <c r="AB627" s="1">
        <v>13.65</v>
      </c>
      <c r="AC627" s="1">
        <v>73.53</v>
      </c>
      <c r="AD627" s="1">
        <v>0.317799933545091</v>
      </c>
      <c r="AE627" s="1">
        <v>-0.2732</v>
      </c>
      <c r="AF627" s="1">
        <v>-0.4682</v>
      </c>
      <c r="AG627" s="1">
        <v>6.337</v>
      </c>
      <c r="AH627" s="1">
        <v>6.781</v>
      </c>
      <c r="AI627" s="1" t="b">
        <v>0</v>
      </c>
      <c r="AJ627" s="1" t="b">
        <v>0</v>
      </c>
      <c r="AK627" s="1">
        <v>94.182</v>
      </c>
      <c r="AL627" s="1">
        <v>96.508</v>
      </c>
      <c r="AM627" s="1" t="b">
        <v>0</v>
      </c>
      <c r="AN627" s="1" t="b">
        <v>0</v>
      </c>
      <c r="AO627" s="1">
        <v>8.05</v>
      </c>
      <c r="AP627" s="1">
        <v>8.53399999999999</v>
      </c>
      <c r="AQ627" s="1" t="b">
        <v>0</v>
      </c>
      <c r="AR627" s="1" t="b">
        <v>0</v>
      </c>
      <c r="AS627" s="1">
        <v>86.9179999999999</v>
      </c>
      <c r="AT627" s="1">
        <v>87.152</v>
      </c>
      <c r="AU627" s="1" t="b">
        <v>0</v>
      </c>
      <c r="AV627" s="1" t="b">
        <v>0</v>
      </c>
      <c r="AW627" s="1">
        <v>9.61399999999999</v>
      </c>
      <c r="AX627" s="1">
        <v>11.026</v>
      </c>
      <c r="AY627" s="1" t="b">
        <v>0</v>
      </c>
      <c r="AZ627" s="1" t="b">
        <v>0</v>
      </c>
      <c r="BA627" s="1">
        <v>81.25</v>
      </c>
      <c r="BB627" s="1">
        <v>77.78</v>
      </c>
      <c r="BC627" s="1" t="b">
        <v>0</v>
      </c>
      <c r="BD627" s="1" t="b">
        <v>0</v>
      </c>
      <c r="BE627" s="1">
        <v>11.34</v>
      </c>
      <c r="BF627" s="1">
        <v>13.285</v>
      </c>
      <c r="BG627" s="1" t="b">
        <v>0</v>
      </c>
      <c r="BH627" s="1" t="b">
        <v>0</v>
      </c>
      <c r="BI627" s="1">
        <v>77.78</v>
      </c>
      <c r="BJ627" s="1">
        <v>75.0</v>
      </c>
      <c r="BK627" s="1" t="b">
        <v>0</v>
      </c>
      <c r="BL627" s="1" t="b">
        <v>0</v>
      </c>
      <c r="BM627" s="1">
        <v>13.121</v>
      </c>
      <c r="BN627" s="1">
        <v>14.568</v>
      </c>
      <c r="BO627" s="1" t="b">
        <v>0</v>
      </c>
      <c r="BP627" s="1" t="b">
        <v>1</v>
      </c>
      <c r="BQ627" s="1">
        <v>75.0</v>
      </c>
      <c r="BR627" s="1">
        <v>72.027</v>
      </c>
      <c r="BS627" s="1" t="b">
        <v>0</v>
      </c>
      <c r="BT627" s="1" t="b">
        <v>1</v>
      </c>
      <c r="BU627" s="1" t="s">
        <v>105</v>
      </c>
      <c r="BV627" s="1" t="s">
        <v>105</v>
      </c>
      <c r="BW627" s="1" t="s">
        <v>105</v>
      </c>
      <c r="BX627" s="1" t="s">
        <v>105</v>
      </c>
      <c r="BY627" s="1" t="s">
        <v>105</v>
      </c>
      <c r="BZ627" s="1" t="s">
        <v>105</v>
      </c>
      <c r="CA627" s="1" t="s">
        <v>105</v>
      </c>
      <c r="CB627" s="1" t="s">
        <v>105</v>
      </c>
      <c r="CC627" s="1" t="s">
        <v>157</v>
      </c>
      <c r="CD627" s="1" t="s">
        <v>157</v>
      </c>
      <c r="CE627" s="4"/>
      <c r="CF627" s="4"/>
    </row>
    <row r="628" hidden="1">
      <c r="A628" s="1" t="s">
        <v>82</v>
      </c>
      <c r="B628" s="1" t="s">
        <v>197</v>
      </c>
      <c r="C628" s="1">
        <v>19.0</v>
      </c>
      <c r="D628" s="5" t="s">
        <v>2747</v>
      </c>
      <c r="E628" s="1" t="s">
        <v>2748</v>
      </c>
      <c r="F628" s="1">
        <v>62.0</v>
      </c>
      <c r="G628" s="1">
        <v>-0.5994</v>
      </c>
      <c r="H628" s="1" t="s">
        <v>2749</v>
      </c>
      <c r="I628" s="4" t="b">
        <f>IFERROR(__xludf.DUMMYFUNCTION("IF(H628="""",,REGEXMATCH(H628,""[א-ת]""))"),FALSE)</f>
        <v>0</v>
      </c>
      <c r="J628" s="4"/>
      <c r="K628" s="4"/>
      <c r="L628" s="1">
        <v>-0.5994</v>
      </c>
      <c r="M628" s="1">
        <v>49.01</v>
      </c>
      <c r="N628" s="1">
        <v>32.26</v>
      </c>
      <c r="O628" s="1">
        <v>0.5203225806</v>
      </c>
      <c r="P628" s="4"/>
      <c r="Q628" s="4"/>
      <c r="R628" s="1" t="s">
        <v>89</v>
      </c>
      <c r="S628" s="1" t="s">
        <v>2748</v>
      </c>
      <c r="T628" s="1" t="s">
        <v>197</v>
      </c>
      <c r="U628" s="1">
        <v>20.0</v>
      </c>
      <c r="V628" s="5" t="s">
        <v>2747</v>
      </c>
      <c r="W628" s="1" t="s">
        <v>2748</v>
      </c>
      <c r="X628" s="1" t="s">
        <v>2750</v>
      </c>
      <c r="Y628" s="4"/>
      <c r="Z628" s="4"/>
      <c r="AA628" s="4" t="b">
        <f>IFERROR(__xludf.DUMMYFUNCTION("IF(X628="""",,REGEXMATCH(X628,""[א-ת]""))"),FALSE)</f>
        <v>0</v>
      </c>
      <c r="AB628" s="1">
        <v>36.7</v>
      </c>
      <c r="AC628" s="1">
        <v>43.55</v>
      </c>
      <c r="AD628" s="1">
        <v>0.365246670255145</v>
      </c>
      <c r="AE628" s="1">
        <v>-0.5994</v>
      </c>
      <c r="AF628" s="1">
        <v>-0.5994</v>
      </c>
      <c r="AG628" s="1">
        <v>6.337</v>
      </c>
      <c r="AH628" s="1">
        <v>6.781</v>
      </c>
      <c r="AI628" s="1" t="b">
        <v>0</v>
      </c>
      <c r="AJ628" s="1" t="b">
        <v>0</v>
      </c>
      <c r="AK628" s="1">
        <v>94.182</v>
      </c>
      <c r="AL628" s="1">
        <v>96.508</v>
      </c>
      <c r="AM628" s="1" t="b">
        <v>0</v>
      </c>
      <c r="AN628" s="1" t="b">
        <v>0</v>
      </c>
      <c r="AO628" s="1">
        <v>8.05</v>
      </c>
      <c r="AP628" s="1">
        <v>8.53399999999999</v>
      </c>
      <c r="AQ628" s="1" t="b">
        <v>0</v>
      </c>
      <c r="AR628" s="1" t="b">
        <v>0</v>
      </c>
      <c r="AS628" s="1">
        <v>86.9179999999999</v>
      </c>
      <c r="AT628" s="1">
        <v>87.152</v>
      </c>
      <c r="AU628" s="1" t="b">
        <v>0</v>
      </c>
      <c r="AV628" s="1" t="b">
        <v>0</v>
      </c>
      <c r="AW628" s="1">
        <v>9.61399999999999</v>
      </c>
      <c r="AX628" s="1">
        <v>11.026</v>
      </c>
      <c r="AY628" s="1" t="b">
        <v>0</v>
      </c>
      <c r="AZ628" s="1" t="b">
        <v>0</v>
      </c>
      <c r="BA628" s="1">
        <v>81.25</v>
      </c>
      <c r="BB628" s="1">
        <v>77.78</v>
      </c>
      <c r="BC628" s="1" t="b">
        <v>0</v>
      </c>
      <c r="BD628" s="1" t="b">
        <v>0</v>
      </c>
      <c r="BE628" s="1">
        <v>11.34</v>
      </c>
      <c r="BF628" s="1">
        <v>13.285</v>
      </c>
      <c r="BG628" s="1" t="b">
        <v>0</v>
      </c>
      <c r="BH628" s="1" t="b">
        <v>0</v>
      </c>
      <c r="BI628" s="1">
        <v>77.78</v>
      </c>
      <c r="BJ628" s="1">
        <v>75.0</v>
      </c>
      <c r="BK628" s="1" t="b">
        <v>0</v>
      </c>
      <c r="BL628" s="1" t="b">
        <v>0</v>
      </c>
      <c r="BM628" s="1">
        <v>13.121</v>
      </c>
      <c r="BN628" s="1">
        <v>14.568</v>
      </c>
      <c r="BO628" s="1" t="b">
        <v>0</v>
      </c>
      <c r="BP628" s="1" t="b">
        <v>0</v>
      </c>
      <c r="BQ628" s="1">
        <v>75.0</v>
      </c>
      <c r="BR628" s="1">
        <v>72.027</v>
      </c>
      <c r="BS628" s="1" t="b">
        <v>0</v>
      </c>
      <c r="BT628" s="1" t="b">
        <v>0</v>
      </c>
      <c r="BU628" s="1" t="s">
        <v>105</v>
      </c>
      <c r="BV628" s="1" t="s">
        <v>105</v>
      </c>
      <c r="BW628" s="1" t="s">
        <v>105</v>
      </c>
      <c r="BX628" s="1" t="s">
        <v>105</v>
      </c>
      <c r="BY628" s="1" t="s">
        <v>105</v>
      </c>
      <c r="BZ628" s="1" t="s">
        <v>105</v>
      </c>
      <c r="CA628" s="1" t="s">
        <v>105</v>
      </c>
      <c r="CB628" s="1" t="s">
        <v>105</v>
      </c>
      <c r="CC628" s="1" t="s">
        <v>105</v>
      </c>
      <c r="CD628" s="1" t="s">
        <v>105</v>
      </c>
      <c r="CE628" s="4"/>
      <c r="CF628" s="4"/>
    </row>
    <row r="629" hidden="1">
      <c r="A629" s="1" t="s">
        <v>82</v>
      </c>
      <c r="B629" s="1" t="s">
        <v>262</v>
      </c>
      <c r="C629" s="1">
        <v>27.0</v>
      </c>
      <c r="D629" s="5" t="s">
        <v>2751</v>
      </c>
      <c r="E629" s="1" t="s">
        <v>2752</v>
      </c>
      <c r="F629" s="1">
        <v>42.0</v>
      </c>
      <c r="G629" s="1">
        <v>-0.5994</v>
      </c>
      <c r="H629" s="1" t="s">
        <v>2753</v>
      </c>
      <c r="I629" s="4" t="b">
        <f>IFERROR(__xludf.DUMMYFUNCTION("IF(H629="""",,REGEXMATCH(H629,""[א-ת]""))"),FALSE)</f>
        <v>0</v>
      </c>
      <c r="J629" s="4"/>
      <c r="K629" s="4"/>
      <c r="L629" s="1">
        <v>-0.5994</v>
      </c>
      <c r="M629" s="1">
        <v>49.14</v>
      </c>
      <c r="N629" s="1">
        <v>28.57</v>
      </c>
      <c r="O629" s="1">
        <v>0.6802380952</v>
      </c>
      <c r="P629" s="4"/>
      <c r="Q629" s="4"/>
      <c r="R629" s="1" t="s">
        <v>96</v>
      </c>
      <c r="S629" s="1" t="s">
        <v>2752</v>
      </c>
      <c r="T629" s="1" t="s">
        <v>262</v>
      </c>
      <c r="U629" s="1">
        <v>28.0</v>
      </c>
      <c r="V629" s="5" t="s">
        <v>2751</v>
      </c>
      <c r="W629" s="1" t="s">
        <v>2752</v>
      </c>
      <c r="X629" s="1" t="s">
        <v>2754</v>
      </c>
      <c r="Y629" s="4"/>
      <c r="Z629" s="4"/>
      <c r="AA629" s="4" t="b">
        <f>IFERROR(__xludf.DUMMYFUNCTION("IF(X629="""",,REGEXMATCH(X629,""[א-ת]""))"),FALSE)</f>
        <v>0</v>
      </c>
      <c r="AB629" s="1">
        <v>20.43</v>
      </c>
      <c r="AC629" s="1">
        <v>59.52</v>
      </c>
      <c r="AD629" s="1">
        <v>0.39245926489431</v>
      </c>
      <c r="AE629" s="1">
        <v>-0.5994</v>
      </c>
      <c r="AF629" s="1">
        <v>-0.5994</v>
      </c>
      <c r="AG629" s="1">
        <v>6.337</v>
      </c>
      <c r="AH629" s="1">
        <v>6.781</v>
      </c>
      <c r="AI629" s="1" t="b">
        <v>0</v>
      </c>
      <c r="AJ629" s="1" t="b">
        <v>0</v>
      </c>
      <c r="AK629" s="1">
        <v>94.182</v>
      </c>
      <c r="AL629" s="1">
        <v>96.508</v>
      </c>
      <c r="AM629" s="1" t="b">
        <v>0</v>
      </c>
      <c r="AN629" s="1" t="b">
        <v>0</v>
      </c>
      <c r="AO629" s="1">
        <v>8.05</v>
      </c>
      <c r="AP629" s="1">
        <v>8.53399999999999</v>
      </c>
      <c r="AQ629" s="1" t="b">
        <v>0</v>
      </c>
      <c r="AR629" s="1" t="b">
        <v>0</v>
      </c>
      <c r="AS629" s="1">
        <v>86.9179999999999</v>
      </c>
      <c r="AT629" s="1">
        <v>87.152</v>
      </c>
      <c r="AU629" s="1" t="b">
        <v>0</v>
      </c>
      <c r="AV629" s="1" t="b">
        <v>0</v>
      </c>
      <c r="AW629" s="1">
        <v>9.61399999999999</v>
      </c>
      <c r="AX629" s="1">
        <v>11.026</v>
      </c>
      <c r="AY629" s="1" t="b">
        <v>0</v>
      </c>
      <c r="AZ629" s="1" t="b">
        <v>0</v>
      </c>
      <c r="BA629" s="1">
        <v>81.25</v>
      </c>
      <c r="BB629" s="1">
        <v>77.78</v>
      </c>
      <c r="BC629" s="1" t="b">
        <v>0</v>
      </c>
      <c r="BD629" s="1" t="b">
        <v>0</v>
      </c>
      <c r="BE629" s="1">
        <v>11.34</v>
      </c>
      <c r="BF629" s="1">
        <v>13.285</v>
      </c>
      <c r="BG629" s="1" t="b">
        <v>0</v>
      </c>
      <c r="BH629" s="1" t="b">
        <v>0</v>
      </c>
      <c r="BI629" s="1">
        <v>77.78</v>
      </c>
      <c r="BJ629" s="1">
        <v>75.0</v>
      </c>
      <c r="BK629" s="1" t="b">
        <v>0</v>
      </c>
      <c r="BL629" s="1" t="b">
        <v>0</v>
      </c>
      <c r="BM629" s="1">
        <v>13.121</v>
      </c>
      <c r="BN629" s="1">
        <v>14.568</v>
      </c>
      <c r="BO629" s="1" t="b">
        <v>0</v>
      </c>
      <c r="BP629" s="1" t="b">
        <v>0</v>
      </c>
      <c r="BQ629" s="1">
        <v>75.0</v>
      </c>
      <c r="BR629" s="1">
        <v>72.027</v>
      </c>
      <c r="BS629" s="1" t="b">
        <v>0</v>
      </c>
      <c r="BT629" s="1" t="b">
        <v>0</v>
      </c>
      <c r="BU629" s="1" t="s">
        <v>105</v>
      </c>
      <c r="BV629" s="1" t="s">
        <v>105</v>
      </c>
      <c r="BW629" s="1" t="s">
        <v>105</v>
      </c>
      <c r="BX629" s="1" t="s">
        <v>105</v>
      </c>
      <c r="BY629" s="1" t="s">
        <v>105</v>
      </c>
      <c r="BZ629" s="1" t="s">
        <v>105</v>
      </c>
      <c r="CA629" s="1" t="s">
        <v>105</v>
      </c>
      <c r="CB629" s="1" t="s">
        <v>105</v>
      </c>
      <c r="CC629" s="1" t="s">
        <v>105</v>
      </c>
      <c r="CD629" s="1" t="s">
        <v>105</v>
      </c>
      <c r="CE629" s="4"/>
      <c r="CF629" s="4"/>
    </row>
    <row r="630" hidden="1">
      <c r="A630" s="1" t="s">
        <v>82</v>
      </c>
      <c r="B630" s="1" t="s">
        <v>197</v>
      </c>
      <c r="C630" s="1">
        <v>6.0</v>
      </c>
      <c r="D630" s="5" t="s">
        <v>2755</v>
      </c>
      <c r="E630" s="1" t="s">
        <v>2756</v>
      </c>
      <c r="F630" s="1">
        <v>32.0</v>
      </c>
      <c r="G630" s="1">
        <v>0.0</v>
      </c>
      <c r="H630" s="1" t="s">
        <v>2757</v>
      </c>
      <c r="I630" s="4" t="b">
        <f>IFERROR(__xludf.DUMMYFUNCTION("IF(H630="""",,REGEXMATCH(H630,""[א-ת]""))"),FALSE)</f>
        <v>0</v>
      </c>
      <c r="J630" s="4"/>
      <c r="K630" s="4"/>
      <c r="L630" s="1">
        <v>0.0</v>
      </c>
      <c r="M630" s="1">
        <v>49.52</v>
      </c>
      <c r="N630" s="1">
        <v>40.62</v>
      </c>
      <c r="O630" s="1">
        <v>1.269375</v>
      </c>
      <c r="P630" s="4"/>
      <c r="Q630" s="4"/>
      <c r="R630" s="1" t="s">
        <v>89</v>
      </c>
      <c r="S630" s="1" t="s">
        <v>2756</v>
      </c>
      <c r="T630" s="1" t="s">
        <v>197</v>
      </c>
      <c r="U630" s="1">
        <v>7.0</v>
      </c>
      <c r="V630" s="5" t="s">
        <v>2755</v>
      </c>
      <c r="W630" s="1" t="s">
        <v>2756</v>
      </c>
      <c r="X630" s="1" t="s">
        <v>2758</v>
      </c>
      <c r="Y630" s="4"/>
      <c r="Z630" s="4"/>
      <c r="AA630" s="4" t="b">
        <f>IFERROR(__xludf.DUMMYFUNCTION("IF(X630="""",,REGEXMATCH(X630,""[א-ת]""))"),FALSE)</f>
        <v>0</v>
      </c>
      <c r="AB630" s="1">
        <v>37.98</v>
      </c>
      <c r="AC630" s="1">
        <v>56.25</v>
      </c>
      <c r="AD630" s="1">
        <v>0.491709121976503</v>
      </c>
      <c r="AE630" s="1">
        <v>0.0</v>
      </c>
      <c r="AF630" s="1">
        <v>0.0</v>
      </c>
      <c r="AG630" s="1">
        <v>6.337</v>
      </c>
      <c r="AH630" s="1">
        <v>6.781</v>
      </c>
      <c r="AI630" s="1" t="b">
        <v>0</v>
      </c>
      <c r="AJ630" s="1" t="b">
        <v>0</v>
      </c>
      <c r="AK630" s="1">
        <v>94.182</v>
      </c>
      <c r="AL630" s="1">
        <v>96.508</v>
      </c>
      <c r="AM630" s="1" t="b">
        <v>0</v>
      </c>
      <c r="AN630" s="1" t="b">
        <v>0</v>
      </c>
      <c r="AO630" s="1">
        <v>8.05</v>
      </c>
      <c r="AP630" s="1">
        <v>8.53399999999999</v>
      </c>
      <c r="AQ630" s="1" t="b">
        <v>0</v>
      </c>
      <c r="AR630" s="1" t="b">
        <v>0</v>
      </c>
      <c r="AS630" s="1">
        <v>86.9179999999999</v>
      </c>
      <c r="AT630" s="1">
        <v>87.152</v>
      </c>
      <c r="AU630" s="1" t="b">
        <v>0</v>
      </c>
      <c r="AV630" s="1" t="b">
        <v>0</v>
      </c>
      <c r="AW630" s="1">
        <v>9.61399999999999</v>
      </c>
      <c r="AX630" s="1">
        <v>11.026</v>
      </c>
      <c r="AY630" s="1" t="b">
        <v>0</v>
      </c>
      <c r="AZ630" s="1" t="b">
        <v>0</v>
      </c>
      <c r="BA630" s="1">
        <v>81.25</v>
      </c>
      <c r="BB630" s="1">
        <v>77.78</v>
      </c>
      <c r="BC630" s="1" t="b">
        <v>0</v>
      </c>
      <c r="BD630" s="1" t="b">
        <v>0</v>
      </c>
      <c r="BE630" s="1">
        <v>11.34</v>
      </c>
      <c r="BF630" s="1">
        <v>13.285</v>
      </c>
      <c r="BG630" s="1" t="b">
        <v>0</v>
      </c>
      <c r="BH630" s="1" t="b">
        <v>0</v>
      </c>
      <c r="BI630" s="1">
        <v>77.78</v>
      </c>
      <c r="BJ630" s="1">
        <v>75.0</v>
      </c>
      <c r="BK630" s="1" t="b">
        <v>0</v>
      </c>
      <c r="BL630" s="1" t="b">
        <v>0</v>
      </c>
      <c r="BM630" s="1">
        <v>13.121</v>
      </c>
      <c r="BN630" s="1">
        <v>14.568</v>
      </c>
      <c r="BO630" s="1" t="b">
        <v>0</v>
      </c>
      <c r="BP630" s="1" t="b">
        <v>0</v>
      </c>
      <c r="BQ630" s="1">
        <v>75.0</v>
      </c>
      <c r="BR630" s="1">
        <v>72.027</v>
      </c>
      <c r="BS630" s="1" t="b">
        <v>0</v>
      </c>
      <c r="BT630" s="1" t="b">
        <v>0</v>
      </c>
      <c r="BU630" s="1" t="s">
        <v>105</v>
      </c>
      <c r="BV630" s="1" t="s">
        <v>105</v>
      </c>
      <c r="BW630" s="1" t="s">
        <v>105</v>
      </c>
      <c r="BX630" s="1" t="s">
        <v>105</v>
      </c>
      <c r="BY630" s="1" t="s">
        <v>105</v>
      </c>
      <c r="BZ630" s="1" t="s">
        <v>105</v>
      </c>
      <c r="CA630" s="1" t="s">
        <v>105</v>
      </c>
      <c r="CB630" s="1" t="s">
        <v>105</v>
      </c>
      <c r="CC630" s="1" t="s">
        <v>105</v>
      </c>
      <c r="CD630" s="1" t="s">
        <v>105</v>
      </c>
      <c r="CE630" s="4"/>
      <c r="CF630" s="4"/>
    </row>
    <row r="631" hidden="1">
      <c r="A631" s="1" t="s">
        <v>82</v>
      </c>
      <c r="B631" s="1" t="s">
        <v>123</v>
      </c>
      <c r="C631" s="1">
        <v>36.0</v>
      </c>
      <c r="D631" s="5" t="s">
        <v>2759</v>
      </c>
      <c r="E631" s="1" t="s">
        <v>2760</v>
      </c>
      <c r="F631" s="1">
        <v>27.0</v>
      </c>
      <c r="G631" s="1">
        <v>-0.2732</v>
      </c>
      <c r="H631" s="1" t="s">
        <v>2761</v>
      </c>
      <c r="I631" s="4" t="b">
        <f>IFERROR(__xludf.DUMMYFUNCTION("IF(H631="""",,REGEXMATCH(H631,""[א-ת]""))"),FALSE)</f>
        <v>0</v>
      </c>
      <c r="J631" s="4"/>
      <c r="K631" s="4"/>
      <c r="L631" s="1">
        <v>-0.2732</v>
      </c>
      <c r="M631" s="1">
        <v>50.17</v>
      </c>
      <c r="N631" s="1">
        <v>33.33</v>
      </c>
      <c r="O631" s="1">
        <v>1.234444444</v>
      </c>
      <c r="P631" s="4"/>
      <c r="Q631" s="4"/>
      <c r="R631" s="1" t="s">
        <v>127</v>
      </c>
      <c r="S631" s="1" t="s">
        <v>2760</v>
      </c>
      <c r="T631" s="1" t="s">
        <v>123</v>
      </c>
      <c r="U631" s="1">
        <v>37.0</v>
      </c>
      <c r="V631" s="5" t="s">
        <v>2759</v>
      </c>
      <c r="W631" s="1" t="s">
        <v>2760</v>
      </c>
      <c r="X631" s="1" t="s">
        <v>2762</v>
      </c>
      <c r="Y631" s="4"/>
      <c r="Z631" s="4"/>
      <c r="AA631" s="4" t="b">
        <f>IFERROR(__xludf.DUMMYFUNCTION("IF(X631="""",,REGEXMATCH(X631,""[א-ת]""))"),TRUE)</f>
        <v>1</v>
      </c>
      <c r="AB631" s="1">
        <v>17.7</v>
      </c>
      <c r="AC631" s="1">
        <v>59.26</v>
      </c>
      <c r="AD631" s="1">
        <v>0.703303379630087</v>
      </c>
      <c r="AE631" s="1">
        <v>-0.2732</v>
      </c>
      <c r="AF631" s="1">
        <v>-0.2732</v>
      </c>
      <c r="AG631" s="1">
        <v>6.337</v>
      </c>
      <c r="AH631" s="1">
        <v>6.781</v>
      </c>
      <c r="AI631" s="1" t="b">
        <v>0</v>
      </c>
      <c r="AJ631" s="1" t="b">
        <v>0</v>
      </c>
      <c r="AK631" s="1">
        <v>94.182</v>
      </c>
      <c r="AL631" s="1">
        <v>96.508</v>
      </c>
      <c r="AM631" s="1" t="b">
        <v>0</v>
      </c>
      <c r="AN631" s="1" t="b">
        <v>0</v>
      </c>
      <c r="AO631" s="1">
        <v>8.05</v>
      </c>
      <c r="AP631" s="1">
        <v>8.53399999999999</v>
      </c>
      <c r="AQ631" s="1" t="b">
        <v>0</v>
      </c>
      <c r="AR631" s="1" t="b">
        <v>0</v>
      </c>
      <c r="AS631" s="1">
        <v>86.9179999999999</v>
      </c>
      <c r="AT631" s="1">
        <v>87.152</v>
      </c>
      <c r="AU631" s="1" t="b">
        <v>0</v>
      </c>
      <c r="AV631" s="1" t="b">
        <v>0</v>
      </c>
      <c r="AW631" s="1">
        <v>9.61399999999999</v>
      </c>
      <c r="AX631" s="1">
        <v>11.026</v>
      </c>
      <c r="AY631" s="1" t="b">
        <v>0</v>
      </c>
      <c r="AZ631" s="1" t="b">
        <v>0</v>
      </c>
      <c r="BA631" s="1">
        <v>81.25</v>
      </c>
      <c r="BB631" s="1">
        <v>77.78</v>
      </c>
      <c r="BC631" s="1" t="b">
        <v>0</v>
      </c>
      <c r="BD631" s="1" t="b">
        <v>0</v>
      </c>
      <c r="BE631" s="1">
        <v>11.34</v>
      </c>
      <c r="BF631" s="1">
        <v>13.285</v>
      </c>
      <c r="BG631" s="1" t="b">
        <v>0</v>
      </c>
      <c r="BH631" s="1" t="b">
        <v>0</v>
      </c>
      <c r="BI631" s="1">
        <v>77.78</v>
      </c>
      <c r="BJ631" s="1">
        <v>75.0</v>
      </c>
      <c r="BK631" s="1" t="b">
        <v>0</v>
      </c>
      <c r="BL631" s="1" t="b">
        <v>0</v>
      </c>
      <c r="BM631" s="1">
        <v>13.121</v>
      </c>
      <c r="BN631" s="1">
        <v>14.568</v>
      </c>
      <c r="BO631" s="1" t="b">
        <v>0</v>
      </c>
      <c r="BP631" s="1" t="b">
        <v>0</v>
      </c>
      <c r="BQ631" s="1">
        <v>75.0</v>
      </c>
      <c r="BR631" s="1">
        <v>72.027</v>
      </c>
      <c r="BS631" s="1" t="b">
        <v>0</v>
      </c>
      <c r="BT631" s="1" t="b">
        <v>0</v>
      </c>
      <c r="BU631" s="1" t="s">
        <v>105</v>
      </c>
      <c r="BV631" s="1" t="s">
        <v>105</v>
      </c>
      <c r="BW631" s="1" t="s">
        <v>105</v>
      </c>
      <c r="BX631" s="1" t="s">
        <v>105</v>
      </c>
      <c r="BY631" s="1" t="s">
        <v>105</v>
      </c>
      <c r="BZ631" s="1" t="s">
        <v>105</v>
      </c>
      <c r="CA631" s="1" t="s">
        <v>105</v>
      </c>
      <c r="CB631" s="1" t="s">
        <v>105</v>
      </c>
      <c r="CC631" s="1" t="s">
        <v>105</v>
      </c>
      <c r="CD631" s="1" t="s">
        <v>105</v>
      </c>
      <c r="CE631" s="4"/>
      <c r="CF631" s="4"/>
    </row>
    <row r="632" hidden="1">
      <c r="A632" s="1" t="s">
        <v>82</v>
      </c>
      <c r="B632" s="1" t="s">
        <v>139</v>
      </c>
      <c r="C632" s="1">
        <v>26.0</v>
      </c>
      <c r="D632" s="5" t="s">
        <v>2763</v>
      </c>
      <c r="E632" s="1" t="s">
        <v>2764</v>
      </c>
      <c r="F632" s="1">
        <v>18.0</v>
      </c>
      <c r="G632" s="1">
        <v>0.6369</v>
      </c>
      <c r="H632" s="1" t="s">
        <v>2765</v>
      </c>
      <c r="I632" s="4" t="b">
        <f>IFERROR(__xludf.DUMMYFUNCTION("IF(H632="""",,REGEXMATCH(H632,""[א-ת]""))"),FALSE)</f>
        <v>0</v>
      </c>
      <c r="J632" s="4"/>
      <c r="K632" s="4"/>
      <c r="L632" s="1">
        <v>0.6696</v>
      </c>
      <c r="M632" s="1">
        <v>50.41</v>
      </c>
      <c r="N632" s="1">
        <v>27.78</v>
      </c>
      <c r="O632" s="1">
        <v>1.543333333</v>
      </c>
      <c r="P632" s="4"/>
      <c r="Q632" s="4"/>
      <c r="R632" s="1" t="s">
        <v>96</v>
      </c>
      <c r="S632" s="1" t="s">
        <v>2764</v>
      </c>
      <c r="T632" s="1" t="s">
        <v>139</v>
      </c>
      <c r="U632" s="1">
        <v>27.0</v>
      </c>
      <c r="V632" s="5" t="s">
        <v>2763</v>
      </c>
      <c r="W632" s="1" t="s">
        <v>2764</v>
      </c>
      <c r="X632" s="1" t="s">
        <v>2766</v>
      </c>
      <c r="Y632" s="4"/>
      <c r="Z632" s="4"/>
      <c r="AA632" s="4" t="b">
        <f>IFERROR(__xludf.DUMMYFUNCTION("IF(X632="""",,REGEXMATCH(X632,""[א-ת]""))"),FALSE)</f>
        <v>0</v>
      </c>
      <c r="AB632" s="1">
        <v>34.7</v>
      </c>
      <c r="AC632" s="1">
        <v>44.44</v>
      </c>
      <c r="AD632" s="1">
        <v>0.858886022654925</v>
      </c>
      <c r="AE632" s="1">
        <v>0.6696</v>
      </c>
      <c r="AF632" s="1">
        <v>0.6369</v>
      </c>
      <c r="AG632" s="1">
        <v>6.337</v>
      </c>
      <c r="AH632" s="1">
        <v>6.781</v>
      </c>
      <c r="AI632" s="1" t="b">
        <v>0</v>
      </c>
      <c r="AJ632" s="1" t="b">
        <v>0</v>
      </c>
      <c r="AK632" s="1">
        <v>94.182</v>
      </c>
      <c r="AL632" s="1">
        <v>96.508</v>
      </c>
      <c r="AM632" s="1" t="b">
        <v>0</v>
      </c>
      <c r="AN632" s="1" t="b">
        <v>0</v>
      </c>
      <c r="AO632" s="1">
        <v>8.05</v>
      </c>
      <c r="AP632" s="1">
        <v>8.53399999999999</v>
      </c>
      <c r="AQ632" s="1" t="b">
        <v>0</v>
      </c>
      <c r="AR632" s="1" t="b">
        <v>0</v>
      </c>
      <c r="AS632" s="1">
        <v>86.9179999999999</v>
      </c>
      <c r="AT632" s="1">
        <v>87.152</v>
      </c>
      <c r="AU632" s="1" t="b">
        <v>0</v>
      </c>
      <c r="AV632" s="1" t="b">
        <v>0</v>
      </c>
      <c r="AW632" s="1">
        <v>9.61399999999999</v>
      </c>
      <c r="AX632" s="1">
        <v>11.026</v>
      </c>
      <c r="AY632" s="1" t="b">
        <v>0</v>
      </c>
      <c r="AZ632" s="1" t="b">
        <v>0</v>
      </c>
      <c r="BA632" s="1">
        <v>81.25</v>
      </c>
      <c r="BB632" s="1">
        <v>77.78</v>
      </c>
      <c r="BC632" s="1" t="b">
        <v>0</v>
      </c>
      <c r="BD632" s="1" t="b">
        <v>0</v>
      </c>
      <c r="BE632" s="1">
        <v>11.34</v>
      </c>
      <c r="BF632" s="1">
        <v>13.285</v>
      </c>
      <c r="BG632" s="1" t="b">
        <v>0</v>
      </c>
      <c r="BH632" s="1" t="b">
        <v>0</v>
      </c>
      <c r="BI632" s="1">
        <v>77.78</v>
      </c>
      <c r="BJ632" s="1">
        <v>75.0</v>
      </c>
      <c r="BK632" s="1" t="b">
        <v>0</v>
      </c>
      <c r="BL632" s="1" t="b">
        <v>0</v>
      </c>
      <c r="BM632" s="1">
        <v>13.121</v>
      </c>
      <c r="BN632" s="1">
        <v>14.568</v>
      </c>
      <c r="BO632" s="1" t="b">
        <v>0</v>
      </c>
      <c r="BP632" s="1" t="b">
        <v>0</v>
      </c>
      <c r="BQ632" s="1">
        <v>75.0</v>
      </c>
      <c r="BR632" s="1">
        <v>72.027</v>
      </c>
      <c r="BS632" s="1" t="b">
        <v>0</v>
      </c>
      <c r="BT632" s="1" t="b">
        <v>0</v>
      </c>
      <c r="BU632" s="1" t="s">
        <v>105</v>
      </c>
      <c r="BV632" s="1" t="s">
        <v>105</v>
      </c>
      <c r="BW632" s="1" t="s">
        <v>105</v>
      </c>
      <c r="BX632" s="1" t="s">
        <v>105</v>
      </c>
      <c r="BY632" s="1" t="s">
        <v>105</v>
      </c>
      <c r="BZ632" s="1" t="s">
        <v>105</v>
      </c>
      <c r="CA632" s="1" t="s">
        <v>105</v>
      </c>
      <c r="CB632" s="1" t="s">
        <v>105</v>
      </c>
      <c r="CC632" s="1" t="s">
        <v>105</v>
      </c>
      <c r="CD632" s="1" t="s">
        <v>105</v>
      </c>
      <c r="CE632" s="4"/>
      <c r="CF632" s="4"/>
    </row>
    <row r="633" hidden="1">
      <c r="A633" s="1" t="s">
        <v>82</v>
      </c>
      <c r="B633" s="1" t="s">
        <v>262</v>
      </c>
      <c r="C633" s="1">
        <v>3.0</v>
      </c>
      <c r="D633" s="5" t="s">
        <v>2767</v>
      </c>
      <c r="E633" s="1" t="s">
        <v>2768</v>
      </c>
      <c r="F633" s="1">
        <v>70.0</v>
      </c>
      <c r="G633" s="1">
        <v>-0.6264</v>
      </c>
      <c r="H633" s="1" t="s">
        <v>2769</v>
      </c>
      <c r="I633" s="4" t="b">
        <f>IFERROR(__xludf.DUMMYFUNCTION("IF(H633="""",,REGEXMATCH(H633,""[א-ת]""))"),FALSE)</f>
        <v>0</v>
      </c>
      <c r="J633" s="4"/>
      <c r="K633" s="4"/>
      <c r="L633" s="1">
        <v>-0.3843</v>
      </c>
      <c r="M633" s="1">
        <v>50.66</v>
      </c>
      <c r="N633" s="1">
        <v>35.71</v>
      </c>
      <c r="O633" s="1">
        <v>0.5101428571</v>
      </c>
      <c r="P633" s="4"/>
      <c r="Q633" s="4"/>
      <c r="R633" s="1" t="s">
        <v>96</v>
      </c>
      <c r="S633" s="1" t="s">
        <v>2768</v>
      </c>
      <c r="T633" s="1" t="s">
        <v>262</v>
      </c>
      <c r="U633" s="1">
        <v>4.0</v>
      </c>
      <c r="V633" s="5" t="s">
        <v>2767</v>
      </c>
      <c r="W633" s="1" t="s">
        <v>2768</v>
      </c>
      <c r="X633" s="1" t="s">
        <v>2770</v>
      </c>
      <c r="Y633" s="4"/>
      <c r="Z633" s="4"/>
      <c r="AA633" s="4" t="b">
        <f>IFERROR(__xludf.DUMMYFUNCTION("IF(X633="""",,REGEXMATCH(X633,""[א-ת]""))"),FALSE)</f>
        <v>0</v>
      </c>
      <c r="AB633" s="1">
        <v>39.85</v>
      </c>
      <c r="AC633" s="1">
        <v>35.71</v>
      </c>
      <c r="AD633" s="1">
        <v>0.71732430725153</v>
      </c>
      <c r="AE633" s="1">
        <v>-0.3843</v>
      </c>
      <c r="AF633" s="1">
        <v>-0.6264</v>
      </c>
      <c r="AG633" s="1">
        <v>6.337</v>
      </c>
      <c r="AH633" s="1">
        <v>6.781</v>
      </c>
      <c r="AI633" s="1" t="b">
        <v>0</v>
      </c>
      <c r="AJ633" s="1" t="b">
        <v>0</v>
      </c>
      <c r="AK633" s="1">
        <v>94.182</v>
      </c>
      <c r="AL633" s="1">
        <v>96.508</v>
      </c>
      <c r="AM633" s="1" t="b">
        <v>0</v>
      </c>
      <c r="AN633" s="1" t="b">
        <v>0</v>
      </c>
      <c r="AO633" s="1">
        <v>8.05</v>
      </c>
      <c r="AP633" s="1">
        <v>8.53399999999999</v>
      </c>
      <c r="AQ633" s="1" t="b">
        <v>0</v>
      </c>
      <c r="AR633" s="1" t="b">
        <v>0</v>
      </c>
      <c r="AS633" s="1">
        <v>86.9179999999999</v>
      </c>
      <c r="AT633" s="1">
        <v>87.152</v>
      </c>
      <c r="AU633" s="1" t="b">
        <v>0</v>
      </c>
      <c r="AV633" s="1" t="b">
        <v>0</v>
      </c>
      <c r="AW633" s="1">
        <v>9.61399999999999</v>
      </c>
      <c r="AX633" s="1">
        <v>11.026</v>
      </c>
      <c r="AY633" s="1" t="b">
        <v>0</v>
      </c>
      <c r="AZ633" s="1" t="b">
        <v>0</v>
      </c>
      <c r="BA633" s="1">
        <v>81.25</v>
      </c>
      <c r="BB633" s="1">
        <v>77.78</v>
      </c>
      <c r="BC633" s="1" t="b">
        <v>0</v>
      </c>
      <c r="BD633" s="1" t="b">
        <v>0</v>
      </c>
      <c r="BE633" s="1">
        <v>11.34</v>
      </c>
      <c r="BF633" s="1">
        <v>13.285</v>
      </c>
      <c r="BG633" s="1" t="b">
        <v>0</v>
      </c>
      <c r="BH633" s="1" t="b">
        <v>0</v>
      </c>
      <c r="BI633" s="1">
        <v>77.78</v>
      </c>
      <c r="BJ633" s="1">
        <v>75.0</v>
      </c>
      <c r="BK633" s="1" t="b">
        <v>0</v>
      </c>
      <c r="BL633" s="1" t="b">
        <v>0</v>
      </c>
      <c r="BM633" s="1">
        <v>13.121</v>
      </c>
      <c r="BN633" s="1">
        <v>14.568</v>
      </c>
      <c r="BO633" s="1" t="b">
        <v>0</v>
      </c>
      <c r="BP633" s="1" t="b">
        <v>0</v>
      </c>
      <c r="BQ633" s="1">
        <v>75.0</v>
      </c>
      <c r="BR633" s="1">
        <v>72.027</v>
      </c>
      <c r="BS633" s="1" t="b">
        <v>0</v>
      </c>
      <c r="BT633" s="1" t="b">
        <v>0</v>
      </c>
      <c r="BU633" s="1" t="s">
        <v>105</v>
      </c>
      <c r="BV633" s="1" t="s">
        <v>105</v>
      </c>
      <c r="BW633" s="1" t="s">
        <v>105</v>
      </c>
      <c r="BX633" s="1" t="s">
        <v>105</v>
      </c>
      <c r="BY633" s="1" t="s">
        <v>105</v>
      </c>
      <c r="BZ633" s="1" t="s">
        <v>105</v>
      </c>
      <c r="CA633" s="1" t="s">
        <v>105</v>
      </c>
      <c r="CB633" s="1" t="s">
        <v>105</v>
      </c>
      <c r="CC633" s="1" t="s">
        <v>105</v>
      </c>
      <c r="CD633" s="1" t="s">
        <v>105</v>
      </c>
      <c r="CE633" s="4"/>
      <c r="CF633" s="4"/>
    </row>
    <row r="634" hidden="1">
      <c r="A634" s="1" t="s">
        <v>82</v>
      </c>
      <c r="B634" s="1" t="s">
        <v>262</v>
      </c>
      <c r="C634" s="1">
        <v>39.0</v>
      </c>
      <c r="D634" s="5" t="s">
        <v>2771</v>
      </c>
      <c r="E634" s="1" t="s">
        <v>2772</v>
      </c>
      <c r="F634" s="1">
        <v>70.0</v>
      </c>
      <c r="G634" s="1">
        <v>-0.5362</v>
      </c>
      <c r="H634" s="1" t="s">
        <v>2773</v>
      </c>
      <c r="I634" s="4" t="b">
        <f>IFERROR(__xludf.DUMMYFUNCTION("IF(H634="""",,REGEXMATCH(H634,""[א-ת]""))"),FALSE)</f>
        <v>0</v>
      </c>
      <c r="J634" s="4"/>
      <c r="K634" s="4"/>
      <c r="L634" s="1">
        <v>0.9034</v>
      </c>
      <c r="M634" s="1">
        <v>51.31</v>
      </c>
      <c r="N634" s="1">
        <v>40.0</v>
      </c>
      <c r="O634" s="1">
        <v>0.5714285714</v>
      </c>
      <c r="P634" s="4"/>
      <c r="Q634" s="4"/>
      <c r="R634" s="1" t="s">
        <v>96</v>
      </c>
      <c r="S634" s="1" t="s">
        <v>2772</v>
      </c>
      <c r="T634" s="1" t="s">
        <v>262</v>
      </c>
      <c r="U634" s="1">
        <v>40.0</v>
      </c>
      <c r="V634" s="5" t="s">
        <v>2771</v>
      </c>
      <c r="W634" s="1" t="s">
        <v>2772</v>
      </c>
      <c r="X634" s="1" t="s">
        <v>2774</v>
      </c>
      <c r="Y634" s="4"/>
      <c r="Z634" s="4"/>
      <c r="AA634" s="4" t="b">
        <f>IFERROR(__xludf.DUMMYFUNCTION("IF(X634="""",,REGEXMATCH(X634,""[א-ת]""))"),FALSE)</f>
        <v>0</v>
      </c>
      <c r="AB634" s="1">
        <v>44.64</v>
      </c>
      <c r="AC634" s="1">
        <v>40.0</v>
      </c>
      <c r="AD634" s="1">
        <v>0.653190612269883</v>
      </c>
      <c r="AE634" s="1">
        <v>-0.9356</v>
      </c>
      <c r="AF634" s="1">
        <v>-0.5362</v>
      </c>
      <c r="AG634" s="1">
        <v>6.337</v>
      </c>
      <c r="AH634" s="1">
        <v>6.781</v>
      </c>
      <c r="AI634" s="1" t="b">
        <v>0</v>
      </c>
      <c r="AJ634" s="1" t="b">
        <v>0</v>
      </c>
      <c r="AK634" s="1">
        <v>94.182</v>
      </c>
      <c r="AL634" s="1">
        <v>96.508</v>
      </c>
      <c r="AM634" s="1" t="b">
        <v>0</v>
      </c>
      <c r="AN634" s="1" t="b">
        <v>0</v>
      </c>
      <c r="AO634" s="1">
        <v>8.05</v>
      </c>
      <c r="AP634" s="1">
        <v>8.53399999999999</v>
      </c>
      <c r="AQ634" s="1" t="b">
        <v>0</v>
      </c>
      <c r="AR634" s="1" t="b">
        <v>0</v>
      </c>
      <c r="AS634" s="1">
        <v>86.9179999999999</v>
      </c>
      <c r="AT634" s="1">
        <v>87.152</v>
      </c>
      <c r="AU634" s="1" t="b">
        <v>0</v>
      </c>
      <c r="AV634" s="1" t="b">
        <v>0</v>
      </c>
      <c r="AW634" s="1">
        <v>9.61399999999999</v>
      </c>
      <c r="AX634" s="1">
        <v>11.026</v>
      </c>
      <c r="AY634" s="1" t="b">
        <v>0</v>
      </c>
      <c r="AZ634" s="1" t="b">
        <v>0</v>
      </c>
      <c r="BA634" s="1">
        <v>81.25</v>
      </c>
      <c r="BB634" s="1">
        <v>77.78</v>
      </c>
      <c r="BC634" s="1" t="b">
        <v>0</v>
      </c>
      <c r="BD634" s="1" t="b">
        <v>0</v>
      </c>
      <c r="BE634" s="1">
        <v>11.34</v>
      </c>
      <c r="BF634" s="1">
        <v>13.285</v>
      </c>
      <c r="BG634" s="1" t="b">
        <v>0</v>
      </c>
      <c r="BH634" s="1" t="b">
        <v>0</v>
      </c>
      <c r="BI634" s="1">
        <v>77.78</v>
      </c>
      <c r="BJ634" s="1">
        <v>75.0</v>
      </c>
      <c r="BK634" s="1" t="b">
        <v>0</v>
      </c>
      <c r="BL634" s="1" t="b">
        <v>0</v>
      </c>
      <c r="BM634" s="1">
        <v>13.121</v>
      </c>
      <c r="BN634" s="1">
        <v>14.568</v>
      </c>
      <c r="BO634" s="1" t="b">
        <v>0</v>
      </c>
      <c r="BP634" s="1" t="b">
        <v>0</v>
      </c>
      <c r="BQ634" s="1">
        <v>75.0</v>
      </c>
      <c r="BR634" s="1">
        <v>72.027</v>
      </c>
      <c r="BS634" s="1" t="b">
        <v>0</v>
      </c>
      <c r="BT634" s="1" t="b">
        <v>0</v>
      </c>
      <c r="BU634" s="1" t="s">
        <v>105</v>
      </c>
      <c r="BV634" s="1" t="s">
        <v>105</v>
      </c>
      <c r="BW634" s="1" t="s">
        <v>105</v>
      </c>
      <c r="BX634" s="1" t="s">
        <v>105</v>
      </c>
      <c r="BY634" s="1" t="s">
        <v>105</v>
      </c>
      <c r="BZ634" s="1" t="s">
        <v>105</v>
      </c>
      <c r="CA634" s="1" t="s">
        <v>105</v>
      </c>
      <c r="CB634" s="1" t="s">
        <v>105</v>
      </c>
      <c r="CC634" s="1" t="s">
        <v>105</v>
      </c>
      <c r="CD634" s="1" t="s">
        <v>105</v>
      </c>
      <c r="CE634" s="4"/>
      <c r="CF634" s="4"/>
    </row>
    <row r="635" hidden="1">
      <c r="A635" s="1" t="s">
        <v>82</v>
      </c>
      <c r="B635" s="1" t="s">
        <v>251</v>
      </c>
      <c r="C635" s="1">
        <v>1.0</v>
      </c>
      <c r="D635" s="5" t="s">
        <v>2775</v>
      </c>
      <c r="E635" s="1" t="s">
        <v>2776</v>
      </c>
      <c r="F635" s="1">
        <v>70.0</v>
      </c>
      <c r="G635" s="1">
        <v>0.7906</v>
      </c>
      <c r="H635" s="1" t="s">
        <v>2777</v>
      </c>
      <c r="I635" s="4" t="b">
        <f>IFERROR(__xludf.DUMMYFUNCTION("IF(H635="""",,REGEXMATCH(H635,""[א-ת]""))"),FALSE)</f>
        <v>0</v>
      </c>
      <c r="J635" s="4"/>
      <c r="K635" s="4"/>
      <c r="L635" s="1">
        <v>0.4767</v>
      </c>
      <c r="M635" s="1">
        <v>51.57</v>
      </c>
      <c r="N635" s="1">
        <v>31.43</v>
      </c>
      <c r="O635" s="1">
        <v>0.449</v>
      </c>
      <c r="P635" s="4"/>
      <c r="Q635" s="4"/>
      <c r="R635" s="1" t="s">
        <v>89</v>
      </c>
      <c r="S635" s="1" t="s">
        <v>2776</v>
      </c>
      <c r="T635" s="1" t="s">
        <v>251</v>
      </c>
      <c r="U635" s="1">
        <v>2.0</v>
      </c>
      <c r="V635" s="5" t="s">
        <v>2775</v>
      </c>
      <c r="W635" s="1" t="s">
        <v>2776</v>
      </c>
      <c r="X635" s="1" t="s">
        <v>2778</v>
      </c>
      <c r="Y635" s="4"/>
      <c r="Z635" s="4"/>
      <c r="AA635" s="4" t="b">
        <f>IFERROR(__xludf.DUMMYFUNCTION("IF(X635="""",,REGEXMATCH(X635,""[א-ת]""))"),TRUE)</f>
        <v>1</v>
      </c>
      <c r="AB635" s="1">
        <v>39.07</v>
      </c>
      <c r="AC635" s="1">
        <v>42.86</v>
      </c>
      <c r="AD635" s="1">
        <v>0.530844103066295</v>
      </c>
      <c r="AE635" s="1">
        <v>0.4767</v>
      </c>
      <c r="AF635" s="1">
        <v>0.7906</v>
      </c>
      <c r="AG635" s="1">
        <v>6.337</v>
      </c>
      <c r="AH635" s="1">
        <v>6.781</v>
      </c>
      <c r="AI635" s="1" t="b">
        <v>0</v>
      </c>
      <c r="AJ635" s="1" t="b">
        <v>0</v>
      </c>
      <c r="AK635" s="1">
        <v>94.182</v>
      </c>
      <c r="AL635" s="1">
        <v>96.508</v>
      </c>
      <c r="AM635" s="1" t="b">
        <v>0</v>
      </c>
      <c r="AN635" s="1" t="b">
        <v>0</v>
      </c>
      <c r="AO635" s="1">
        <v>8.05</v>
      </c>
      <c r="AP635" s="1">
        <v>8.53399999999999</v>
      </c>
      <c r="AQ635" s="1" t="b">
        <v>0</v>
      </c>
      <c r="AR635" s="1" t="b">
        <v>0</v>
      </c>
      <c r="AS635" s="1">
        <v>86.9179999999999</v>
      </c>
      <c r="AT635" s="1">
        <v>87.152</v>
      </c>
      <c r="AU635" s="1" t="b">
        <v>0</v>
      </c>
      <c r="AV635" s="1" t="b">
        <v>0</v>
      </c>
      <c r="AW635" s="1">
        <v>9.61399999999999</v>
      </c>
      <c r="AX635" s="1">
        <v>11.026</v>
      </c>
      <c r="AY635" s="1" t="b">
        <v>0</v>
      </c>
      <c r="AZ635" s="1" t="b">
        <v>0</v>
      </c>
      <c r="BA635" s="1">
        <v>81.25</v>
      </c>
      <c r="BB635" s="1">
        <v>77.78</v>
      </c>
      <c r="BC635" s="1" t="b">
        <v>0</v>
      </c>
      <c r="BD635" s="1" t="b">
        <v>0</v>
      </c>
      <c r="BE635" s="1">
        <v>11.34</v>
      </c>
      <c r="BF635" s="1">
        <v>13.285</v>
      </c>
      <c r="BG635" s="1" t="b">
        <v>0</v>
      </c>
      <c r="BH635" s="1" t="b">
        <v>0</v>
      </c>
      <c r="BI635" s="1">
        <v>77.78</v>
      </c>
      <c r="BJ635" s="1">
        <v>75.0</v>
      </c>
      <c r="BK635" s="1" t="b">
        <v>0</v>
      </c>
      <c r="BL635" s="1" t="b">
        <v>0</v>
      </c>
      <c r="BM635" s="1">
        <v>13.121</v>
      </c>
      <c r="BN635" s="1">
        <v>14.568</v>
      </c>
      <c r="BO635" s="1" t="b">
        <v>0</v>
      </c>
      <c r="BP635" s="1" t="b">
        <v>0</v>
      </c>
      <c r="BQ635" s="1">
        <v>75.0</v>
      </c>
      <c r="BR635" s="1">
        <v>72.027</v>
      </c>
      <c r="BS635" s="1" t="b">
        <v>0</v>
      </c>
      <c r="BT635" s="1" t="b">
        <v>0</v>
      </c>
      <c r="BU635" s="1" t="s">
        <v>105</v>
      </c>
      <c r="BV635" s="1" t="s">
        <v>105</v>
      </c>
      <c r="BW635" s="1" t="s">
        <v>105</v>
      </c>
      <c r="BX635" s="1" t="s">
        <v>105</v>
      </c>
      <c r="BY635" s="1" t="s">
        <v>105</v>
      </c>
      <c r="BZ635" s="1" t="s">
        <v>105</v>
      </c>
      <c r="CA635" s="1" t="s">
        <v>105</v>
      </c>
      <c r="CB635" s="1" t="s">
        <v>105</v>
      </c>
      <c r="CC635" s="1" t="s">
        <v>105</v>
      </c>
      <c r="CD635" s="1" t="s">
        <v>105</v>
      </c>
      <c r="CE635" s="4"/>
      <c r="CF635" s="4"/>
    </row>
    <row r="636" hidden="1">
      <c r="A636" s="1" t="s">
        <v>82</v>
      </c>
      <c r="B636" s="1" t="s">
        <v>116</v>
      </c>
      <c r="C636" s="1">
        <v>21.0</v>
      </c>
      <c r="D636" s="5" t="s">
        <v>2779</v>
      </c>
      <c r="E636" s="1" t="s">
        <v>2780</v>
      </c>
      <c r="F636" s="1">
        <v>44.0</v>
      </c>
      <c r="G636" s="1">
        <v>0.7269</v>
      </c>
      <c r="H636" s="1" t="s">
        <v>2781</v>
      </c>
      <c r="I636" s="4" t="b">
        <f>IFERROR(__xludf.DUMMYFUNCTION("IF(H636="""",,REGEXMATCH(H636,""[א-ת]""))"),FALSE)</f>
        <v>0</v>
      </c>
      <c r="J636" s="4"/>
      <c r="K636" s="4"/>
      <c r="L636" s="1">
        <v>0.7506</v>
      </c>
      <c r="M636" s="1">
        <v>51.6</v>
      </c>
      <c r="N636" s="1">
        <v>34.09</v>
      </c>
      <c r="O636" s="1">
        <v>0.7747727273</v>
      </c>
      <c r="P636" s="4"/>
      <c r="Q636" s="4"/>
      <c r="R636" s="1" t="s">
        <v>89</v>
      </c>
      <c r="S636" s="1" t="s">
        <v>2780</v>
      </c>
      <c r="T636" s="1" t="s">
        <v>116</v>
      </c>
      <c r="U636" s="1">
        <v>22.0</v>
      </c>
      <c r="V636" s="5" t="s">
        <v>2779</v>
      </c>
      <c r="W636" s="1" t="s">
        <v>2780</v>
      </c>
      <c r="X636" s="1" t="s">
        <v>2782</v>
      </c>
      <c r="Y636" s="4"/>
      <c r="Z636" s="4"/>
      <c r="AA636" s="4" t="b">
        <f>IFERROR(__xludf.DUMMYFUNCTION("IF(X636="""",,REGEXMATCH(X636,""[א-ת]""))"),FALSE)</f>
        <v>0</v>
      </c>
      <c r="AB636" s="1">
        <v>51.94</v>
      </c>
      <c r="AC636" s="1">
        <v>27.27</v>
      </c>
      <c r="AD636" s="1">
        <v>0.672741236335509</v>
      </c>
      <c r="AE636" s="1">
        <v>0.25</v>
      </c>
      <c r="AF636" s="1">
        <v>0.7269</v>
      </c>
      <c r="AG636" s="1">
        <v>6.337</v>
      </c>
      <c r="AH636" s="1">
        <v>6.781</v>
      </c>
      <c r="AI636" s="1" t="b">
        <v>0</v>
      </c>
      <c r="AJ636" s="1" t="b">
        <v>0</v>
      </c>
      <c r="AK636" s="1">
        <v>94.182</v>
      </c>
      <c r="AL636" s="1">
        <v>96.508</v>
      </c>
      <c r="AM636" s="1" t="b">
        <v>0</v>
      </c>
      <c r="AN636" s="1" t="b">
        <v>0</v>
      </c>
      <c r="AO636" s="1">
        <v>8.05</v>
      </c>
      <c r="AP636" s="1">
        <v>8.53399999999999</v>
      </c>
      <c r="AQ636" s="1" t="b">
        <v>0</v>
      </c>
      <c r="AR636" s="1" t="b">
        <v>0</v>
      </c>
      <c r="AS636" s="1">
        <v>86.9179999999999</v>
      </c>
      <c r="AT636" s="1">
        <v>87.152</v>
      </c>
      <c r="AU636" s="1" t="b">
        <v>0</v>
      </c>
      <c r="AV636" s="1" t="b">
        <v>0</v>
      </c>
      <c r="AW636" s="1">
        <v>9.61399999999999</v>
      </c>
      <c r="AX636" s="1">
        <v>11.026</v>
      </c>
      <c r="AY636" s="1" t="b">
        <v>0</v>
      </c>
      <c r="AZ636" s="1" t="b">
        <v>0</v>
      </c>
      <c r="BA636" s="1">
        <v>81.25</v>
      </c>
      <c r="BB636" s="1">
        <v>77.78</v>
      </c>
      <c r="BC636" s="1" t="b">
        <v>0</v>
      </c>
      <c r="BD636" s="1" t="b">
        <v>0</v>
      </c>
      <c r="BE636" s="1">
        <v>11.34</v>
      </c>
      <c r="BF636" s="1">
        <v>13.285</v>
      </c>
      <c r="BG636" s="1" t="b">
        <v>0</v>
      </c>
      <c r="BH636" s="1" t="b">
        <v>0</v>
      </c>
      <c r="BI636" s="1">
        <v>77.78</v>
      </c>
      <c r="BJ636" s="1">
        <v>75.0</v>
      </c>
      <c r="BK636" s="1" t="b">
        <v>0</v>
      </c>
      <c r="BL636" s="1" t="b">
        <v>0</v>
      </c>
      <c r="BM636" s="1">
        <v>13.121</v>
      </c>
      <c r="BN636" s="1">
        <v>14.568</v>
      </c>
      <c r="BO636" s="1" t="b">
        <v>0</v>
      </c>
      <c r="BP636" s="1" t="b">
        <v>0</v>
      </c>
      <c r="BQ636" s="1">
        <v>75.0</v>
      </c>
      <c r="BR636" s="1">
        <v>72.027</v>
      </c>
      <c r="BS636" s="1" t="b">
        <v>0</v>
      </c>
      <c r="BT636" s="1" t="b">
        <v>0</v>
      </c>
      <c r="BU636" s="1" t="s">
        <v>105</v>
      </c>
      <c r="BV636" s="1" t="s">
        <v>105</v>
      </c>
      <c r="BW636" s="1" t="s">
        <v>105</v>
      </c>
      <c r="BX636" s="1" t="s">
        <v>105</v>
      </c>
      <c r="BY636" s="1" t="s">
        <v>105</v>
      </c>
      <c r="BZ636" s="1" t="s">
        <v>105</v>
      </c>
      <c r="CA636" s="1" t="s">
        <v>105</v>
      </c>
      <c r="CB636" s="1" t="s">
        <v>105</v>
      </c>
      <c r="CC636" s="1" t="s">
        <v>105</v>
      </c>
      <c r="CD636" s="1" t="s">
        <v>105</v>
      </c>
      <c r="CE636" s="4"/>
      <c r="CF636" s="4"/>
    </row>
    <row r="637" hidden="1">
      <c r="A637" s="1" t="s">
        <v>82</v>
      </c>
      <c r="B637" s="1" t="s">
        <v>251</v>
      </c>
      <c r="C637" s="1">
        <v>3.0</v>
      </c>
      <c r="D637" s="5" t="s">
        <v>2783</v>
      </c>
      <c r="E637" s="1" t="s">
        <v>2784</v>
      </c>
      <c r="F637" s="1">
        <v>136.0</v>
      </c>
      <c r="G637" s="1">
        <v>-0.25</v>
      </c>
      <c r="H637" s="1" t="s">
        <v>2785</v>
      </c>
      <c r="I637" s="4" t="b">
        <f>IFERROR(__xludf.DUMMYFUNCTION("IF(H637="""",,REGEXMATCH(H637,""[א-ת]""))"),FALSE)</f>
        <v>0</v>
      </c>
      <c r="J637" s="1" t="s">
        <v>2621</v>
      </c>
      <c r="K637" s="4"/>
      <c r="L637" s="1">
        <v>0.5106</v>
      </c>
      <c r="M637" s="1">
        <v>52.34</v>
      </c>
      <c r="N637" s="1">
        <v>22.06</v>
      </c>
      <c r="O637" s="1">
        <v>0.1622058824</v>
      </c>
      <c r="P637" s="4"/>
      <c r="Q637" s="4"/>
      <c r="R637" s="1" t="s">
        <v>89</v>
      </c>
      <c r="S637" s="1" t="s">
        <v>2784</v>
      </c>
      <c r="T637" s="1" t="s">
        <v>251</v>
      </c>
      <c r="U637" s="1">
        <v>4.0</v>
      </c>
      <c r="V637" s="5" t="s">
        <v>2783</v>
      </c>
      <c r="W637" s="1" t="s">
        <v>2784</v>
      </c>
      <c r="X637" s="1" t="s">
        <v>2786</v>
      </c>
      <c r="Y637" s="4"/>
      <c r="Z637" s="4"/>
      <c r="AA637" s="4" t="b">
        <f>IFERROR(__xludf.DUMMYFUNCTION("IF(X637="""",,REGEXMATCH(X637,""[א-ת]""))"),FALSE)</f>
        <v>0</v>
      </c>
      <c r="AB637" s="1">
        <v>42.04</v>
      </c>
      <c r="AC637" s="1">
        <v>41.18</v>
      </c>
      <c r="AD637" s="1">
        <v>0.635546835462186</v>
      </c>
      <c r="AE637" s="1">
        <v>-0.9191</v>
      </c>
      <c r="AF637" s="1">
        <v>-0.25</v>
      </c>
      <c r="AG637" s="1">
        <v>6.337</v>
      </c>
      <c r="AH637" s="1">
        <v>6.781</v>
      </c>
      <c r="AI637" s="1" t="b">
        <v>0</v>
      </c>
      <c r="AJ637" s="1" t="b">
        <v>0</v>
      </c>
      <c r="AK637" s="1">
        <v>94.182</v>
      </c>
      <c r="AL637" s="1">
        <v>96.508</v>
      </c>
      <c r="AM637" s="1" t="b">
        <v>0</v>
      </c>
      <c r="AN637" s="1" t="b">
        <v>0</v>
      </c>
      <c r="AO637" s="1">
        <v>8.05</v>
      </c>
      <c r="AP637" s="1">
        <v>8.53399999999999</v>
      </c>
      <c r="AQ637" s="1" t="b">
        <v>0</v>
      </c>
      <c r="AR637" s="1" t="b">
        <v>0</v>
      </c>
      <c r="AS637" s="1">
        <v>86.9179999999999</v>
      </c>
      <c r="AT637" s="1">
        <v>87.152</v>
      </c>
      <c r="AU637" s="1" t="b">
        <v>0</v>
      </c>
      <c r="AV637" s="1" t="b">
        <v>0</v>
      </c>
      <c r="AW637" s="1">
        <v>9.61399999999999</v>
      </c>
      <c r="AX637" s="1">
        <v>11.026</v>
      </c>
      <c r="AY637" s="1" t="b">
        <v>0</v>
      </c>
      <c r="AZ637" s="1" t="b">
        <v>0</v>
      </c>
      <c r="BA637" s="1">
        <v>81.25</v>
      </c>
      <c r="BB637" s="1">
        <v>77.78</v>
      </c>
      <c r="BC637" s="1" t="b">
        <v>0</v>
      </c>
      <c r="BD637" s="1" t="b">
        <v>0</v>
      </c>
      <c r="BE637" s="1">
        <v>11.34</v>
      </c>
      <c r="BF637" s="1">
        <v>13.285</v>
      </c>
      <c r="BG637" s="1" t="b">
        <v>0</v>
      </c>
      <c r="BH637" s="1" t="b">
        <v>0</v>
      </c>
      <c r="BI637" s="1">
        <v>77.78</v>
      </c>
      <c r="BJ637" s="1">
        <v>75.0</v>
      </c>
      <c r="BK637" s="1" t="b">
        <v>0</v>
      </c>
      <c r="BL637" s="1" t="b">
        <v>0</v>
      </c>
      <c r="BM637" s="1">
        <v>13.121</v>
      </c>
      <c r="BN637" s="1">
        <v>14.568</v>
      </c>
      <c r="BO637" s="1" t="b">
        <v>0</v>
      </c>
      <c r="BP637" s="1" t="b">
        <v>0</v>
      </c>
      <c r="BQ637" s="1">
        <v>75.0</v>
      </c>
      <c r="BR637" s="1">
        <v>72.027</v>
      </c>
      <c r="BS637" s="1" t="b">
        <v>0</v>
      </c>
      <c r="BT637" s="1" t="b">
        <v>0</v>
      </c>
      <c r="BU637" s="1" t="s">
        <v>105</v>
      </c>
      <c r="BV637" s="1" t="s">
        <v>105</v>
      </c>
      <c r="BW637" s="1" t="s">
        <v>105</v>
      </c>
      <c r="BX637" s="1" t="s">
        <v>105</v>
      </c>
      <c r="BY637" s="1" t="s">
        <v>105</v>
      </c>
      <c r="BZ637" s="1" t="s">
        <v>105</v>
      </c>
      <c r="CA637" s="1" t="s">
        <v>105</v>
      </c>
      <c r="CB637" s="1" t="s">
        <v>105</v>
      </c>
      <c r="CC637" s="1" t="s">
        <v>105</v>
      </c>
      <c r="CD637" s="1" t="s">
        <v>105</v>
      </c>
      <c r="CE637" s="4"/>
      <c r="CF637" s="4"/>
    </row>
    <row r="638" hidden="1">
      <c r="A638" s="1" t="s">
        <v>82</v>
      </c>
      <c r="B638" s="1" t="s">
        <v>152</v>
      </c>
      <c r="C638" s="1">
        <v>8.0</v>
      </c>
      <c r="D638" s="5" t="s">
        <v>2787</v>
      </c>
      <c r="E638" s="1" t="s">
        <v>2788</v>
      </c>
      <c r="F638" s="1">
        <v>39.0</v>
      </c>
      <c r="G638" s="1">
        <v>-0.7906</v>
      </c>
      <c r="H638" s="1" t="s">
        <v>2789</v>
      </c>
      <c r="I638" s="4" t="b">
        <f>IFERROR(__xludf.DUMMYFUNCTION("IF(H638="""",,REGEXMATCH(H638,""[א-ת]""))"),FALSE)</f>
        <v>0</v>
      </c>
      <c r="J638" s="4"/>
      <c r="K638" s="4"/>
      <c r="L638" s="1">
        <v>-0.7906</v>
      </c>
      <c r="M638" s="1">
        <v>53.33</v>
      </c>
      <c r="N638" s="1">
        <v>30.77</v>
      </c>
      <c r="O638" s="1">
        <v>0.788974359</v>
      </c>
      <c r="P638" s="4"/>
      <c r="Q638" s="4"/>
      <c r="R638" s="1" t="s">
        <v>89</v>
      </c>
      <c r="S638" s="1" t="s">
        <v>2788</v>
      </c>
      <c r="T638" s="1" t="s">
        <v>152</v>
      </c>
      <c r="U638" s="1">
        <v>9.0</v>
      </c>
      <c r="V638" s="5" t="s">
        <v>2787</v>
      </c>
      <c r="W638" s="1" t="s">
        <v>2788</v>
      </c>
      <c r="X638" s="1" t="s">
        <v>2790</v>
      </c>
      <c r="Y638" s="4"/>
      <c r="Z638" s="4"/>
      <c r="AA638" s="4" t="b">
        <f>IFERROR(__xludf.DUMMYFUNCTION("IF(X638="""",,REGEXMATCH(X638,""[א-ת]""))"),FALSE)</f>
        <v>0</v>
      </c>
      <c r="AB638" s="1">
        <v>35.89</v>
      </c>
      <c r="AC638" s="1">
        <v>41.03</v>
      </c>
      <c r="AD638" s="1">
        <v>0.760459481021757</v>
      </c>
      <c r="AE638" s="1">
        <v>0.0</v>
      </c>
      <c r="AF638" s="1">
        <v>-0.7906</v>
      </c>
      <c r="AG638" s="1">
        <v>6.337</v>
      </c>
      <c r="AH638" s="1">
        <v>6.781</v>
      </c>
      <c r="AI638" s="1" t="b">
        <v>0</v>
      </c>
      <c r="AJ638" s="1" t="b">
        <v>0</v>
      </c>
      <c r="AK638" s="1">
        <v>94.182</v>
      </c>
      <c r="AL638" s="1">
        <v>96.508</v>
      </c>
      <c r="AM638" s="1" t="b">
        <v>0</v>
      </c>
      <c r="AN638" s="1" t="b">
        <v>0</v>
      </c>
      <c r="AO638" s="1">
        <v>8.05</v>
      </c>
      <c r="AP638" s="1">
        <v>8.53399999999999</v>
      </c>
      <c r="AQ638" s="1" t="b">
        <v>0</v>
      </c>
      <c r="AR638" s="1" t="b">
        <v>0</v>
      </c>
      <c r="AS638" s="1">
        <v>86.9179999999999</v>
      </c>
      <c r="AT638" s="1">
        <v>87.152</v>
      </c>
      <c r="AU638" s="1" t="b">
        <v>0</v>
      </c>
      <c r="AV638" s="1" t="b">
        <v>0</v>
      </c>
      <c r="AW638" s="1">
        <v>9.61399999999999</v>
      </c>
      <c r="AX638" s="1">
        <v>11.026</v>
      </c>
      <c r="AY638" s="1" t="b">
        <v>0</v>
      </c>
      <c r="AZ638" s="1" t="b">
        <v>0</v>
      </c>
      <c r="BA638" s="1">
        <v>81.25</v>
      </c>
      <c r="BB638" s="1">
        <v>77.78</v>
      </c>
      <c r="BC638" s="1" t="b">
        <v>0</v>
      </c>
      <c r="BD638" s="1" t="b">
        <v>0</v>
      </c>
      <c r="BE638" s="1">
        <v>11.34</v>
      </c>
      <c r="BF638" s="1">
        <v>13.285</v>
      </c>
      <c r="BG638" s="1" t="b">
        <v>0</v>
      </c>
      <c r="BH638" s="1" t="b">
        <v>0</v>
      </c>
      <c r="BI638" s="1">
        <v>77.78</v>
      </c>
      <c r="BJ638" s="1">
        <v>75.0</v>
      </c>
      <c r="BK638" s="1" t="b">
        <v>0</v>
      </c>
      <c r="BL638" s="1" t="b">
        <v>0</v>
      </c>
      <c r="BM638" s="1">
        <v>13.121</v>
      </c>
      <c r="BN638" s="1">
        <v>14.568</v>
      </c>
      <c r="BO638" s="1" t="b">
        <v>0</v>
      </c>
      <c r="BP638" s="1" t="b">
        <v>0</v>
      </c>
      <c r="BQ638" s="1">
        <v>75.0</v>
      </c>
      <c r="BR638" s="1">
        <v>72.027</v>
      </c>
      <c r="BS638" s="1" t="b">
        <v>0</v>
      </c>
      <c r="BT638" s="1" t="b">
        <v>0</v>
      </c>
      <c r="BU638" s="1" t="s">
        <v>105</v>
      </c>
      <c r="BV638" s="1" t="s">
        <v>105</v>
      </c>
      <c r="BW638" s="1" t="s">
        <v>105</v>
      </c>
      <c r="BX638" s="1" t="s">
        <v>105</v>
      </c>
      <c r="BY638" s="1" t="s">
        <v>105</v>
      </c>
      <c r="BZ638" s="1" t="s">
        <v>105</v>
      </c>
      <c r="CA638" s="1" t="s">
        <v>105</v>
      </c>
      <c r="CB638" s="1" t="s">
        <v>105</v>
      </c>
      <c r="CC638" s="1" t="s">
        <v>105</v>
      </c>
      <c r="CD638" s="1" t="s">
        <v>105</v>
      </c>
      <c r="CE638" s="4"/>
      <c r="CF638" s="4"/>
    </row>
    <row r="639" hidden="1">
      <c r="A639" s="1" t="s">
        <v>82</v>
      </c>
      <c r="B639" s="1" t="s">
        <v>631</v>
      </c>
      <c r="C639" s="1">
        <v>12.0</v>
      </c>
      <c r="D639" s="5" t="s">
        <v>2791</v>
      </c>
      <c r="E639" s="1" t="s">
        <v>2792</v>
      </c>
      <c r="F639" s="1">
        <v>22.0</v>
      </c>
      <c r="G639" s="1">
        <v>-0.5994</v>
      </c>
      <c r="H639" s="1" t="s">
        <v>2793</v>
      </c>
      <c r="I639" s="4" t="b">
        <f>IFERROR(__xludf.DUMMYFUNCTION("IF(H639="""",,REGEXMATCH(H639,""[א-ת]""))"),FALSE)</f>
        <v>0</v>
      </c>
      <c r="J639" s="4"/>
      <c r="K639" s="4"/>
      <c r="L639" s="1">
        <v>0.0</v>
      </c>
      <c r="M639" s="1">
        <v>53.86</v>
      </c>
      <c r="N639" s="1">
        <v>31.82</v>
      </c>
      <c r="O639" s="1">
        <v>1.446363636</v>
      </c>
      <c r="P639" s="4"/>
      <c r="Q639" s="4"/>
      <c r="R639" s="1" t="s">
        <v>89</v>
      </c>
      <c r="S639" s="1" t="s">
        <v>2792</v>
      </c>
      <c r="T639" s="1" t="s">
        <v>631</v>
      </c>
      <c r="U639" s="1">
        <v>13.0</v>
      </c>
      <c r="V639" s="5" t="s">
        <v>2791</v>
      </c>
      <c r="W639" s="1" t="s">
        <v>2792</v>
      </c>
      <c r="X639" s="1" t="s">
        <v>2794</v>
      </c>
      <c r="Y639" s="4"/>
      <c r="Z639" s="4"/>
      <c r="AA639" s="4" t="b">
        <f>IFERROR(__xludf.DUMMYFUNCTION("IF(X639="""",,REGEXMATCH(X639,""[א-ת]""))"),FALSE)</f>
        <v>0</v>
      </c>
      <c r="AB639" s="1">
        <v>50.19</v>
      </c>
      <c r="AC639" s="1">
        <v>18.18</v>
      </c>
      <c r="AD639" s="1">
        <v>0.797979833196291</v>
      </c>
      <c r="AE639" s="1">
        <v>0.0</v>
      </c>
      <c r="AF639" s="1">
        <v>-0.5994</v>
      </c>
      <c r="AG639" s="1">
        <v>6.337</v>
      </c>
      <c r="AH639" s="1">
        <v>6.781</v>
      </c>
      <c r="AI639" s="1" t="b">
        <v>0</v>
      </c>
      <c r="AJ639" s="1" t="b">
        <v>0</v>
      </c>
      <c r="AK639" s="1">
        <v>94.182</v>
      </c>
      <c r="AL639" s="1">
        <v>96.508</v>
      </c>
      <c r="AM639" s="1" t="b">
        <v>0</v>
      </c>
      <c r="AN639" s="1" t="b">
        <v>0</v>
      </c>
      <c r="AO639" s="1">
        <v>8.05</v>
      </c>
      <c r="AP639" s="1">
        <v>8.53399999999999</v>
      </c>
      <c r="AQ639" s="1" t="b">
        <v>0</v>
      </c>
      <c r="AR639" s="1" t="b">
        <v>0</v>
      </c>
      <c r="AS639" s="1">
        <v>86.9179999999999</v>
      </c>
      <c r="AT639" s="1">
        <v>87.152</v>
      </c>
      <c r="AU639" s="1" t="b">
        <v>0</v>
      </c>
      <c r="AV639" s="1" t="b">
        <v>0</v>
      </c>
      <c r="AW639" s="1">
        <v>9.61399999999999</v>
      </c>
      <c r="AX639" s="1">
        <v>11.026</v>
      </c>
      <c r="AY639" s="1" t="b">
        <v>0</v>
      </c>
      <c r="AZ639" s="1" t="b">
        <v>0</v>
      </c>
      <c r="BA639" s="1">
        <v>81.25</v>
      </c>
      <c r="BB639" s="1">
        <v>77.78</v>
      </c>
      <c r="BC639" s="1" t="b">
        <v>0</v>
      </c>
      <c r="BD639" s="1" t="b">
        <v>0</v>
      </c>
      <c r="BE639" s="1">
        <v>11.34</v>
      </c>
      <c r="BF639" s="1">
        <v>13.285</v>
      </c>
      <c r="BG639" s="1" t="b">
        <v>0</v>
      </c>
      <c r="BH639" s="1" t="b">
        <v>0</v>
      </c>
      <c r="BI639" s="1">
        <v>77.78</v>
      </c>
      <c r="BJ639" s="1">
        <v>75.0</v>
      </c>
      <c r="BK639" s="1" t="b">
        <v>0</v>
      </c>
      <c r="BL639" s="1" t="b">
        <v>0</v>
      </c>
      <c r="BM639" s="1">
        <v>13.121</v>
      </c>
      <c r="BN639" s="1">
        <v>14.568</v>
      </c>
      <c r="BO639" s="1" t="b">
        <v>0</v>
      </c>
      <c r="BP639" s="1" t="b">
        <v>0</v>
      </c>
      <c r="BQ639" s="1">
        <v>75.0</v>
      </c>
      <c r="BR639" s="1">
        <v>72.027</v>
      </c>
      <c r="BS639" s="1" t="b">
        <v>0</v>
      </c>
      <c r="BT639" s="1" t="b">
        <v>0</v>
      </c>
      <c r="BU639" s="1" t="s">
        <v>105</v>
      </c>
      <c r="BV639" s="1" t="s">
        <v>105</v>
      </c>
      <c r="BW639" s="1" t="s">
        <v>105</v>
      </c>
      <c r="BX639" s="1" t="s">
        <v>105</v>
      </c>
      <c r="BY639" s="1" t="s">
        <v>105</v>
      </c>
      <c r="BZ639" s="1" t="s">
        <v>105</v>
      </c>
      <c r="CA639" s="1" t="s">
        <v>105</v>
      </c>
      <c r="CB639" s="1" t="s">
        <v>105</v>
      </c>
      <c r="CC639" s="1" t="s">
        <v>105</v>
      </c>
      <c r="CD639" s="1" t="s">
        <v>105</v>
      </c>
      <c r="CE639" s="4"/>
      <c r="CF639" s="4"/>
    </row>
    <row r="640" hidden="1">
      <c r="A640" s="1" t="s">
        <v>82</v>
      </c>
      <c r="B640" s="1" t="s">
        <v>262</v>
      </c>
      <c r="C640" s="1">
        <v>23.0</v>
      </c>
      <c r="D640" s="5" t="s">
        <v>2795</v>
      </c>
      <c r="E640" s="1" t="s">
        <v>2796</v>
      </c>
      <c r="F640" s="1">
        <v>110.0</v>
      </c>
      <c r="G640" s="1">
        <v>0.8225</v>
      </c>
      <c r="H640" s="1" t="s">
        <v>2797</v>
      </c>
      <c r="I640" s="4" t="b">
        <f>IFERROR(__xludf.DUMMYFUNCTION("IF(H640="""",,REGEXMATCH(H640,""[א-ת]""))"),FALSE)</f>
        <v>0</v>
      </c>
      <c r="J640" s="4"/>
      <c r="K640" s="4"/>
      <c r="L640" s="1">
        <v>0.8225</v>
      </c>
      <c r="M640" s="1">
        <v>54.17</v>
      </c>
      <c r="N640" s="1">
        <v>30.0</v>
      </c>
      <c r="O640" s="1">
        <v>0.2727272727</v>
      </c>
      <c r="P640" s="4"/>
      <c r="Q640" s="4"/>
      <c r="R640" s="1" t="s">
        <v>96</v>
      </c>
      <c r="S640" s="1" t="s">
        <v>2796</v>
      </c>
      <c r="T640" s="1" t="s">
        <v>262</v>
      </c>
      <c r="U640" s="1">
        <v>24.0</v>
      </c>
      <c r="V640" s="5" t="s">
        <v>2795</v>
      </c>
      <c r="W640" s="1" t="s">
        <v>2796</v>
      </c>
      <c r="X640" s="1" t="s">
        <v>2798</v>
      </c>
      <c r="Y640" s="4"/>
      <c r="Z640" s="4"/>
      <c r="AA640" s="4" t="b">
        <f>IFERROR(__xludf.DUMMYFUNCTION("IF(X640="""",,REGEXMATCH(X640,""[א-ת]""))"),FALSE)</f>
        <v>0</v>
      </c>
      <c r="AB640" s="1">
        <v>57.46</v>
      </c>
      <c r="AC640" s="1">
        <v>26.36</v>
      </c>
      <c r="AD640" s="1">
        <v>0.843648371023517</v>
      </c>
      <c r="AE640" s="1">
        <v>0.765</v>
      </c>
      <c r="AF640" s="1">
        <v>0.8225</v>
      </c>
      <c r="AG640" s="1">
        <v>6.337</v>
      </c>
      <c r="AH640" s="1">
        <v>6.781</v>
      </c>
      <c r="AI640" s="1" t="b">
        <v>0</v>
      </c>
      <c r="AJ640" s="1" t="b">
        <v>0</v>
      </c>
      <c r="AK640" s="1">
        <v>94.182</v>
      </c>
      <c r="AL640" s="1">
        <v>96.508</v>
      </c>
      <c r="AM640" s="1" t="b">
        <v>0</v>
      </c>
      <c r="AN640" s="1" t="b">
        <v>0</v>
      </c>
      <c r="AO640" s="1">
        <v>8.05</v>
      </c>
      <c r="AP640" s="1">
        <v>8.53399999999999</v>
      </c>
      <c r="AQ640" s="1" t="b">
        <v>0</v>
      </c>
      <c r="AR640" s="1" t="b">
        <v>0</v>
      </c>
      <c r="AS640" s="1">
        <v>86.9179999999999</v>
      </c>
      <c r="AT640" s="1">
        <v>87.152</v>
      </c>
      <c r="AU640" s="1" t="b">
        <v>0</v>
      </c>
      <c r="AV640" s="1" t="b">
        <v>0</v>
      </c>
      <c r="AW640" s="1">
        <v>9.61399999999999</v>
      </c>
      <c r="AX640" s="1">
        <v>11.026</v>
      </c>
      <c r="AY640" s="1" t="b">
        <v>0</v>
      </c>
      <c r="AZ640" s="1" t="b">
        <v>0</v>
      </c>
      <c r="BA640" s="1">
        <v>81.25</v>
      </c>
      <c r="BB640" s="1">
        <v>77.78</v>
      </c>
      <c r="BC640" s="1" t="b">
        <v>0</v>
      </c>
      <c r="BD640" s="1" t="b">
        <v>0</v>
      </c>
      <c r="BE640" s="1">
        <v>11.34</v>
      </c>
      <c r="BF640" s="1">
        <v>13.285</v>
      </c>
      <c r="BG640" s="1" t="b">
        <v>0</v>
      </c>
      <c r="BH640" s="1" t="b">
        <v>0</v>
      </c>
      <c r="BI640" s="1">
        <v>77.78</v>
      </c>
      <c r="BJ640" s="1">
        <v>75.0</v>
      </c>
      <c r="BK640" s="1" t="b">
        <v>0</v>
      </c>
      <c r="BL640" s="1" t="b">
        <v>0</v>
      </c>
      <c r="BM640" s="1">
        <v>13.121</v>
      </c>
      <c r="BN640" s="1">
        <v>14.568</v>
      </c>
      <c r="BO640" s="1" t="b">
        <v>0</v>
      </c>
      <c r="BP640" s="1" t="b">
        <v>0</v>
      </c>
      <c r="BQ640" s="1">
        <v>75.0</v>
      </c>
      <c r="BR640" s="1">
        <v>72.027</v>
      </c>
      <c r="BS640" s="1" t="b">
        <v>0</v>
      </c>
      <c r="BT640" s="1" t="b">
        <v>0</v>
      </c>
      <c r="BU640" s="1" t="s">
        <v>105</v>
      </c>
      <c r="BV640" s="1" t="s">
        <v>105</v>
      </c>
      <c r="BW640" s="1" t="s">
        <v>105</v>
      </c>
      <c r="BX640" s="1" t="s">
        <v>105</v>
      </c>
      <c r="BY640" s="1" t="s">
        <v>105</v>
      </c>
      <c r="BZ640" s="1" t="s">
        <v>105</v>
      </c>
      <c r="CA640" s="1" t="s">
        <v>105</v>
      </c>
      <c r="CB640" s="1" t="s">
        <v>105</v>
      </c>
      <c r="CC640" s="1" t="s">
        <v>105</v>
      </c>
      <c r="CD640" s="1" t="s">
        <v>105</v>
      </c>
      <c r="CE640" s="4"/>
      <c r="CF640" s="4"/>
    </row>
    <row r="641" hidden="1">
      <c r="A641" s="1" t="s">
        <v>82</v>
      </c>
      <c r="B641" s="1" t="s">
        <v>251</v>
      </c>
      <c r="C641" s="1">
        <v>7.0</v>
      </c>
      <c r="D641" s="5" t="s">
        <v>2799</v>
      </c>
      <c r="E641" s="1" t="s">
        <v>2800</v>
      </c>
      <c r="F641" s="1">
        <v>79.0</v>
      </c>
      <c r="G641" s="1">
        <v>0.4939</v>
      </c>
      <c r="H641" s="1" t="s">
        <v>2801</v>
      </c>
      <c r="I641" s="4" t="b">
        <f>IFERROR(__xludf.DUMMYFUNCTION("IF(H641="""",,REGEXMATCH(H641,""[א-ת]""))"),FALSE)</f>
        <v>0</v>
      </c>
      <c r="J641" s="4"/>
      <c r="K641" s="4"/>
      <c r="L641" s="1">
        <v>0.85</v>
      </c>
      <c r="M641" s="1">
        <v>54.18</v>
      </c>
      <c r="N641" s="1">
        <v>30.38</v>
      </c>
      <c r="O641" s="1">
        <v>0.384556962</v>
      </c>
      <c r="P641" s="4"/>
      <c r="Q641" s="4"/>
      <c r="R641" s="1" t="s">
        <v>89</v>
      </c>
      <c r="S641" s="1" t="s">
        <v>2800</v>
      </c>
      <c r="T641" s="1" t="s">
        <v>251</v>
      </c>
      <c r="U641" s="1">
        <v>8.0</v>
      </c>
      <c r="V641" s="5" t="s">
        <v>2799</v>
      </c>
      <c r="W641" s="1" t="s">
        <v>2800</v>
      </c>
      <c r="X641" s="1" t="s">
        <v>2802</v>
      </c>
      <c r="Y641" s="4"/>
      <c r="Z641" s="4"/>
      <c r="AA641" s="4" t="b">
        <f>IFERROR(__xludf.DUMMYFUNCTION("IF(X641="""",,REGEXMATCH(X641,""[א-ת]""))"),TRUE)</f>
        <v>1</v>
      </c>
      <c r="AB641" s="1">
        <v>19.01</v>
      </c>
      <c r="AC641" s="1">
        <v>103.8</v>
      </c>
      <c r="AD641" s="1">
        <v>0.550622131674265</v>
      </c>
      <c r="AE641" s="1">
        <v>-0.3094</v>
      </c>
      <c r="AF641" s="1">
        <v>0.4939</v>
      </c>
      <c r="AG641" s="1">
        <v>6.337</v>
      </c>
      <c r="AH641" s="1">
        <v>6.781</v>
      </c>
      <c r="AI641" s="1" t="b">
        <v>0</v>
      </c>
      <c r="AJ641" s="1" t="b">
        <v>0</v>
      </c>
      <c r="AK641" s="1">
        <v>94.182</v>
      </c>
      <c r="AL641" s="1">
        <v>96.508</v>
      </c>
      <c r="AM641" s="1" t="b">
        <v>0</v>
      </c>
      <c r="AN641" s="1" t="b">
        <v>1</v>
      </c>
      <c r="AO641" s="1">
        <v>8.05</v>
      </c>
      <c r="AP641" s="1">
        <v>8.53399999999999</v>
      </c>
      <c r="AQ641" s="1" t="b">
        <v>0</v>
      </c>
      <c r="AR641" s="1" t="b">
        <v>0</v>
      </c>
      <c r="AS641" s="1">
        <v>86.9179999999999</v>
      </c>
      <c r="AT641" s="1">
        <v>87.152</v>
      </c>
      <c r="AU641" s="1" t="b">
        <v>0</v>
      </c>
      <c r="AV641" s="1" t="b">
        <v>1</v>
      </c>
      <c r="AW641" s="1">
        <v>9.61399999999999</v>
      </c>
      <c r="AX641" s="1">
        <v>11.026</v>
      </c>
      <c r="AY641" s="1" t="b">
        <v>0</v>
      </c>
      <c r="AZ641" s="1" t="b">
        <v>0</v>
      </c>
      <c r="BA641" s="1">
        <v>81.25</v>
      </c>
      <c r="BB641" s="1">
        <v>77.78</v>
      </c>
      <c r="BC641" s="1" t="b">
        <v>0</v>
      </c>
      <c r="BD641" s="1" t="b">
        <v>1</v>
      </c>
      <c r="BE641" s="1">
        <v>11.34</v>
      </c>
      <c r="BF641" s="1">
        <v>13.285</v>
      </c>
      <c r="BG641" s="1" t="b">
        <v>0</v>
      </c>
      <c r="BH641" s="1" t="b">
        <v>0</v>
      </c>
      <c r="BI641" s="1">
        <v>77.78</v>
      </c>
      <c r="BJ641" s="1">
        <v>75.0</v>
      </c>
      <c r="BK641" s="1" t="b">
        <v>0</v>
      </c>
      <c r="BL641" s="1" t="b">
        <v>1</v>
      </c>
      <c r="BM641" s="1">
        <v>13.121</v>
      </c>
      <c r="BN641" s="1">
        <v>14.568</v>
      </c>
      <c r="BO641" s="1" t="b">
        <v>0</v>
      </c>
      <c r="BP641" s="1" t="b">
        <v>0</v>
      </c>
      <c r="BQ641" s="1">
        <v>75.0</v>
      </c>
      <c r="BR641" s="1">
        <v>72.027</v>
      </c>
      <c r="BS641" s="1" t="b">
        <v>0</v>
      </c>
      <c r="BT641" s="1" t="b">
        <v>1</v>
      </c>
      <c r="BU641" s="1" t="s">
        <v>105</v>
      </c>
      <c r="BV641" s="1" t="s">
        <v>157</v>
      </c>
      <c r="BW641" s="1" t="s">
        <v>105</v>
      </c>
      <c r="BX641" s="1" t="s">
        <v>157</v>
      </c>
      <c r="BY641" s="1" t="s">
        <v>105</v>
      </c>
      <c r="BZ641" s="1" t="s">
        <v>157</v>
      </c>
      <c r="CA641" s="1" t="s">
        <v>105</v>
      </c>
      <c r="CB641" s="1" t="s">
        <v>157</v>
      </c>
      <c r="CC641" s="1" t="s">
        <v>105</v>
      </c>
      <c r="CD641" s="1" t="s">
        <v>157</v>
      </c>
      <c r="CE641" s="4"/>
      <c r="CF641" s="4"/>
    </row>
    <row r="642" hidden="1">
      <c r="A642" s="1" t="s">
        <v>82</v>
      </c>
      <c r="B642" s="1" t="s">
        <v>92</v>
      </c>
      <c r="C642" s="1">
        <v>26.0</v>
      </c>
      <c r="D642" s="5" t="s">
        <v>2803</v>
      </c>
      <c r="E642" s="1" t="s">
        <v>2804</v>
      </c>
      <c r="F642" s="1">
        <v>43.0</v>
      </c>
      <c r="G642" s="1">
        <v>0.0</v>
      </c>
      <c r="H642" s="1" t="s">
        <v>2805</v>
      </c>
      <c r="I642" s="4" t="b">
        <f>IFERROR(__xludf.DUMMYFUNCTION("IF(H642="""",,REGEXMATCH(H642,""[א-ת]""))"),FALSE)</f>
        <v>0</v>
      </c>
      <c r="J642" s="4"/>
      <c r="K642" s="4"/>
      <c r="L642" s="1">
        <v>0.34</v>
      </c>
      <c r="M642" s="1">
        <v>54.37</v>
      </c>
      <c r="N642" s="1">
        <v>27.91</v>
      </c>
      <c r="O642" s="1">
        <v>0.6490697674</v>
      </c>
      <c r="P642" s="4"/>
      <c r="Q642" s="4"/>
      <c r="R642" s="1" t="s">
        <v>96</v>
      </c>
      <c r="S642" s="1" t="s">
        <v>2804</v>
      </c>
      <c r="T642" s="1" t="s">
        <v>92</v>
      </c>
      <c r="U642" s="1">
        <v>27.0</v>
      </c>
      <c r="V642" s="5" t="s">
        <v>2803</v>
      </c>
      <c r="W642" s="1" t="s">
        <v>2804</v>
      </c>
      <c r="X642" s="1" t="s">
        <v>2806</v>
      </c>
      <c r="Y642" s="4"/>
      <c r="Z642" s="4"/>
      <c r="AA642" s="4" t="b">
        <f>IFERROR(__xludf.DUMMYFUNCTION("IF(X642="""",,REGEXMATCH(X642,""[א-ת]""))"),FALSE)</f>
        <v>0</v>
      </c>
      <c r="AB642" s="1">
        <v>41.93</v>
      </c>
      <c r="AC642" s="1">
        <v>41.86</v>
      </c>
      <c r="AD642" s="1">
        <v>0.501841149879016</v>
      </c>
      <c r="AE642" s="1">
        <v>0.34</v>
      </c>
      <c r="AF642" s="1">
        <v>0.0</v>
      </c>
      <c r="AG642" s="1">
        <v>6.337</v>
      </c>
      <c r="AH642" s="1">
        <v>6.781</v>
      </c>
      <c r="AI642" s="1" t="b">
        <v>0</v>
      </c>
      <c r="AJ642" s="1" t="b">
        <v>0</v>
      </c>
      <c r="AK642" s="1">
        <v>94.182</v>
      </c>
      <c r="AL642" s="1">
        <v>96.508</v>
      </c>
      <c r="AM642" s="1" t="b">
        <v>0</v>
      </c>
      <c r="AN642" s="1" t="b">
        <v>0</v>
      </c>
      <c r="AO642" s="1">
        <v>8.05</v>
      </c>
      <c r="AP642" s="1">
        <v>8.53399999999999</v>
      </c>
      <c r="AQ642" s="1" t="b">
        <v>0</v>
      </c>
      <c r="AR642" s="1" t="b">
        <v>0</v>
      </c>
      <c r="AS642" s="1">
        <v>86.9179999999999</v>
      </c>
      <c r="AT642" s="1">
        <v>87.152</v>
      </c>
      <c r="AU642" s="1" t="b">
        <v>0</v>
      </c>
      <c r="AV642" s="1" t="b">
        <v>0</v>
      </c>
      <c r="AW642" s="1">
        <v>9.61399999999999</v>
      </c>
      <c r="AX642" s="1">
        <v>11.026</v>
      </c>
      <c r="AY642" s="1" t="b">
        <v>0</v>
      </c>
      <c r="AZ642" s="1" t="b">
        <v>0</v>
      </c>
      <c r="BA642" s="1">
        <v>81.25</v>
      </c>
      <c r="BB642" s="1">
        <v>77.78</v>
      </c>
      <c r="BC642" s="1" t="b">
        <v>0</v>
      </c>
      <c r="BD642" s="1" t="b">
        <v>0</v>
      </c>
      <c r="BE642" s="1">
        <v>11.34</v>
      </c>
      <c r="BF642" s="1">
        <v>13.285</v>
      </c>
      <c r="BG642" s="1" t="b">
        <v>0</v>
      </c>
      <c r="BH642" s="1" t="b">
        <v>0</v>
      </c>
      <c r="BI642" s="1">
        <v>77.78</v>
      </c>
      <c r="BJ642" s="1">
        <v>75.0</v>
      </c>
      <c r="BK642" s="1" t="b">
        <v>0</v>
      </c>
      <c r="BL642" s="1" t="b">
        <v>0</v>
      </c>
      <c r="BM642" s="1">
        <v>13.121</v>
      </c>
      <c r="BN642" s="1">
        <v>14.568</v>
      </c>
      <c r="BO642" s="1" t="b">
        <v>0</v>
      </c>
      <c r="BP642" s="1" t="b">
        <v>0</v>
      </c>
      <c r="BQ642" s="1">
        <v>75.0</v>
      </c>
      <c r="BR642" s="1">
        <v>72.027</v>
      </c>
      <c r="BS642" s="1" t="b">
        <v>0</v>
      </c>
      <c r="BT642" s="1" t="b">
        <v>0</v>
      </c>
      <c r="BU642" s="1" t="s">
        <v>105</v>
      </c>
      <c r="BV642" s="1" t="s">
        <v>105</v>
      </c>
      <c r="BW642" s="1" t="s">
        <v>105</v>
      </c>
      <c r="BX642" s="1" t="s">
        <v>105</v>
      </c>
      <c r="BY642" s="1" t="s">
        <v>105</v>
      </c>
      <c r="BZ642" s="1" t="s">
        <v>105</v>
      </c>
      <c r="CA642" s="1" t="s">
        <v>105</v>
      </c>
      <c r="CB642" s="1" t="s">
        <v>105</v>
      </c>
      <c r="CC642" s="1" t="s">
        <v>105</v>
      </c>
      <c r="CD642" s="1" t="s">
        <v>105</v>
      </c>
      <c r="CE642" s="4"/>
      <c r="CF642" s="4"/>
    </row>
    <row r="643" hidden="1">
      <c r="A643" s="1" t="s">
        <v>82</v>
      </c>
      <c r="B643" s="1" t="s">
        <v>262</v>
      </c>
      <c r="C643" s="1">
        <v>14.0</v>
      </c>
      <c r="D643" s="5" t="s">
        <v>2807</v>
      </c>
      <c r="E643" s="1" t="s">
        <v>2808</v>
      </c>
      <c r="F643" s="1">
        <v>46.0</v>
      </c>
      <c r="G643" s="1">
        <v>0.1531</v>
      </c>
      <c r="H643" s="1" t="s">
        <v>2809</v>
      </c>
      <c r="I643" s="4" t="b">
        <f>IFERROR(__xludf.DUMMYFUNCTION("IF(H643="""",,REGEXMATCH(H643,""[א-ת]""))"),FALSE)</f>
        <v>0</v>
      </c>
      <c r="J643" s="4"/>
      <c r="K643" s="4"/>
      <c r="L643" s="1">
        <v>0.0</v>
      </c>
      <c r="M643" s="1">
        <v>56.89</v>
      </c>
      <c r="N643" s="1">
        <v>23.91</v>
      </c>
      <c r="O643" s="1">
        <v>0.5197826087</v>
      </c>
      <c r="P643" s="4"/>
      <c r="Q643" s="4"/>
      <c r="R643" s="1" t="s">
        <v>96</v>
      </c>
      <c r="S643" s="1" t="s">
        <v>2808</v>
      </c>
      <c r="T643" s="1" t="s">
        <v>262</v>
      </c>
      <c r="U643" s="1">
        <v>15.0</v>
      </c>
      <c r="V643" s="5" t="s">
        <v>2807</v>
      </c>
      <c r="W643" s="1" t="s">
        <v>2808</v>
      </c>
      <c r="X643" s="5" t="s">
        <v>2810</v>
      </c>
      <c r="Y643" s="4"/>
      <c r="Z643" s="4"/>
      <c r="AA643" s="4" t="b">
        <f>IFERROR(__xludf.DUMMYFUNCTION("IF(X643="""",,REGEXMATCH(X643,""[א-ת]""))"),TRUE)</f>
        <v>1</v>
      </c>
      <c r="AB643" s="1">
        <v>22.35</v>
      </c>
      <c r="AC643" s="1">
        <v>93.48</v>
      </c>
      <c r="AD643" s="1">
        <v>0.666338456169228</v>
      </c>
      <c r="AE643" s="1">
        <v>0.644</v>
      </c>
      <c r="AF643" s="1">
        <v>0.1531</v>
      </c>
      <c r="AG643" s="1">
        <v>6.337</v>
      </c>
      <c r="AH643" s="1">
        <v>6.781</v>
      </c>
      <c r="AI643" s="1" t="b">
        <v>0</v>
      </c>
      <c r="AJ643" s="1" t="b">
        <v>0</v>
      </c>
      <c r="AK643" s="1">
        <v>94.182</v>
      </c>
      <c r="AL643" s="1">
        <v>96.508</v>
      </c>
      <c r="AM643" s="1" t="b">
        <v>0</v>
      </c>
      <c r="AN643" s="1" t="b">
        <v>0</v>
      </c>
      <c r="AO643" s="1">
        <v>8.05</v>
      </c>
      <c r="AP643" s="1">
        <v>8.53399999999999</v>
      </c>
      <c r="AQ643" s="1" t="b">
        <v>0</v>
      </c>
      <c r="AR643" s="1" t="b">
        <v>0</v>
      </c>
      <c r="AS643" s="1">
        <v>86.9179999999999</v>
      </c>
      <c r="AT643" s="1">
        <v>87.152</v>
      </c>
      <c r="AU643" s="1" t="b">
        <v>0</v>
      </c>
      <c r="AV643" s="1" t="b">
        <v>1</v>
      </c>
      <c r="AW643" s="1">
        <v>9.61399999999999</v>
      </c>
      <c r="AX643" s="1">
        <v>11.026</v>
      </c>
      <c r="AY643" s="1" t="b">
        <v>0</v>
      </c>
      <c r="AZ643" s="1" t="b">
        <v>0</v>
      </c>
      <c r="BA643" s="1">
        <v>81.25</v>
      </c>
      <c r="BB643" s="1">
        <v>77.78</v>
      </c>
      <c r="BC643" s="1" t="b">
        <v>0</v>
      </c>
      <c r="BD643" s="1" t="b">
        <v>1</v>
      </c>
      <c r="BE643" s="1">
        <v>11.34</v>
      </c>
      <c r="BF643" s="1">
        <v>13.285</v>
      </c>
      <c r="BG643" s="1" t="b">
        <v>0</v>
      </c>
      <c r="BH643" s="1" t="b">
        <v>0</v>
      </c>
      <c r="BI643" s="1">
        <v>77.78</v>
      </c>
      <c r="BJ643" s="1">
        <v>75.0</v>
      </c>
      <c r="BK643" s="1" t="b">
        <v>0</v>
      </c>
      <c r="BL643" s="1" t="b">
        <v>1</v>
      </c>
      <c r="BM643" s="1">
        <v>13.121</v>
      </c>
      <c r="BN643" s="1">
        <v>14.568</v>
      </c>
      <c r="BO643" s="1" t="b">
        <v>0</v>
      </c>
      <c r="BP643" s="1" t="b">
        <v>0</v>
      </c>
      <c r="BQ643" s="1">
        <v>75.0</v>
      </c>
      <c r="BR643" s="1">
        <v>72.027</v>
      </c>
      <c r="BS643" s="1" t="b">
        <v>0</v>
      </c>
      <c r="BT643" s="1" t="b">
        <v>1</v>
      </c>
      <c r="BU643" s="1" t="s">
        <v>105</v>
      </c>
      <c r="BV643" s="1" t="s">
        <v>105</v>
      </c>
      <c r="BW643" s="1" t="s">
        <v>105</v>
      </c>
      <c r="BX643" s="1" t="s">
        <v>157</v>
      </c>
      <c r="BY643" s="1" t="s">
        <v>105</v>
      </c>
      <c r="BZ643" s="1" t="s">
        <v>157</v>
      </c>
      <c r="CA643" s="1" t="s">
        <v>105</v>
      </c>
      <c r="CB643" s="1" t="s">
        <v>157</v>
      </c>
      <c r="CC643" s="1" t="s">
        <v>105</v>
      </c>
      <c r="CD643" s="1" t="s">
        <v>157</v>
      </c>
      <c r="CE643" s="4"/>
      <c r="CF643" s="4"/>
    </row>
    <row r="644" hidden="1">
      <c r="A644" s="1" t="s">
        <v>82</v>
      </c>
      <c r="B644" s="1" t="s">
        <v>197</v>
      </c>
      <c r="C644" s="1">
        <v>15.0</v>
      </c>
      <c r="D644" s="5" t="s">
        <v>2811</v>
      </c>
      <c r="E644" s="1" t="s">
        <v>2812</v>
      </c>
      <c r="F644" s="1">
        <v>69.0</v>
      </c>
      <c r="G644" s="1">
        <v>0.4588</v>
      </c>
      <c r="H644" s="1" t="s">
        <v>2813</v>
      </c>
      <c r="I644" s="4" t="b">
        <f>IFERROR(__xludf.DUMMYFUNCTION("IF(H644="""",,REGEXMATCH(H644,""[א-ת]""))"),FALSE)</f>
        <v>0</v>
      </c>
      <c r="J644" s="4"/>
      <c r="K644" s="4"/>
      <c r="L644" s="1">
        <v>0.7964</v>
      </c>
      <c r="M644" s="1">
        <v>56.9</v>
      </c>
      <c r="N644" s="1">
        <v>28.99</v>
      </c>
      <c r="O644" s="1">
        <v>0.4201449275</v>
      </c>
      <c r="P644" s="4"/>
      <c r="Q644" s="4"/>
      <c r="R644" s="1" t="s">
        <v>89</v>
      </c>
      <c r="S644" s="1" t="s">
        <v>2812</v>
      </c>
      <c r="T644" s="1" t="s">
        <v>197</v>
      </c>
      <c r="U644" s="1">
        <v>16.0</v>
      </c>
      <c r="V644" s="5" t="s">
        <v>2811</v>
      </c>
      <c r="W644" s="1" t="s">
        <v>2812</v>
      </c>
      <c r="X644" s="1" t="s">
        <v>2814</v>
      </c>
      <c r="Y644" s="4"/>
      <c r="Z644" s="4"/>
      <c r="AA644" s="4" t="b">
        <f>IFERROR(__xludf.DUMMYFUNCTION("IF(X644="""",,REGEXMATCH(X644,""[א-ת]""))"),FALSE)</f>
        <v>0</v>
      </c>
      <c r="AB644" s="1">
        <v>55.66</v>
      </c>
      <c r="AC644" s="1">
        <v>33.33</v>
      </c>
      <c r="AD644" s="1">
        <v>0.749878129612713</v>
      </c>
      <c r="AE644" s="1">
        <v>0.4588</v>
      </c>
      <c r="AF644" s="1">
        <v>0.4588</v>
      </c>
      <c r="AG644" s="1">
        <v>6.337</v>
      </c>
      <c r="AH644" s="1">
        <v>6.781</v>
      </c>
      <c r="AI644" s="1" t="b">
        <v>0</v>
      </c>
      <c r="AJ644" s="1" t="b">
        <v>0</v>
      </c>
      <c r="AK644" s="1">
        <v>94.182</v>
      </c>
      <c r="AL644" s="1">
        <v>96.508</v>
      </c>
      <c r="AM644" s="1" t="b">
        <v>0</v>
      </c>
      <c r="AN644" s="1" t="b">
        <v>0</v>
      </c>
      <c r="AO644" s="1">
        <v>8.05</v>
      </c>
      <c r="AP644" s="1">
        <v>8.53399999999999</v>
      </c>
      <c r="AQ644" s="1" t="b">
        <v>0</v>
      </c>
      <c r="AR644" s="1" t="b">
        <v>0</v>
      </c>
      <c r="AS644" s="1">
        <v>86.9179999999999</v>
      </c>
      <c r="AT644" s="1">
        <v>87.152</v>
      </c>
      <c r="AU644" s="1" t="b">
        <v>0</v>
      </c>
      <c r="AV644" s="1" t="b">
        <v>0</v>
      </c>
      <c r="AW644" s="1">
        <v>9.61399999999999</v>
      </c>
      <c r="AX644" s="1">
        <v>11.026</v>
      </c>
      <c r="AY644" s="1" t="b">
        <v>0</v>
      </c>
      <c r="AZ644" s="1" t="b">
        <v>0</v>
      </c>
      <c r="BA644" s="1">
        <v>81.25</v>
      </c>
      <c r="BB644" s="1">
        <v>77.78</v>
      </c>
      <c r="BC644" s="1" t="b">
        <v>0</v>
      </c>
      <c r="BD644" s="1" t="b">
        <v>0</v>
      </c>
      <c r="BE644" s="1">
        <v>11.34</v>
      </c>
      <c r="BF644" s="1">
        <v>13.285</v>
      </c>
      <c r="BG644" s="1" t="b">
        <v>0</v>
      </c>
      <c r="BH644" s="1" t="b">
        <v>0</v>
      </c>
      <c r="BI644" s="1">
        <v>77.78</v>
      </c>
      <c r="BJ644" s="1">
        <v>75.0</v>
      </c>
      <c r="BK644" s="1" t="b">
        <v>0</v>
      </c>
      <c r="BL644" s="1" t="b">
        <v>0</v>
      </c>
      <c r="BM644" s="1">
        <v>13.121</v>
      </c>
      <c r="BN644" s="1">
        <v>14.568</v>
      </c>
      <c r="BO644" s="1" t="b">
        <v>0</v>
      </c>
      <c r="BP644" s="1" t="b">
        <v>0</v>
      </c>
      <c r="BQ644" s="1">
        <v>75.0</v>
      </c>
      <c r="BR644" s="1">
        <v>72.027</v>
      </c>
      <c r="BS644" s="1" t="b">
        <v>0</v>
      </c>
      <c r="BT644" s="1" t="b">
        <v>0</v>
      </c>
      <c r="BU644" s="1" t="s">
        <v>105</v>
      </c>
      <c r="BV644" s="1" t="s">
        <v>105</v>
      </c>
      <c r="BW644" s="1" t="s">
        <v>105</v>
      </c>
      <c r="BX644" s="1" t="s">
        <v>105</v>
      </c>
      <c r="BY644" s="1" t="s">
        <v>105</v>
      </c>
      <c r="BZ644" s="1" t="s">
        <v>105</v>
      </c>
      <c r="CA644" s="1" t="s">
        <v>105</v>
      </c>
      <c r="CB644" s="1" t="s">
        <v>105</v>
      </c>
      <c r="CC644" s="1" t="s">
        <v>105</v>
      </c>
      <c r="CD644" s="1" t="s">
        <v>105</v>
      </c>
      <c r="CE644" s="4"/>
      <c r="CF644" s="4"/>
    </row>
    <row r="645" hidden="1">
      <c r="A645" s="1" t="s">
        <v>82</v>
      </c>
      <c r="B645" s="1" t="s">
        <v>262</v>
      </c>
      <c r="C645" s="1">
        <v>16.0</v>
      </c>
      <c r="D645" s="5" t="s">
        <v>2815</v>
      </c>
      <c r="E645" s="1" t="s">
        <v>2816</v>
      </c>
      <c r="F645" s="1">
        <v>64.0</v>
      </c>
      <c r="G645" s="1">
        <v>-0.2023</v>
      </c>
      <c r="H645" s="1" t="s">
        <v>2817</v>
      </c>
      <c r="I645" s="4" t="b">
        <f>IFERROR(__xludf.DUMMYFUNCTION("IF(H645="""",,REGEXMATCH(H645,""[א-ת]""))"),FALSE)</f>
        <v>0</v>
      </c>
      <c r="J645" s="4"/>
      <c r="K645" s="4"/>
      <c r="L645" s="1">
        <v>-0.4588</v>
      </c>
      <c r="M645" s="1">
        <v>57.45</v>
      </c>
      <c r="N645" s="1">
        <v>29.69</v>
      </c>
      <c r="O645" s="1">
        <v>0.46390625</v>
      </c>
      <c r="P645" s="4"/>
      <c r="Q645" s="4"/>
      <c r="R645" s="1" t="s">
        <v>96</v>
      </c>
      <c r="S645" s="1" t="s">
        <v>2816</v>
      </c>
      <c r="T645" s="1" t="s">
        <v>262</v>
      </c>
      <c r="U645" s="1">
        <v>17.0</v>
      </c>
      <c r="V645" s="5" t="s">
        <v>2815</v>
      </c>
      <c r="W645" s="1" t="s">
        <v>2816</v>
      </c>
      <c r="X645" s="1" t="s">
        <v>2818</v>
      </c>
      <c r="Y645" s="4"/>
      <c r="Z645" s="4"/>
      <c r="AA645" s="4" t="b">
        <f>IFERROR(__xludf.DUMMYFUNCTION("IF(X645="""",,REGEXMATCH(X645,""[א-ת]""))"),FALSE)</f>
        <v>0</v>
      </c>
      <c r="AB645" s="1">
        <v>59.46</v>
      </c>
      <c r="AC645" s="1">
        <v>28.12</v>
      </c>
      <c r="AD645" s="1">
        <v>0.975423782010511</v>
      </c>
      <c r="AE645" s="1">
        <v>-0.2023</v>
      </c>
      <c r="AF645" s="1">
        <v>-0.2023</v>
      </c>
      <c r="AG645" s="1">
        <v>6.337</v>
      </c>
      <c r="AH645" s="1">
        <v>6.781</v>
      </c>
      <c r="AI645" s="1" t="b">
        <v>0</v>
      </c>
      <c r="AJ645" s="1" t="b">
        <v>0</v>
      </c>
      <c r="AK645" s="1">
        <v>94.182</v>
      </c>
      <c r="AL645" s="1">
        <v>96.508</v>
      </c>
      <c r="AM645" s="1" t="b">
        <v>0</v>
      </c>
      <c r="AN645" s="1" t="b">
        <v>0</v>
      </c>
      <c r="AO645" s="1">
        <v>8.05</v>
      </c>
      <c r="AP645" s="1">
        <v>8.53399999999999</v>
      </c>
      <c r="AQ645" s="1" t="b">
        <v>0</v>
      </c>
      <c r="AR645" s="1" t="b">
        <v>0</v>
      </c>
      <c r="AS645" s="1">
        <v>86.9179999999999</v>
      </c>
      <c r="AT645" s="1">
        <v>87.152</v>
      </c>
      <c r="AU645" s="1" t="b">
        <v>0</v>
      </c>
      <c r="AV645" s="1" t="b">
        <v>0</v>
      </c>
      <c r="AW645" s="1">
        <v>9.61399999999999</v>
      </c>
      <c r="AX645" s="1">
        <v>11.026</v>
      </c>
      <c r="AY645" s="1" t="b">
        <v>0</v>
      </c>
      <c r="AZ645" s="1" t="b">
        <v>0</v>
      </c>
      <c r="BA645" s="1">
        <v>81.25</v>
      </c>
      <c r="BB645" s="1">
        <v>77.78</v>
      </c>
      <c r="BC645" s="1" t="b">
        <v>0</v>
      </c>
      <c r="BD645" s="1" t="b">
        <v>0</v>
      </c>
      <c r="BE645" s="1">
        <v>11.34</v>
      </c>
      <c r="BF645" s="1">
        <v>13.285</v>
      </c>
      <c r="BG645" s="1" t="b">
        <v>0</v>
      </c>
      <c r="BH645" s="1" t="b">
        <v>0</v>
      </c>
      <c r="BI645" s="1">
        <v>77.78</v>
      </c>
      <c r="BJ645" s="1">
        <v>75.0</v>
      </c>
      <c r="BK645" s="1" t="b">
        <v>0</v>
      </c>
      <c r="BL645" s="1" t="b">
        <v>0</v>
      </c>
      <c r="BM645" s="1">
        <v>13.121</v>
      </c>
      <c r="BN645" s="1">
        <v>14.568</v>
      </c>
      <c r="BO645" s="1" t="b">
        <v>0</v>
      </c>
      <c r="BP645" s="1" t="b">
        <v>0</v>
      </c>
      <c r="BQ645" s="1">
        <v>75.0</v>
      </c>
      <c r="BR645" s="1">
        <v>72.027</v>
      </c>
      <c r="BS645" s="1" t="b">
        <v>0</v>
      </c>
      <c r="BT645" s="1" t="b">
        <v>0</v>
      </c>
      <c r="BU645" s="1" t="s">
        <v>105</v>
      </c>
      <c r="BV645" s="1" t="s">
        <v>105</v>
      </c>
      <c r="BW645" s="1" t="s">
        <v>105</v>
      </c>
      <c r="BX645" s="1" t="s">
        <v>105</v>
      </c>
      <c r="BY645" s="1" t="s">
        <v>105</v>
      </c>
      <c r="BZ645" s="1" t="s">
        <v>105</v>
      </c>
      <c r="CA645" s="1" t="s">
        <v>105</v>
      </c>
      <c r="CB645" s="1" t="s">
        <v>105</v>
      </c>
      <c r="CC645" s="1" t="s">
        <v>105</v>
      </c>
      <c r="CD645" s="1" t="s">
        <v>105</v>
      </c>
      <c r="CE645" s="4"/>
      <c r="CF645" s="4"/>
    </row>
    <row r="646" hidden="1">
      <c r="A646" s="1" t="s">
        <v>82</v>
      </c>
      <c r="B646" s="1" t="s">
        <v>262</v>
      </c>
      <c r="C646" s="1">
        <v>15.0</v>
      </c>
      <c r="D646" s="5" t="s">
        <v>2819</v>
      </c>
      <c r="E646" s="1" t="s">
        <v>2820</v>
      </c>
      <c r="F646" s="1">
        <v>46.0</v>
      </c>
      <c r="G646" s="1">
        <v>0.1531</v>
      </c>
      <c r="H646" s="1" t="s">
        <v>2821</v>
      </c>
      <c r="I646" s="4" t="b">
        <f>IFERROR(__xludf.DUMMYFUNCTION("IF(H646="""",,REGEXMATCH(H646,""[א-ת]""))"),FALSE)</f>
        <v>0</v>
      </c>
      <c r="J646" s="4"/>
      <c r="K646" s="4"/>
      <c r="L646" s="1">
        <v>0.2263</v>
      </c>
      <c r="M646" s="1">
        <v>59.54</v>
      </c>
      <c r="N646" s="1">
        <v>26.09</v>
      </c>
      <c r="O646" s="1">
        <v>0.567173913</v>
      </c>
      <c r="P646" s="4"/>
      <c r="Q646" s="4"/>
      <c r="R646" s="1" t="s">
        <v>96</v>
      </c>
      <c r="S646" s="1" t="s">
        <v>2820</v>
      </c>
      <c r="T646" s="1" t="s">
        <v>262</v>
      </c>
      <c r="U646" s="1">
        <v>16.0</v>
      </c>
      <c r="V646" s="5" t="s">
        <v>2819</v>
      </c>
      <c r="W646" s="1" t="s">
        <v>2820</v>
      </c>
      <c r="X646" s="1" t="s">
        <v>2822</v>
      </c>
      <c r="Y646" s="4"/>
      <c r="Z646" s="4"/>
      <c r="AA646" s="4" t="b">
        <f>IFERROR(__xludf.DUMMYFUNCTION("IF(X646="""",,REGEXMATCH(X646,""[א-ת]""))"),TRUE)</f>
        <v>1</v>
      </c>
      <c r="AB646" s="1">
        <v>45.86</v>
      </c>
      <c r="AC646" s="1">
        <v>36.96</v>
      </c>
      <c r="AD646" s="1">
        <v>0.796607400790601</v>
      </c>
      <c r="AE646" s="1">
        <v>0.5994</v>
      </c>
      <c r="AF646" s="1">
        <v>0.1531</v>
      </c>
      <c r="AG646" s="1">
        <v>6.337</v>
      </c>
      <c r="AH646" s="1">
        <v>6.781</v>
      </c>
      <c r="AI646" s="1" t="b">
        <v>0</v>
      </c>
      <c r="AJ646" s="1" t="b">
        <v>0</v>
      </c>
      <c r="AK646" s="1">
        <v>94.182</v>
      </c>
      <c r="AL646" s="1">
        <v>96.508</v>
      </c>
      <c r="AM646" s="1" t="b">
        <v>0</v>
      </c>
      <c r="AN646" s="1" t="b">
        <v>0</v>
      </c>
      <c r="AO646" s="1">
        <v>8.05</v>
      </c>
      <c r="AP646" s="1">
        <v>8.53399999999999</v>
      </c>
      <c r="AQ646" s="1" t="b">
        <v>0</v>
      </c>
      <c r="AR646" s="1" t="b">
        <v>0</v>
      </c>
      <c r="AS646" s="1">
        <v>86.9179999999999</v>
      </c>
      <c r="AT646" s="1">
        <v>87.152</v>
      </c>
      <c r="AU646" s="1" t="b">
        <v>0</v>
      </c>
      <c r="AV646" s="1" t="b">
        <v>0</v>
      </c>
      <c r="AW646" s="1">
        <v>9.61399999999999</v>
      </c>
      <c r="AX646" s="1">
        <v>11.026</v>
      </c>
      <c r="AY646" s="1" t="b">
        <v>0</v>
      </c>
      <c r="AZ646" s="1" t="b">
        <v>0</v>
      </c>
      <c r="BA646" s="1">
        <v>81.25</v>
      </c>
      <c r="BB646" s="1">
        <v>77.78</v>
      </c>
      <c r="BC646" s="1" t="b">
        <v>0</v>
      </c>
      <c r="BD646" s="1" t="b">
        <v>0</v>
      </c>
      <c r="BE646" s="1">
        <v>11.34</v>
      </c>
      <c r="BF646" s="1">
        <v>13.285</v>
      </c>
      <c r="BG646" s="1" t="b">
        <v>0</v>
      </c>
      <c r="BH646" s="1" t="b">
        <v>0</v>
      </c>
      <c r="BI646" s="1">
        <v>77.78</v>
      </c>
      <c r="BJ646" s="1">
        <v>75.0</v>
      </c>
      <c r="BK646" s="1" t="b">
        <v>0</v>
      </c>
      <c r="BL646" s="1" t="b">
        <v>0</v>
      </c>
      <c r="BM646" s="1">
        <v>13.121</v>
      </c>
      <c r="BN646" s="1">
        <v>14.568</v>
      </c>
      <c r="BO646" s="1" t="b">
        <v>0</v>
      </c>
      <c r="BP646" s="1" t="b">
        <v>0</v>
      </c>
      <c r="BQ646" s="1">
        <v>75.0</v>
      </c>
      <c r="BR646" s="1">
        <v>72.027</v>
      </c>
      <c r="BS646" s="1" t="b">
        <v>0</v>
      </c>
      <c r="BT646" s="1" t="b">
        <v>0</v>
      </c>
      <c r="BU646" s="1" t="s">
        <v>105</v>
      </c>
      <c r="BV646" s="1" t="s">
        <v>105</v>
      </c>
      <c r="BW646" s="1" t="s">
        <v>105</v>
      </c>
      <c r="BX646" s="1" t="s">
        <v>105</v>
      </c>
      <c r="BY646" s="1" t="s">
        <v>105</v>
      </c>
      <c r="BZ646" s="1" t="s">
        <v>105</v>
      </c>
      <c r="CA646" s="1" t="s">
        <v>105</v>
      </c>
      <c r="CB646" s="1" t="s">
        <v>105</v>
      </c>
      <c r="CC646" s="1" t="s">
        <v>105</v>
      </c>
      <c r="CD646" s="1" t="s">
        <v>105</v>
      </c>
      <c r="CE646" s="4"/>
      <c r="CF646" s="4"/>
    </row>
    <row r="647" hidden="1">
      <c r="A647" s="1" t="s">
        <v>82</v>
      </c>
      <c r="B647" s="1" t="s">
        <v>83</v>
      </c>
      <c r="C647" s="1">
        <v>17.0</v>
      </c>
      <c r="D647" s="5" t="s">
        <v>2823</v>
      </c>
      <c r="E647" s="1" t="s">
        <v>2824</v>
      </c>
      <c r="F647" s="1">
        <v>54.0</v>
      </c>
      <c r="G647" s="1">
        <v>0.2732</v>
      </c>
      <c r="H647" s="1" t="s">
        <v>2825</v>
      </c>
      <c r="I647" s="4" t="b">
        <f>IFERROR(__xludf.DUMMYFUNCTION("IF(H647="""",,REGEXMATCH(H647,""[א-ת]""))"),FALSE)</f>
        <v>0</v>
      </c>
      <c r="J647" s="4"/>
      <c r="K647" s="4"/>
      <c r="L647" s="1">
        <v>0.0</v>
      </c>
      <c r="M647" s="1">
        <v>61.86</v>
      </c>
      <c r="N647" s="1">
        <v>37.04</v>
      </c>
      <c r="O647" s="1">
        <v>0.6859259259</v>
      </c>
      <c r="P647" s="4"/>
      <c r="Q647" s="4"/>
      <c r="R647" s="1" t="s">
        <v>89</v>
      </c>
      <c r="S647" s="1" t="s">
        <v>2824</v>
      </c>
      <c r="T647" s="1" t="s">
        <v>83</v>
      </c>
      <c r="U647" s="1">
        <v>18.0</v>
      </c>
      <c r="V647" s="5" t="s">
        <v>2823</v>
      </c>
      <c r="W647" s="1" t="s">
        <v>2824</v>
      </c>
      <c r="X647" s="1" t="s">
        <v>2826</v>
      </c>
      <c r="Y647" s="4"/>
      <c r="Z647" s="4"/>
      <c r="AA647" s="4" t="b">
        <f>IFERROR(__xludf.DUMMYFUNCTION("IF(X647="""",,REGEXMATCH(X647,""[א-ת]""))"),FALSE)</f>
        <v>0</v>
      </c>
      <c r="AB647" s="1">
        <v>22.79</v>
      </c>
      <c r="AC647" s="1">
        <v>53.7</v>
      </c>
      <c r="AD647" s="1">
        <v>0.470533305743298</v>
      </c>
      <c r="AE647" s="1">
        <v>0.4939</v>
      </c>
      <c r="AF647" s="1">
        <v>0.2732</v>
      </c>
      <c r="AG647" s="1">
        <v>6.337</v>
      </c>
      <c r="AH647" s="1">
        <v>6.781</v>
      </c>
      <c r="AI647" s="1" t="b">
        <v>0</v>
      </c>
      <c r="AJ647" s="1" t="b">
        <v>0</v>
      </c>
      <c r="AK647" s="1">
        <v>94.182</v>
      </c>
      <c r="AL647" s="1">
        <v>96.508</v>
      </c>
      <c r="AM647" s="1" t="b">
        <v>0</v>
      </c>
      <c r="AN647" s="1" t="b">
        <v>0</v>
      </c>
      <c r="AO647" s="1">
        <v>8.05</v>
      </c>
      <c r="AP647" s="1">
        <v>8.53399999999999</v>
      </c>
      <c r="AQ647" s="1" t="b">
        <v>0</v>
      </c>
      <c r="AR647" s="1" t="b">
        <v>0</v>
      </c>
      <c r="AS647" s="1">
        <v>86.9179999999999</v>
      </c>
      <c r="AT647" s="1">
        <v>87.152</v>
      </c>
      <c r="AU647" s="1" t="b">
        <v>0</v>
      </c>
      <c r="AV647" s="1" t="b">
        <v>0</v>
      </c>
      <c r="AW647" s="1">
        <v>9.61399999999999</v>
      </c>
      <c r="AX647" s="1">
        <v>11.026</v>
      </c>
      <c r="AY647" s="1" t="b">
        <v>0</v>
      </c>
      <c r="AZ647" s="1" t="b">
        <v>0</v>
      </c>
      <c r="BA647" s="1">
        <v>81.25</v>
      </c>
      <c r="BB647" s="1">
        <v>77.78</v>
      </c>
      <c r="BC647" s="1" t="b">
        <v>0</v>
      </c>
      <c r="BD647" s="1" t="b">
        <v>0</v>
      </c>
      <c r="BE647" s="1">
        <v>11.34</v>
      </c>
      <c r="BF647" s="1">
        <v>13.285</v>
      </c>
      <c r="BG647" s="1" t="b">
        <v>0</v>
      </c>
      <c r="BH647" s="1" t="b">
        <v>0</v>
      </c>
      <c r="BI647" s="1">
        <v>77.78</v>
      </c>
      <c r="BJ647" s="1">
        <v>75.0</v>
      </c>
      <c r="BK647" s="1" t="b">
        <v>0</v>
      </c>
      <c r="BL647" s="1" t="b">
        <v>0</v>
      </c>
      <c r="BM647" s="1">
        <v>13.121</v>
      </c>
      <c r="BN647" s="1">
        <v>14.568</v>
      </c>
      <c r="BO647" s="1" t="b">
        <v>0</v>
      </c>
      <c r="BP647" s="1" t="b">
        <v>0</v>
      </c>
      <c r="BQ647" s="1">
        <v>75.0</v>
      </c>
      <c r="BR647" s="1">
        <v>72.027</v>
      </c>
      <c r="BS647" s="1" t="b">
        <v>0</v>
      </c>
      <c r="BT647" s="1" t="b">
        <v>0</v>
      </c>
      <c r="BU647" s="1" t="s">
        <v>105</v>
      </c>
      <c r="BV647" s="1" t="s">
        <v>105</v>
      </c>
      <c r="BW647" s="1" t="s">
        <v>105</v>
      </c>
      <c r="BX647" s="1" t="s">
        <v>105</v>
      </c>
      <c r="BY647" s="1" t="s">
        <v>105</v>
      </c>
      <c r="BZ647" s="1" t="s">
        <v>105</v>
      </c>
      <c r="CA647" s="1" t="s">
        <v>105</v>
      </c>
      <c r="CB647" s="1" t="s">
        <v>105</v>
      </c>
      <c r="CC647" s="1" t="s">
        <v>105</v>
      </c>
      <c r="CD647" s="1" t="s">
        <v>105</v>
      </c>
      <c r="CE647" s="4"/>
      <c r="CF647" s="4"/>
    </row>
    <row r="648" hidden="1">
      <c r="A648" s="1" t="s">
        <v>82</v>
      </c>
      <c r="B648" s="1" t="s">
        <v>427</v>
      </c>
      <c r="C648" s="1">
        <v>1.0</v>
      </c>
      <c r="D648" s="5" t="s">
        <v>2827</v>
      </c>
      <c r="E648" s="1" t="s">
        <v>2828</v>
      </c>
      <c r="F648" s="1">
        <v>30.0</v>
      </c>
      <c r="G648" s="1">
        <v>0.0</v>
      </c>
      <c r="H648" s="1" t="s">
        <v>2829</v>
      </c>
      <c r="I648" s="4" t="b">
        <f>IFERROR(__xludf.DUMMYFUNCTION("IF(H648="""",,REGEXMATCH(H648,""[א-ת]""))"),FALSE)</f>
        <v>0</v>
      </c>
      <c r="J648" s="4"/>
      <c r="K648" s="4"/>
      <c r="L648" s="1">
        <v>0.0</v>
      </c>
      <c r="M648" s="1">
        <v>63.33</v>
      </c>
      <c r="N648" s="1">
        <v>23.33</v>
      </c>
      <c r="O648" s="1">
        <v>0.7776666667</v>
      </c>
      <c r="P648" s="4"/>
      <c r="Q648" s="4"/>
      <c r="R648" s="1" t="s">
        <v>96</v>
      </c>
      <c r="S648" s="1" t="s">
        <v>2828</v>
      </c>
      <c r="T648" s="1" t="s">
        <v>427</v>
      </c>
      <c r="U648" s="1">
        <v>2.0</v>
      </c>
      <c r="V648" s="5" t="s">
        <v>2827</v>
      </c>
      <c r="W648" s="1" t="s">
        <v>2828</v>
      </c>
      <c r="X648" s="1" t="s">
        <v>2830</v>
      </c>
      <c r="Y648" s="4"/>
      <c r="Z648" s="4"/>
      <c r="AA648" s="4" t="b">
        <f>IFERROR(__xludf.DUMMYFUNCTION("IF(X648="""",,REGEXMATCH(X648,""[א-ת]""))"),FALSE)</f>
        <v>0</v>
      </c>
      <c r="AB648" s="1">
        <v>36.93</v>
      </c>
      <c r="AC648" s="1">
        <v>43.33</v>
      </c>
      <c r="AD648" s="1">
        <v>0.67311055968512</v>
      </c>
      <c r="AE648" s="1">
        <v>0.0</v>
      </c>
      <c r="AF648" s="1">
        <v>0.0</v>
      </c>
      <c r="AG648" s="1">
        <v>6.337</v>
      </c>
      <c r="AH648" s="1">
        <v>6.781</v>
      </c>
      <c r="AI648" s="1" t="b">
        <v>0</v>
      </c>
      <c r="AJ648" s="1" t="b">
        <v>0</v>
      </c>
      <c r="AK648" s="1">
        <v>94.182</v>
      </c>
      <c r="AL648" s="1">
        <v>96.508</v>
      </c>
      <c r="AM648" s="1" t="b">
        <v>0</v>
      </c>
      <c r="AN648" s="1" t="b">
        <v>0</v>
      </c>
      <c r="AO648" s="1">
        <v>8.05</v>
      </c>
      <c r="AP648" s="1">
        <v>8.53399999999999</v>
      </c>
      <c r="AQ648" s="1" t="b">
        <v>0</v>
      </c>
      <c r="AR648" s="1" t="b">
        <v>0</v>
      </c>
      <c r="AS648" s="1">
        <v>86.9179999999999</v>
      </c>
      <c r="AT648" s="1">
        <v>87.152</v>
      </c>
      <c r="AU648" s="1" t="b">
        <v>0</v>
      </c>
      <c r="AV648" s="1" t="b">
        <v>0</v>
      </c>
      <c r="AW648" s="1">
        <v>9.61399999999999</v>
      </c>
      <c r="AX648" s="1">
        <v>11.026</v>
      </c>
      <c r="AY648" s="1" t="b">
        <v>0</v>
      </c>
      <c r="AZ648" s="1" t="b">
        <v>0</v>
      </c>
      <c r="BA648" s="1">
        <v>81.25</v>
      </c>
      <c r="BB648" s="1">
        <v>77.78</v>
      </c>
      <c r="BC648" s="1" t="b">
        <v>0</v>
      </c>
      <c r="BD648" s="1" t="b">
        <v>0</v>
      </c>
      <c r="BE648" s="1">
        <v>11.34</v>
      </c>
      <c r="BF648" s="1">
        <v>13.285</v>
      </c>
      <c r="BG648" s="1" t="b">
        <v>0</v>
      </c>
      <c r="BH648" s="1" t="b">
        <v>0</v>
      </c>
      <c r="BI648" s="1">
        <v>77.78</v>
      </c>
      <c r="BJ648" s="1">
        <v>75.0</v>
      </c>
      <c r="BK648" s="1" t="b">
        <v>0</v>
      </c>
      <c r="BL648" s="1" t="b">
        <v>0</v>
      </c>
      <c r="BM648" s="1">
        <v>13.121</v>
      </c>
      <c r="BN648" s="1">
        <v>14.568</v>
      </c>
      <c r="BO648" s="1" t="b">
        <v>0</v>
      </c>
      <c r="BP648" s="1" t="b">
        <v>0</v>
      </c>
      <c r="BQ648" s="1">
        <v>75.0</v>
      </c>
      <c r="BR648" s="1">
        <v>72.027</v>
      </c>
      <c r="BS648" s="1" t="b">
        <v>0</v>
      </c>
      <c r="BT648" s="1" t="b">
        <v>0</v>
      </c>
      <c r="BU648" s="1" t="s">
        <v>105</v>
      </c>
      <c r="BV648" s="1" t="s">
        <v>105</v>
      </c>
      <c r="BW648" s="1" t="s">
        <v>105</v>
      </c>
      <c r="BX648" s="1" t="s">
        <v>105</v>
      </c>
      <c r="BY648" s="1" t="s">
        <v>105</v>
      </c>
      <c r="BZ648" s="1" t="s">
        <v>105</v>
      </c>
      <c r="CA648" s="1" t="s">
        <v>105</v>
      </c>
      <c r="CB648" s="1" t="s">
        <v>105</v>
      </c>
      <c r="CC648" s="1" t="s">
        <v>105</v>
      </c>
      <c r="CD648" s="1" t="s">
        <v>105</v>
      </c>
      <c r="CE648" s="4"/>
      <c r="CF648" s="4"/>
    </row>
    <row r="649" hidden="1">
      <c r="A649" s="1" t="s">
        <v>82</v>
      </c>
      <c r="B649" s="1" t="s">
        <v>631</v>
      </c>
      <c r="C649" s="1">
        <v>15.0</v>
      </c>
      <c r="D649" s="5" t="s">
        <v>2831</v>
      </c>
      <c r="E649" s="1" t="s">
        <v>2832</v>
      </c>
      <c r="F649" s="1">
        <v>53.0</v>
      </c>
      <c r="G649" s="1">
        <v>-0.9042</v>
      </c>
      <c r="H649" s="1" t="s">
        <v>2833</v>
      </c>
      <c r="I649" s="4" t="b">
        <f>IFERROR(__xludf.DUMMYFUNCTION("IF(H649="""",,REGEXMATCH(H649,""[א-ת]""))"),FALSE)</f>
        <v>0</v>
      </c>
      <c r="J649" s="4"/>
      <c r="K649" s="4"/>
      <c r="L649" s="1">
        <v>-0.8481</v>
      </c>
      <c r="M649" s="1">
        <v>64.42</v>
      </c>
      <c r="N649" s="1">
        <v>15.09</v>
      </c>
      <c r="O649" s="1">
        <v>0.2847169811</v>
      </c>
      <c r="P649" s="4"/>
      <c r="Q649" s="4"/>
      <c r="R649" s="1" t="s">
        <v>89</v>
      </c>
      <c r="S649" s="1" t="s">
        <v>2832</v>
      </c>
      <c r="T649" s="1" t="s">
        <v>631</v>
      </c>
      <c r="U649" s="1">
        <v>16.0</v>
      </c>
      <c r="V649" s="5" t="s">
        <v>2831</v>
      </c>
      <c r="W649" s="1" t="s">
        <v>2832</v>
      </c>
      <c r="X649" s="1" t="s">
        <v>2834</v>
      </c>
      <c r="Y649" s="4"/>
      <c r="Z649" s="4"/>
      <c r="AA649" s="4" t="b">
        <f>IFERROR(__xludf.DUMMYFUNCTION("IF(X649="""",,REGEXMATCH(X649,""[א-ת]""))"),FALSE)</f>
        <v>0</v>
      </c>
      <c r="AB649" s="1">
        <v>48.08</v>
      </c>
      <c r="AC649" s="1">
        <v>28.3</v>
      </c>
      <c r="AD649" s="1">
        <v>0.614994723888802</v>
      </c>
      <c r="AE649" s="1">
        <v>-0.9371</v>
      </c>
      <c r="AF649" s="1">
        <v>-0.9042</v>
      </c>
      <c r="AG649" s="1">
        <v>6.337</v>
      </c>
      <c r="AH649" s="1">
        <v>6.781</v>
      </c>
      <c r="AI649" s="1" t="b">
        <v>0</v>
      </c>
      <c r="AJ649" s="1" t="b">
        <v>0</v>
      </c>
      <c r="AK649" s="1">
        <v>94.182</v>
      </c>
      <c r="AL649" s="1">
        <v>96.508</v>
      </c>
      <c r="AM649" s="1" t="b">
        <v>0</v>
      </c>
      <c r="AN649" s="1" t="b">
        <v>0</v>
      </c>
      <c r="AO649" s="1">
        <v>8.05</v>
      </c>
      <c r="AP649" s="1">
        <v>8.53399999999999</v>
      </c>
      <c r="AQ649" s="1" t="b">
        <v>0</v>
      </c>
      <c r="AR649" s="1" t="b">
        <v>0</v>
      </c>
      <c r="AS649" s="1">
        <v>86.9179999999999</v>
      </c>
      <c r="AT649" s="1">
        <v>87.152</v>
      </c>
      <c r="AU649" s="1" t="b">
        <v>0</v>
      </c>
      <c r="AV649" s="1" t="b">
        <v>0</v>
      </c>
      <c r="AW649" s="1">
        <v>9.61399999999999</v>
      </c>
      <c r="AX649" s="1">
        <v>11.026</v>
      </c>
      <c r="AY649" s="1" t="b">
        <v>0</v>
      </c>
      <c r="AZ649" s="1" t="b">
        <v>0</v>
      </c>
      <c r="BA649" s="1">
        <v>81.25</v>
      </c>
      <c r="BB649" s="1">
        <v>77.78</v>
      </c>
      <c r="BC649" s="1" t="b">
        <v>0</v>
      </c>
      <c r="BD649" s="1" t="b">
        <v>0</v>
      </c>
      <c r="BE649" s="1">
        <v>11.34</v>
      </c>
      <c r="BF649" s="1">
        <v>13.285</v>
      </c>
      <c r="BG649" s="1" t="b">
        <v>0</v>
      </c>
      <c r="BH649" s="1" t="b">
        <v>0</v>
      </c>
      <c r="BI649" s="1">
        <v>77.78</v>
      </c>
      <c r="BJ649" s="1">
        <v>75.0</v>
      </c>
      <c r="BK649" s="1" t="b">
        <v>0</v>
      </c>
      <c r="BL649" s="1" t="b">
        <v>0</v>
      </c>
      <c r="BM649" s="1">
        <v>13.121</v>
      </c>
      <c r="BN649" s="1">
        <v>14.568</v>
      </c>
      <c r="BO649" s="1" t="b">
        <v>0</v>
      </c>
      <c r="BP649" s="1" t="b">
        <v>0</v>
      </c>
      <c r="BQ649" s="1">
        <v>75.0</v>
      </c>
      <c r="BR649" s="1">
        <v>72.027</v>
      </c>
      <c r="BS649" s="1" t="b">
        <v>0</v>
      </c>
      <c r="BT649" s="1" t="b">
        <v>0</v>
      </c>
      <c r="BU649" s="1" t="s">
        <v>105</v>
      </c>
      <c r="BV649" s="1" t="s">
        <v>105</v>
      </c>
      <c r="BW649" s="1" t="s">
        <v>105</v>
      </c>
      <c r="BX649" s="1" t="s">
        <v>105</v>
      </c>
      <c r="BY649" s="1" t="s">
        <v>105</v>
      </c>
      <c r="BZ649" s="1" t="s">
        <v>105</v>
      </c>
      <c r="CA649" s="1" t="s">
        <v>105</v>
      </c>
      <c r="CB649" s="1" t="s">
        <v>105</v>
      </c>
      <c r="CC649" s="1" t="s">
        <v>105</v>
      </c>
      <c r="CD649" s="1" t="s">
        <v>105</v>
      </c>
      <c r="CE649" s="4"/>
      <c r="CF649" s="4"/>
    </row>
    <row r="650" hidden="1">
      <c r="A650" s="1" t="s">
        <v>82</v>
      </c>
      <c r="B650" s="1" t="s">
        <v>197</v>
      </c>
      <c r="C650" s="1">
        <v>0.0</v>
      </c>
      <c r="D650" s="5" t="s">
        <v>2835</v>
      </c>
      <c r="E650" s="1" t="s">
        <v>2836</v>
      </c>
      <c r="F650" s="1">
        <v>8.0</v>
      </c>
      <c r="G650" s="1">
        <v>0.4215</v>
      </c>
      <c r="H650" s="1" t="s">
        <v>2837</v>
      </c>
      <c r="I650" s="4" t="b">
        <f>IFERROR(__xludf.DUMMYFUNCTION("IF(H650="""",,REGEXMATCH(H650,""[א-ת]""))"),FALSE)</f>
        <v>0</v>
      </c>
      <c r="J650" s="4"/>
      <c r="K650" s="4"/>
      <c r="L650" s="1">
        <v>0.4215</v>
      </c>
      <c r="M650" s="1">
        <v>72.6</v>
      </c>
      <c r="N650" s="1">
        <v>12.5</v>
      </c>
      <c r="O650" s="1">
        <v>1.5625</v>
      </c>
      <c r="P650" s="4"/>
      <c r="Q650" s="4"/>
      <c r="R650" s="1" t="s">
        <v>89</v>
      </c>
      <c r="S650" s="1" t="s">
        <v>2836</v>
      </c>
      <c r="T650" s="1" t="s">
        <v>197</v>
      </c>
      <c r="U650" s="1">
        <v>1.0</v>
      </c>
      <c r="V650" s="5" t="s">
        <v>2835</v>
      </c>
      <c r="W650" s="1" t="s">
        <v>2836</v>
      </c>
      <c r="X650" s="1" t="s">
        <v>2838</v>
      </c>
      <c r="Y650" s="4"/>
      <c r="Z650" s="4"/>
      <c r="AA650" s="4" t="b">
        <f>IFERROR(__xludf.DUMMYFUNCTION("IF(X650="""",,REGEXMATCH(X650,""[א-ת]""))"),FALSE)</f>
        <v>0</v>
      </c>
      <c r="AB650" s="1">
        <v>59.0</v>
      </c>
      <c r="AC650" s="1">
        <v>25.0</v>
      </c>
      <c r="AD650" s="1">
        <v>0.979253487619835</v>
      </c>
      <c r="AE650" s="1">
        <v>0.4215</v>
      </c>
      <c r="AF650" s="1">
        <v>0.4215</v>
      </c>
      <c r="AG650" s="1">
        <v>6.337</v>
      </c>
      <c r="AH650" s="1">
        <v>6.781</v>
      </c>
      <c r="AI650" s="1" t="b">
        <v>0</v>
      </c>
      <c r="AJ650" s="1" t="b">
        <v>0</v>
      </c>
      <c r="AK650" s="1">
        <v>94.182</v>
      </c>
      <c r="AL650" s="1">
        <v>96.508</v>
      </c>
      <c r="AM650" s="1" t="b">
        <v>0</v>
      </c>
      <c r="AN650" s="1" t="b">
        <v>0</v>
      </c>
      <c r="AO650" s="1">
        <v>8.05</v>
      </c>
      <c r="AP650" s="1">
        <v>8.53399999999999</v>
      </c>
      <c r="AQ650" s="1" t="b">
        <v>0</v>
      </c>
      <c r="AR650" s="1" t="b">
        <v>0</v>
      </c>
      <c r="AS650" s="1">
        <v>86.9179999999999</v>
      </c>
      <c r="AT650" s="1">
        <v>87.152</v>
      </c>
      <c r="AU650" s="1" t="b">
        <v>0</v>
      </c>
      <c r="AV650" s="1" t="b">
        <v>0</v>
      </c>
      <c r="AW650" s="1">
        <v>9.61399999999999</v>
      </c>
      <c r="AX650" s="1">
        <v>11.026</v>
      </c>
      <c r="AY650" s="1" t="b">
        <v>0</v>
      </c>
      <c r="AZ650" s="1" t="b">
        <v>0</v>
      </c>
      <c r="BA650" s="1">
        <v>81.25</v>
      </c>
      <c r="BB650" s="1">
        <v>77.78</v>
      </c>
      <c r="BC650" s="1" t="b">
        <v>0</v>
      </c>
      <c r="BD650" s="1" t="b">
        <v>0</v>
      </c>
      <c r="BE650" s="1">
        <v>11.34</v>
      </c>
      <c r="BF650" s="1">
        <v>13.285</v>
      </c>
      <c r="BG650" s="1" t="b">
        <v>0</v>
      </c>
      <c r="BH650" s="1" t="b">
        <v>0</v>
      </c>
      <c r="BI650" s="1">
        <v>77.78</v>
      </c>
      <c r="BJ650" s="1">
        <v>75.0</v>
      </c>
      <c r="BK650" s="1" t="b">
        <v>0</v>
      </c>
      <c r="BL650" s="1" t="b">
        <v>0</v>
      </c>
      <c r="BM650" s="1">
        <v>13.121</v>
      </c>
      <c r="BN650" s="1">
        <v>14.568</v>
      </c>
      <c r="BO650" s="1" t="b">
        <v>0</v>
      </c>
      <c r="BP650" s="1" t="b">
        <v>0</v>
      </c>
      <c r="BQ650" s="1">
        <v>75.0</v>
      </c>
      <c r="BR650" s="1">
        <v>72.027</v>
      </c>
      <c r="BS650" s="1" t="b">
        <v>0</v>
      </c>
      <c r="BT650" s="1" t="b">
        <v>0</v>
      </c>
      <c r="BU650" s="1" t="s">
        <v>105</v>
      </c>
      <c r="BV650" s="1" t="s">
        <v>105</v>
      </c>
      <c r="BW650" s="1" t="s">
        <v>105</v>
      </c>
      <c r="BX650" s="1" t="s">
        <v>105</v>
      </c>
      <c r="BY650" s="1" t="s">
        <v>105</v>
      </c>
      <c r="BZ650" s="1" t="s">
        <v>105</v>
      </c>
      <c r="CA650" s="1" t="s">
        <v>105</v>
      </c>
      <c r="CB650" s="1" t="s">
        <v>105</v>
      </c>
      <c r="CC650" s="1" t="s">
        <v>105</v>
      </c>
      <c r="CD650" s="1" t="s">
        <v>105</v>
      </c>
      <c r="CE650" s="4"/>
      <c r="CF650" s="4"/>
    </row>
    <row r="651" hidden="1">
      <c r="A651" s="1" t="s">
        <v>82</v>
      </c>
      <c r="B651" s="1" t="s">
        <v>251</v>
      </c>
      <c r="C651" s="1">
        <v>37.0</v>
      </c>
      <c r="D651" s="5" t="s">
        <v>2839</v>
      </c>
      <c r="E651" s="1" t="s">
        <v>2840</v>
      </c>
      <c r="F651" s="1">
        <v>5.0</v>
      </c>
      <c r="G651" s="1">
        <v>0.0</v>
      </c>
      <c r="H651" s="1" t="s">
        <v>2841</v>
      </c>
      <c r="I651" s="4" t="b">
        <f>IFERROR(__xludf.DUMMYFUNCTION("IF(H651="""",,REGEXMATCH(H651,""[א-ת]""))"),FALSE)</f>
        <v>0</v>
      </c>
      <c r="J651" s="4"/>
      <c r="K651" s="4"/>
      <c r="L651" s="1">
        <v>0.0</v>
      </c>
      <c r="M651" s="1">
        <v>75.98</v>
      </c>
      <c r="N651" s="1">
        <v>20.0</v>
      </c>
      <c r="O651" s="1">
        <v>4.0</v>
      </c>
      <c r="P651" s="4"/>
      <c r="Q651" s="4"/>
      <c r="R651" s="1" t="s">
        <v>89</v>
      </c>
      <c r="S651" s="1" t="s">
        <v>2840</v>
      </c>
      <c r="T651" s="1" t="s">
        <v>251</v>
      </c>
      <c r="U651" s="1">
        <v>38.0</v>
      </c>
      <c r="V651" s="5" t="s">
        <v>2839</v>
      </c>
      <c r="W651" s="1" t="s">
        <v>2840</v>
      </c>
      <c r="X651" s="1" t="s">
        <v>2842</v>
      </c>
      <c r="Y651" s="4"/>
      <c r="Z651" s="4"/>
      <c r="AA651" s="4" t="b">
        <f>IFERROR(__xludf.DUMMYFUNCTION("IF(X651="""",,REGEXMATCH(X651,""[א-ת]""))"),FALSE)</f>
        <v>0</v>
      </c>
      <c r="AB651" s="1">
        <v>22.96</v>
      </c>
      <c r="AC651" s="1">
        <v>40.0</v>
      </c>
      <c r="AD651" s="1">
        <v>0.435190689327568</v>
      </c>
      <c r="AE651" s="1">
        <v>0.0</v>
      </c>
      <c r="AF651" s="1">
        <v>0.0</v>
      </c>
      <c r="AG651" s="1">
        <v>6.337</v>
      </c>
      <c r="AH651" s="1">
        <v>6.781</v>
      </c>
      <c r="AI651" s="1" t="b">
        <v>0</v>
      </c>
      <c r="AJ651" s="1" t="b">
        <v>0</v>
      </c>
      <c r="AK651" s="1">
        <v>94.182</v>
      </c>
      <c r="AL651" s="1">
        <v>96.508</v>
      </c>
      <c r="AM651" s="1" t="b">
        <v>0</v>
      </c>
      <c r="AN651" s="1" t="b">
        <v>0</v>
      </c>
      <c r="AO651" s="1">
        <v>8.05</v>
      </c>
      <c r="AP651" s="1">
        <v>8.53399999999999</v>
      </c>
      <c r="AQ651" s="1" t="b">
        <v>0</v>
      </c>
      <c r="AR651" s="1" t="b">
        <v>0</v>
      </c>
      <c r="AS651" s="1">
        <v>86.9179999999999</v>
      </c>
      <c r="AT651" s="1">
        <v>87.152</v>
      </c>
      <c r="AU651" s="1" t="b">
        <v>0</v>
      </c>
      <c r="AV651" s="1" t="b">
        <v>0</v>
      </c>
      <c r="AW651" s="1">
        <v>9.61399999999999</v>
      </c>
      <c r="AX651" s="1">
        <v>11.026</v>
      </c>
      <c r="AY651" s="1" t="b">
        <v>0</v>
      </c>
      <c r="AZ651" s="1" t="b">
        <v>0</v>
      </c>
      <c r="BA651" s="1">
        <v>81.25</v>
      </c>
      <c r="BB651" s="1">
        <v>77.78</v>
      </c>
      <c r="BC651" s="1" t="b">
        <v>0</v>
      </c>
      <c r="BD651" s="1" t="b">
        <v>0</v>
      </c>
      <c r="BE651" s="1">
        <v>11.34</v>
      </c>
      <c r="BF651" s="1">
        <v>13.285</v>
      </c>
      <c r="BG651" s="1" t="b">
        <v>0</v>
      </c>
      <c r="BH651" s="1" t="b">
        <v>0</v>
      </c>
      <c r="BI651" s="1">
        <v>77.78</v>
      </c>
      <c r="BJ651" s="1">
        <v>75.0</v>
      </c>
      <c r="BK651" s="1" t="b">
        <v>0</v>
      </c>
      <c r="BL651" s="1" t="b">
        <v>0</v>
      </c>
      <c r="BM651" s="1">
        <v>13.121</v>
      </c>
      <c r="BN651" s="1">
        <v>14.568</v>
      </c>
      <c r="BO651" s="1" t="b">
        <v>0</v>
      </c>
      <c r="BP651" s="1" t="b">
        <v>0</v>
      </c>
      <c r="BQ651" s="1">
        <v>75.0</v>
      </c>
      <c r="BR651" s="1">
        <v>72.027</v>
      </c>
      <c r="BS651" s="1" t="b">
        <v>0</v>
      </c>
      <c r="BT651" s="1" t="b">
        <v>0</v>
      </c>
      <c r="BU651" s="1" t="s">
        <v>105</v>
      </c>
      <c r="BV651" s="1" t="s">
        <v>105</v>
      </c>
      <c r="BW651" s="1" t="s">
        <v>105</v>
      </c>
      <c r="BX651" s="1" t="s">
        <v>105</v>
      </c>
      <c r="BY651" s="1" t="s">
        <v>105</v>
      </c>
      <c r="BZ651" s="1" t="s">
        <v>105</v>
      </c>
      <c r="CA651" s="1" t="s">
        <v>105</v>
      </c>
      <c r="CB651" s="1" t="s">
        <v>105</v>
      </c>
      <c r="CC651" s="1" t="s">
        <v>105</v>
      </c>
      <c r="CD651" s="1" t="s">
        <v>105</v>
      </c>
      <c r="CE651" s="4"/>
      <c r="CF651" s="4"/>
    </row>
    <row r="652" hidden="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row>
    <row r="653" hidden="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row>
  </sheetData>
  <autoFilter ref="$A$1:$CF$653">
    <filterColumn colId="35">
      <filters>
        <filter val="TRUE"/>
      </filters>
    </filterColumn>
    <sortState ref="A1:CF653">
      <sortCondition ref="M1:M653"/>
    </sortState>
  </autoFilter>
  <drawing r:id="rId1"/>
</worksheet>
</file>